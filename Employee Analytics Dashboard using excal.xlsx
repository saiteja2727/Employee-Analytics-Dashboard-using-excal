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SAI TEJA\Desktop\PROJECT\"/>
    </mc:Choice>
  </mc:AlternateContent>
  <xr:revisionPtr revIDLastSave="0" documentId="13_ncr:1_{D70DBE6A-2701-4398-9C4D-882FA96DB13A}" xr6:coauthVersionLast="47" xr6:coauthVersionMax="47" xr10:uidLastSave="{00000000-0000-0000-0000-000000000000}"/>
  <bookViews>
    <workbookView xWindow="-108" yWindow="-108" windowWidth="23256" windowHeight="12456" activeTab="1" xr2:uid="{00000000-000D-0000-FFFF-FFFF00000000}"/>
  </bookViews>
  <sheets>
    <sheet name="row data" sheetId="1" r:id="rId1"/>
    <sheet name=" table formate" sheetId="4" r:id="rId2"/>
    <sheet name="aggregation funcation" sheetId="2" r:id="rId3"/>
    <sheet name="reference funcation" sheetId="3" r:id="rId4"/>
    <sheet name="pivot table" sheetId="5" r:id="rId5"/>
    <sheet name="dashboard" sheetId="8" r:id="rId6"/>
  </sheets>
  <definedNames>
    <definedName name="_xlnm._FilterDatabase" localSheetId="1" hidden="1">' table formate'!$A$1:$L$1298</definedName>
    <definedName name="_xlnm._FilterDatabase" localSheetId="0" hidden="1">'row data'!$A$1:$K$1300</definedName>
    <definedName name="_xlchart.v2.0" hidden="1">'pivot table'!$A$36:$A$38</definedName>
    <definedName name="_xlchart.v2.1" hidden="1">'pivot table'!$B$36:$B$38</definedName>
    <definedName name="_xlchart.v2.2" hidden="1">'pivot table'!$C$36:$C$38</definedName>
    <definedName name="Slicer_Department">#N/A</definedName>
    <definedName name="Slicer_Designation">#N/A</definedName>
    <definedName name="Slicer_Gender">#N/A</definedName>
    <definedName name="Slicer_Locat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2" i="3" l="1" a="1"/>
  <c r="O12" i="3" s="1"/>
  <c r="N12" i="3" a="1"/>
  <c r="N12" i="3" s="1"/>
  <c r="J9" i="2"/>
  <c r="J10" i="2"/>
  <c r="J11" i="2"/>
  <c r="J12" i="2"/>
  <c r="J13" i="2"/>
  <c r="J14" i="2"/>
  <c r="J15" i="2"/>
  <c r="J16" i="2"/>
  <c r="J17" i="2"/>
  <c r="J8" i="2"/>
  <c r="C9" i="2"/>
  <c r="C10" i="2"/>
  <c r="C11" i="2"/>
  <c r="C12" i="2"/>
  <c r="C13" i="2"/>
  <c r="C14" i="2"/>
  <c r="C15" i="2"/>
  <c r="C16" i="2"/>
  <c r="C17" i="2"/>
  <c r="C8" i="2"/>
  <c r="B2" i="4"/>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B567" i="4"/>
  <c r="B568" i="4"/>
  <c r="B569" i="4"/>
  <c r="B570" i="4"/>
  <c r="B571" i="4"/>
  <c r="B572"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633" i="4"/>
  <c r="B634" i="4"/>
  <c r="B635" i="4"/>
  <c r="B636" i="4"/>
  <c r="B637" i="4"/>
  <c r="B638" i="4"/>
  <c r="B639" i="4"/>
  <c r="B640" i="4"/>
  <c r="B641" i="4"/>
  <c r="B642" i="4"/>
  <c r="B643" i="4"/>
  <c r="B644" i="4"/>
  <c r="B645" i="4"/>
  <c r="B646" i="4"/>
  <c r="B647" i="4"/>
  <c r="B648" i="4"/>
  <c r="B649" i="4"/>
  <c r="B650" i="4"/>
  <c r="B651" i="4"/>
  <c r="B652" i="4"/>
  <c r="B653" i="4"/>
  <c r="B654" i="4"/>
  <c r="B655" i="4"/>
  <c r="B656" i="4"/>
  <c r="B657" i="4"/>
  <c r="B658" i="4"/>
  <c r="B659" i="4"/>
  <c r="B660" i="4"/>
  <c r="B661" i="4"/>
  <c r="B662" i="4"/>
  <c r="B663" i="4"/>
  <c r="B664" i="4"/>
  <c r="B665" i="4"/>
  <c r="B666" i="4"/>
  <c r="B667" i="4"/>
  <c r="B668" i="4"/>
  <c r="B669" i="4"/>
  <c r="B670" i="4"/>
  <c r="B671" i="4"/>
  <c r="B672" i="4"/>
  <c r="B673" i="4"/>
  <c r="B674" i="4"/>
  <c r="B675" i="4"/>
  <c r="B676" i="4"/>
  <c r="B677" i="4"/>
  <c r="B678" i="4"/>
  <c r="B679" i="4"/>
  <c r="B680" i="4"/>
  <c r="B681" i="4"/>
  <c r="B682" i="4"/>
  <c r="B683" i="4"/>
  <c r="B684" i="4"/>
  <c r="B685" i="4"/>
  <c r="B686" i="4"/>
  <c r="B687" i="4"/>
  <c r="B688" i="4"/>
  <c r="B689" i="4"/>
  <c r="B690" i="4"/>
  <c r="B691" i="4"/>
  <c r="B692" i="4"/>
  <c r="B693" i="4"/>
  <c r="B694" i="4"/>
  <c r="B695" i="4"/>
  <c r="B696" i="4"/>
  <c r="B697" i="4"/>
  <c r="B698" i="4"/>
  <c r="B699" i="4"/>
  <c r="B700" i="4"/>
  <c r="B701" i="4"/>
  <c r="B702" i="4"/>
  <c r="B703" i="4"/>
  <c r="B704" i="4"/>
  <c r="B705" i="4"/>
  <c r="B706" i="4"/>
  <c r="B707" i="4"/>
  <c r="B708" i="4"/>
  <c r="B709" i="4"/>
  <c r="B710" i="4"/>
  <c r="B711" i="4"/>
  <c r="B712" i="4"/>
  <c r="B713" i="4"/>
  <c r="B714" i="4"/>
  <c r="B715" i="4"/>
  <c r="B716" i="4"/>
  <c r="B717" i="4"/>
  <c r="B718" i="4"/>
  <c r="B719" i="4"/>
  <c r="B720" i="4"/>
  <c r="B721" i="4"/>
  <c r="B722" i="4"/>
  <c r="B723" i="4"/>
  <c r="B724" i="4"/>
  <c r="B725" i="4"/>
  <c r="B726" i="4"/>
  <c r="B727" i="4"/>
  <c r="B728" i="4"/>
  <c r="B729" i="4"/>
  <c r="B730" i="4"/>
  <c r="B731" i="4"/>
  <c r="B732" i="4"/>
  <c r="B733" i="4"/>
  <c r="B734" i="4"/>
  <c r="B735" i="4"/>
  <c r="B736" i="4"/>
  <c r="B737" i="4"/>
  <c r="B738" i="4"/>
  <c r="B739" i="4"/>
  <c r="B740" i="4"/>
  <c r="B741" i="4"/>
  <c r="B742" i="4"/>
  <c r="B743" i="4"/>
  <c r="B744" i="4"/>
  <c r="B745" i="4"/>
  <c r="B746" i="4"/>
  <c r="B747" i="4"/>
  <c r="B748" i="4"/>
  <c r="B749" i="4"/>
  <c r="B750" i="4"/>
  <c r="B751" i="4"/>
  <c r="B752" i="4"/>
  <c r="B753" i="4"/>
  <c r="B754" i="4"/>
  <c r="B755" i="4"/>
  <c r="B756" i="4"/>
  <c r="B757" i="4"/>
  <c r="B758" i="4"/>
  <c r="B759" i="4"/>
  <c r="B760" i="4"/>
  <c r="B761" i="4"/>
  <c r="B762" i="4"/>
  <c r="B763" i="4"/>
  <c r="B764" i="4"/>
  <c r="B765" i="4"/>
  <c r="B766" i="4"/>
  <c r="B767" i="4"/>
  <c r="B768" i="4"/>
  <c r="B769" i="4"/>
  <c r="B770" i="4"/>
  <c r="B771" i="4"/>
  <c r="B772" i="4"/>
  <c r="B773" i="4"/>
  <c r="B774" i="4"/>
  <c r="B775" i="4"/>
  <c r="B776" i="4"/>
  <c r="B777" i="4"/>
  <c r="B778" i="4"/>
  <c r="B779" i="4"/>
  <c r="B780" i="4"/>
  <c r="B781" i="4"/>
  <c r="B782" i="4"/>
  <c r="B783" i="4"/>
  <c r="B784" i="4"/>
  <c r="B785" i="4"/>
  <c r="B786" i="4"/>
  <c r="B787" i="4"/>
  <c r="B788" i="4"/>
  <c r="B789" i="4"/>
  <c r="B790" i="4"/>
  <c r="B791" i="4"/>
  <c r="B792" i="4"/>
  <c r="B793" i="4"/>
  <c r="B794" i="4"/>
  <c r="B795" i="4"/>
  <c r="B796" i="4"/>
  <c r="B797" i="4"/>
  <c r="B798" i="4"/>
  <c r="B799" i="4"/>
  <c r="B800" i="4"/>
  <c r="B801" i="4"/>
  <c r="B802" i="4"/>
  <c r="B803" i="4"/>
  <c r="B804" i="4"/>
  <c r="B805" i="4"/>
  <c r="B806" i="4"/>
  <c r="B807" i="4"/>
  <c r="B808" i="4"/>
  <c r="B809" i="4"/>
  <c r="B810" i="4"/>
  <c r="B811" i="4"/>
  <c r="B812" i="4"/>
  <c r="B813" i="4"/>
  <c r="B814" i="4"/>
  <c r="B815" i="4"/>
  <c r="B816" i="4"/>
  <c r="B817" i="4"/>
  <c r="B818" i="4"/>
  <c r="B819" i="4"/>
  <c r="B820" i="4"/>
  <c r="B821" i="4"/>
  <c r="B822" i="4"/>
  <c r="B823" i="4"/>
  <c r="B824" i="4"/>
  <c r="B825" i="4"/>
  <c r="B826" i="4"/>
  <c r="B827" i="4"/>
  <c r="B828" i="4"/>
  <c r="B829" i="4"/>
  <c r="B830" i="4"/>
  <c r="B831" i="4"/>
  <c r="B832" i="4"/>
  <c r="B833" i="4"/>
  <c r="B834" i="4"/>
  <c r="B835" i="4"/>
  <c r="B836" i="4"/>
  <c r="B837" i="4"/>
  <c r="B838" i="4"/>
  <c r="B839" i="4"/>
  <c r="B840" i="4"/>
  <c r="B841" i="4"/>
  <c r="B842" i="4"/>
  <c r="B843" i="4"/>
  <c r="B844" i="4"/>
  <c r="B845" i="4"/>
  <c r="B846" i="4"/>
  <c r="B847" i="4"/>
  <c r="B848" i="4"/>
  <c r="B849" i="4"/>
  <c r="B850" i="4"/>
  <c r="B851" i="4"/>
  <c r="B852" i="4"/>
  <c r="B853" i="4"/>
  <c r="B854" i="4"/>
  <c r="B855" i="4"/>
  <c r="B856" i="4"/>
  <c r="B857" i="4"/>
  <c r="B858" i="4"/>
  <c r="B859" i="4"/>
  <c r="B860" i="4"/>
  <c r="B861" i="4"/>
  <c r="B862" i="4"/>
  <c r="B863" i="4"/>
  <c r="B864" i="4"/>
  <c r="B865" i="4"/>
  <c r="B866" i="4"/>
  <c r="B867" i="4"/>
  <c r="B868" i="4"/>
  <c r="B869" i="4"/>
  <c r="B870" i="4"/>
  <c r="B871" i="4"/>
  <c r="B872" i="4"/>
  <c r="B873" i="4"/>
  <c r="B874" i="4"/>
  <c r="B875" i="4"/>
  <c r="B876" i="4"/>
  <c r="B877" i="4"/>
  <c r="B878" i="4"/>
  <c r="B879" i="4"/>
  <c r="B880" i="4"/>
  <c r="B881" i="4"/>
  <c r="B882" i="4"/>
  <c r="B883" i="4"/>
  <c r="B884" i="4"/>
  <c r="B885" i="4"/>
  <c r="B886" i="4"/>
  <c r="B887" i="4"/>
  <c r="B888" i="4"/>
  <c r="B889" i="4"/>
  <c r="B890" i="4"/>
  <c r="B891" i="4"/>
  <c r="B892" i="4"/>
  <c r="B893" i="4"/>
  <c r="B894" i="4"/>
  <c r="B895" i="4"/>
  <c r="B896" i="4"/>
  <c r="B897" i="4"/>
  <c r="B898" i="4"/>
  <c r="B899" i="4"/>
  <c r="B900" i="4"/>
  <c r="B901" i="4"/>
  <c r="B902" i="4"/>
  <c r="B903" i="4"/>
  <c r="B904" i="4"/>
  <c r="B905" i="4"/>
  <c r="B906" i="4"/>
  <c r="B907" i="4"/>
  <c r="B908" i="4"/>
  <c r="B909" i="4"/>
  <c r="B910" i="4"/>
  <c r="B911" i="4"/>
  <c r="B912" i="4"/>
  <c r="B913" i="4"/>
  <c r="B914" i="4"/>
  <c r="B915" i="4"/>
  <c r="B916" i="4"/>
  <c r="B917" i="4"/>
  <c r="B918" i="4"/>
  <c r="B919" i="4"/>
  <c r="B920" i="4"/>
  <c r="B921" i="4"/>
  <c r="B922" i="4"/>
  <c r="B923" i="4"/>
  <c r="B924" i="4"/>
  <c r="B925" i="4"/>
  <c r="B926" i="4"/>
  <c r="B927" i="4"/>
  <c r="B928" i="4"/>
  <c r="B929" i="4"/>
  <c r="B930" i="4"/>
  <c r="B931" i="4"/>
  <c r="B932" i="4"/>
  <c r="B933" i="4"/>
  <c r="B934" i="4"/>
  <c r="B935" i="4"/>
  <c r="B936" i="4"/>
  <c r="B937" i="4"/>
  <c r="B938" i="4"/>
  <c r="B939" i="4"/>
  <c r="B940" i="4"/>
  <c r="B941" i="4"/>
  <c r="B942" i="4"/>
  <c r="B943" i="4"/>
  <c r="B944" i="4"/>
  <c r="B945" i="4"/>
  <c r="B946" i="4"/>
  <c r="B947" i="4"/>
  <c r="B948" i="4"/>
  <c r="B949" i="4"/>
  <c r="B950" i="4"/>
  <c r="B951" i="4"/>
  <c r="B952" i="4"/>
  <c r="B953" i="4"/>
  <c r="B954" i="4"/>
  <c r="B955" i="4"/>
  <c r="B956" i="4"/>
  <c r="B957" i="4"/>
  <c r="B958" i="4"/>
  <c r="B959" i="4"/>
  <c r="B960" i="4"/>
  <c r="B961" i="4"/>
  <c r="B962" i="4"/>
  <c r="B963" i="4"/>
  <c r="B964" i="4"/>
  <c r="B965" i="4"/>
  <c r="B966" i="4"/>
  <c r="B967" i="4"/>
  <c r="B968" i="4"/>
  <c r="B969" i="4"/>
  <c r="B970" i="4"/>
  <c r="B971" i="4"/>
  <c r="B972" i="4"/>
  <c r="B973" i="4"/>
  <c r="B974" i="4"/>
  <c r="B975" i="4"/>
  <c r="B976" i="4"/>
  <c r="B977" i="4"/>
  <c r="B978" i="4"/>
  <c r="B979" i="4"/>
  <c r="B980" i="4"/>
  <c r="B981" i="4"/>
  <c r="B982" i="4"/>
  <c r="B983" i="4"/>
  <c r="B984" i="4"/>
  <c r="B985" i="4"/>
  <c r="B986" i="4"/>
  <c r="B987" i="4"/>
  <c r="B988" i="4"/>
  <c r="B989" i="4"/>
  <c r="B990" i="4"/>
  <c r="B991" i="4"/>
  <c r="B992" i="4"/>
  <c r="B993" i="4"/>
  <c r="B994" i="4"/>
  <c r="B995" i="4"/>
  <c r="B996" i="4"/>
  <c r="B997" i="4"/>
  <c r="B998" i="4"/>
  <c r="B999" i="4"/>
  <c r="B1000" i="4"/>
  <c r="B1001" i="4"/>
  <c r="B1002" i="4"/>
  <c r="B1003" i="4"/>
  <c r="B1004" i="4"/>
  <c r="B1005" i="4"/>
  <c r="B1006" i="4"/>
  <c r="B1007" i="4"/>
  <c r="B1008" i="4"/>
  <c r="B1009" i="4"/>
  <c r="B1010" i="4"/>
  <c r="B1011" i="4"/>
  <c r="B1012" i="4"/>
  <c r="B1013" i="4"/>
  <c r="B1014" i="4"/>
  <c r="B1015" i="4"/>
  <c r="B1016" i="4"/>
  <c r="B1017" i="4"/>
  <c r="B1018" i="4"/>
  <c r="B1019" i="4"/>
  <c r="B1020" i="4"/>
  <c r="B1021" i="4"/>
  <c r="B1022" i="4"/>
  <c r="B1023" i="4"/>
  <c r="B1024" i="4"/>
  <c r="B1025" i="4"/>
  <c r="B1026" i="4"/>
  <c r="B1027" i="4"/>
  <c r="B1028" i="4"/>
  <c r="B1029" i="4"/>
  <c r="B1030" i="4"/>
  <c r="B1031" i="4"/>
  <c r="B1032" i="4"/>
  <c r="B1033" i="4"/>
  <c r="B1034" i="4"/>
  <c r="B1035" i="4"/>
  <c r="B1036" i="4"/>
  <c r="B1037" i="4"/>
  <c r="B1038" i="4"/>
  <c r="B1039" i="4"/>
  <c r="B1040" i="4"/>
  <c r="B1041" i="4"/>
  <c r="B1042" i="4"/>
  <c r="B1043" i="4"/>
  <c r="B1044" i="4"/>
  <c r="B1045" i="4"/>
  <c r="B1046" i="4"/>
  <c r="B1047" i="4"/>
  <c r="B1048" i="4"/>
  <c r="B1049" i="4"/>
  <c r="B1050" i="4"/>
  <c r="B1051" i="4"/>
  <c r="B1052" i="4"/>
  <c r="B1053" i="4"/>
  <c r="B1054" i="4"/>
  <c r="B1055" i="4"/>
  <c r="B1056" i="4"/>
  <c r="B1057" i="4"/>
  <c r="B1058" i="4"/>
  <c r="B1059" i="4"/>
  <c r="B1060" i="4"/>
  <c r="B1061" i="4"/>
  <c r="B1062" i="4"/>
  <c r="B1063" i="4"/>
  <c r="B1064" i="4"/>
  <c r="B1065" i="4"/>
  <c r="B1066" i="4"/>
  <c r="B1067" i="4"/>
  <c r="B1068" i="4"/>
  <c r="B1069" i="4"/>
  <c r="B1070" i="4"/>
  <c r="B1071" i="4"/>
  <c r="B1072" i="4"/>
  <c r="B1073" i="4"/>
  <c r="B1074" i="4"/>
  <c r="B1075" i="4"/>
  <c r="B1076" i="4"/>
  <c r="B1077" i="4"/>
  <c r="B1078" i="4"/>
  <c r="B1079" i="4"/>
  <c r="B1080" i="4"/>
  <c r="B1081" i="4"/>
  <c r="B1082" i="4"/>
  <c r="B1083" i="4"/>
  <c r="B1084" i="4"/>
  <c r="B1085" i="4"/>
  <c r="B1086" i="4"/>
  <c r="B1087" i="4"/>
  <c r="B1088" i="4"/>
  <c r="B1089" i="4"/>
  <c r="B1090" i="4"/>
  <c r="B1091" i="4"/>
  <c r="B1092" i="4"/>
  <c r="B1093" i="4"/>
  <c r="B1094" i="4"/>
  <c r="B1095" i="4"/>
  <c r="B1096" i="4"/>
  <c r="B1097" i="4"/>
  <c r="B1098" i="4"/>
  <c r="B1099" i="4"/>
  <c r="B1100" i="4"/>
  <c r="B1101" i="4"/>
  <c r="B1102" i="4"/>
  <c r="B1103" i="4"/>
  <c r="B1104" i="4"/>
  <c r="B1105" i="4"/>
  <c r="B1106" i="4"/>
  <c r="B1107" i="4"/>
  <c r="B1108" i="4"/>
  <c r="B1109" i="4"/>
  <c r="B1110" i="4"/>
  <c r="B1111" i="4"/>
  <c r="B1112" i="4"/>
  <c r="B1113" i="4"/>
  <c r="B1114" i="4"/>
  <c r="B1115" i="4"/>
  <c r="B1116" i="4"/>
  <c r="B1117" i="4"/>
  <c r="B1118" i="4"/>
  <c r="B1119" i="4"/>
  <c r="B1120" i="4"/>
  <c r="B1121" i="4"/>
  <c r="B1122" i="4"/>
  <c r="B1123" i="4"/>
  <c r="B1124" i="4"/>
  <c r="B1125" i="4"/>
  <c r="B1126" i="4"/>
  <c r="B1127" i="4"/>
  <c r="B1128" i="4"/>
  <c r="B1129" i="4"/>
  <c r="B1130" i="4"/>
  <c r="B1131" i="4"/>
  <c r="B1132" i="4"/>
  <c r="B1133" i="4"/>
  <c r="B1134" i="4"/>
  <c r="B1135" i="4"/>
  <c r="B1136" i="4"/>
  <c r="B1137" i="4"/>
  <c r="B1138" i="4"/>
  <c r="B1139" i="4"/>
  <c r="B1140" i="4"/>
  <c r="B1141" i="4"/>
  <c r="B1142" i="4"/>
  <c r="B1143" i="4"/>
  <c r="B1144" i="4"/>
  <c r="B1145" i="4"/>
  <c r="B1146" i="4"/>
  <c r="B1147" i="4"/>
  <c r="B1148" i="4"/>
  <c r="B1149" i="4"/>
  <c r="B1150" i="4"/>
  <c r="B1151" i="4"/>
  <c r="B1152" i="4"/>
  <c r="B1153" i="4"/>
  <c r="B1154" i="4"/>
  <c r="B1155" i="4"/>
  <c r="B1156" i="4"/>
  <c r="B1157" i="4"/>
  <c r="B1158" i="4"/>
  <c r="B1159" i="4"/>
  <c r="B1160" i="4"/>
  <c r="B1161" i="4"/>
  <c r="B1162" i="4"/>
  <c r="B1163" i="4"/>
  <c r="B1164" i="4"/>
  <c r="B1165" i="4"/>
  <c r="B1166" i="4"/>
  <c r="B1167" i="4"/>
  <c r="B1168" i="4"/>
  <c r="B1169" i="4"/>
  <c r="B1170" i="4"/>
  <c r="B1171" i="4"/>
  <c r="B1172" i="4"/>
  <c r="B1173" i="4"/>
  <c r="B1174" i="4"/>
  <c r="B1175" i="4"/>
  <c r="B1176" i="4"/>
  <c r="B1177" i="4"/>
  <c r="B1178" i="4"/>
  <c r="B1179" i="4"/>
  <c r="B1180" i="4"/>
  <c r="B1181" i="4"/>
  <c r="B1182" i="4"/>
  <c r="B1183" i="4"/>
  <c r="B1184" i="4"/>
  <c r="B1185" i="4"/>
  <c r="B1186" i="4"/>
  <c r="B1187" i="4"/>
  <c r="B1188" i="4"/>
  <c r="B1189" i="4"/>
  <c r="B1190" i="4"/>
  <c r="B1191" i="4"/>
  <c r="B1192" i="4"/>
  <c r="B1193" i="4"/>
  <c r="B1194" i="4"/>
  <c r="B1195" i="4"/>
  <c r="B1196" i="4"/>
  <c r="B1197" i="4"/>
  <c r="B1198" i="4"/>
  <c r="B1199" i="4"/>
  <c r="B1200" i="4"/>
  <c r="B1201" i="4"/>
  <c r="B1202" i="4"/>
  <c r="B1203" i="4"/>
  <c r="B1204" i="4"/>
  <c r="B1205" i="4"/>
  <c r="B1206" i="4"/>
  <c r="B1207" i="4"/>
  <c r="B1208" i="4"/>
  <c r="B1209" i="4"/>
  <c r="B1210" i="4"/>
  <c r="B1211" i="4"/>
  <c r="B1212" i="4"/>
  <c r="B1213" i="4"/>
  <c r="B1214" i="4"/>
  <c r="B1215" i="4"/>
  <c r="B1216" i="4"/>
  <c r="B1217" i="4"/>
  <c r="B1218" i="4"/>
  <c r="B1219" i="4"/>
  <c r="B1220" i="4"/>
  <c r="B1221" i="4"/>
  <c r="B1222" i="4"/>
  <c r="B1223" i="4"/>
  <c r="B1224" i="4"/>
  <c r="B1225" i="4"/>
  <c r="B1226" i="4"/>
  <c r="B1227" i="4"/>
  <c r="B1228" i="4"/>
  <c r="B1229" i="4"/>
  <c r="B1230" i="4"/>
  <c r="B1231" i="4"/>
  <c r="B1232" i="4"/>
  <c r="B1233" i="4"/>
  <c r="B1234" i="4"/>
  <c r="B1235" i="4"/>
  <c r="B1236" i="4"/>
  <c r="B1237" i="4"/>
  <c r="B1238" i="4"/>
  <c r="B1239" i="4"/>
  <c r="B1240" i="4"/>
  <c r="B1241" i="4"/>
  <c r="B1242" i="4"/>
  <c r="B1243" i="4"/>
  <c r="B1244" i="4"/>
  <c r="B1245" i="4"/>
  <c r="B1246" i="4"/>
  <c r="B1247" i="4"/>
  <c r="B1248" i="4"/>
  <c r="B1249" i="4"/>
  <c r="B1250" i="4"/>
  <c r="B1251" i="4"/>
  <c r="B1252" i="4"/>
  <c r="B1253" i="4"/>
  <c r="B1254" i="4"/>
  <c r="B1255" i="4"/>
  <c r="B1256" i="4"/>
  <c r="B1257" i="4"/>
  <c r="B1258" i="4"/>
  <c r="B1259" i="4"/>
  <c r="B1260" i="4"/>
  <c r="B1261" i="4"/>
  <c r="B1262" i="4"/>
  <c r="B1263" i="4"/>
  <c r="B1264" i="4"/>
  <c r="B1265" i="4"/>
  <c r="B1266" i="4"/>
  <c r="B1267" i="4"/>
  <c r="B1268" i="4"/>
  <c r="B1269" i="4"/>
  <c r="B1270" i="4"/>
  <c r="B1271" i="4"/>
  <c r="B1272" i="4"/>
  <c r="B1273" i="4"/>
  <c r="B1274" i="4"/>
  <c r="B1275" i="4"/>
  <c r="B1276" i="4"/>
  <c r="B1277" i="4"/>
  <c r="B1278" i="4"/>
  <c r="B1279" i="4"/>
  <c r="B1280" i="4"/>
  <c r="B1281" i="4"/>
  <c r="B1282" i="4"/>
  <c r="B1283" i="4"/>
  <c r="B1284" i="4"/>
  <c r="B1285" i="4"/>
  <c r="B1286" i="4"/>
  <c r="B1287" i="4"/>
  <c r="B1288" i="4"/>
  <c r="B1289" i="4"/>
  <c r="B1290" i="4"/>
  <c r="B1291" i="4"/>
  <c r="B1292" i="4"/>
  <c r="B1293" i="4"/>
  <c r="B1294" i="4"/>
  <c r="B1295" i="4"/>
  <c r="B1296" i="4"/>
  <c r="B1297" i="4"/>
  <c r="B1298" i="4"/>
  <c r="H17" i="3"/>
  <c r="G17" i="3"/>
  <c r="F17" i="3"/>
  <c r="E17" i="3"/>
  <c r="H16" i="3"/>
  <c r="G16" i="3"/>
  <c r="F16" i="3"/>
  <c r="E16" i="3"/>
  <c r="H15" i="3"/>
  <c r="G15" i="3"/>
  <c r="F15" i="3"/>
  <c r="E15" i="3"/>
  <c r="H14" i="3"/>
  <c r="G14" i="3"/>
  <c r="F14" i="3"/>
  <c r="E14" i="3"/>
  <c r="H13" i="3"/>
  <c r="G13" i="3"/>
  <c r="F13" i="3"/>
  <c r="E13" i="3"/>
  <c r="H12" i="3"/>
  <c r="G12" i="3"/>
  <c r="F12" i="3"/>
  <c r="E12" i="3"/>
  <c r="H11" i="3"/>
  <c r="G11" i="3"/>
  <c r="F11" i="3"/>
  <c r="E11" i="3"/>
  <c r="H10" i="3"/>
  <c r="G10" i="3"/>
  <c r="F10" i="3"/>
  <c r="E10" i="3"/>
  <c r="H9" i="3"/>
  <c r="G9" i="3"/>
  <c r="F9" i="3"/>
  <c r="E9"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<sst xmlns="http://schemas.openxmlformats.org/spreadsheetml/2006/main" count="18340" uniqueCount="3339">
  <si>
    <t>Employee ID</t>
  </si>
  <si>
    <t>Employee Name</t>
  </si>
  <si>
    <t>Date of Birth</t>
  </si>
  <si>
    <t>Joining Date</t>
  </si>
  <si>
    <t>Department</t>
  </si>
  <si>
    <t>Salary</t>
  </si>
  <si>
    <t>Location</t>
  </si>
  <si>
    <t>Gender</t>
  </si>
  <si>
    <t>Job Code</t>
  </si>
  <si>
    <t>Designation</t>
  </si>
  <si>
    <t>Working Experience</t>
  </si>
  <si>
    <t>EMP1001</t>
  </si>
  <si>
    <t>EMP1004</t>
  </si>
  <si>
    <t>EMP1006</t>
  </si>
  <si>
    <t>EMP1007</t>
  </si>
  <si>
    <t>EMP1008</t>
  </si>
  <si>
    <t>EMP1010</t>
  </si>
  <si>
    <t>EMP1011</t>
  </si>
  <si>
    <t>EMP1013</t>
  </si>
  <si>
    <t>EMP1014</t>
  </si>
  <si>
    <t>EMP1016</t>
  </si>
  <si>
    <t>EMP1017</t>
  </si>
  <si>
    <t>EMP1019</t>
  </si>
  <si>
    <t>EMP1020</t>
  </si>
  <si>
    <t>EMP1021</t>
  </si>
  <si>
    <t>EMP1024</t>
  </si>
  <si>
    <t>EMP1025</t>
  </si>
  <si>
    <t>EMP1026</t>
  </si>
  <si>
    <t>EMP1027</t>
  </si>
  <si>
    <t>EMP1028</t>
  </si>
  <si>
    <t>EMP1029</t>
  </si>
  <si>
    <t>EMP1032</t>
  </si>
  <si>
    <t>EMP1033</t>
  </si>
  <si>
    <t>EMP1036</t>
  </si>
  <si>
    <t>EMP1037</t>
  </si>
  <si>
    <t>EMP1038</t>
  </si>
  <si>
    <t>EMP1039</t>
  </si>
  <si>
    <t>EMP1040</t>
  </si>
  <si>
    <t>EMP1041</t>
  </si>
  <si>
    <t>EMP1042</t>
  </si>
  <si>
    <t>EMP1043</t>
  </si>
  <si>
    <t>EMP1044</t>
  </si>
  <si>
    <t>EMP1045</t>
  </si>
  <si>
    <t>EMP1046</t>
  </si>
  <si>
    <t>EMP1047</t>
  </si>
  <si>
    <t>EMP1048</t>
  </si>
  <si>
    <t>EMP1049</t>
  </si>
  <si>
    <t>EMP1050</t>
  </si>
  <si>
    <t>EMP1051</t>
  </si>
  <si>
    <t>EMP1052</t>
  </si>
  <si>
    <t>EMP1054</t>
  </si>
  <si>
    <t>EMP1055</t>
  </si>
  <si>
    <t>EMP1057</t>
  </si>
  <si>
    <t>EMP1062</t>
  </si>
  <si>
    <t>EMP1063</t>
  </si>
  <si>
    <t>EMP1065</t>
  </si>
  <si>
    <t>EMP1066</t>
  </si>
  <si>
    <t>EMP1067</t>
  </si>
  <si>
    <t>EMP1068</t>
  </si>
  <si>
    <t>EMP1070</t>
  </si>
  <si>
    <t>EMP1071</t>
  </si>
  <si>
    <t>EMP1074</t>
  </si>
  <si>
    <t>EMP1076</t>
  </si>
  <si>
    <t>EMP1078</t>
  </si>
  <si>
    <t>EMP1079</t>
  </si>
  <si>
    <t>EMP1082</t>
  </si>
  <si>
    <t>EMP1083</t>
  </si>
  <si>
    <t>EMP1085</t>
  </si>
  <si>
    <t>EMP1086</t>
  </si>
  <si>
    <t>EMP1087</t>
  </si>
  <si>
    <t>EMP1090</t>
  </si>
  <si>
    <t>EMP1091</t>
  </si>
  <si>
    <t>EMP1093</t>
  </si>
  <si>
    <t>EMP1094</t>
  </si>
  <si>
    <t>EMP1095</t>
  </si>
  <si>
    <t>EMP1096</t>
  </si>
  <si>
    <t>EMP1097</t>
  </si>
  <si>
    <t>EMP1098</t>
  </si>
  <si>
    <t>EMP1099</t>
  </si>
  <si>
    <t>EMP1100</t>
  </si>
  <si>
    <t>EMP1101</t>
  </si>
  <si>
    <t>EMP1102</t>
  </si>
  <si>
    <t>EMP1103</t>
  </si>
  <si>
    <t>EMP1107</t>
  </si>
  <si>
    <t>EMP1108</t>
  </si>
  <si>
    <t>EMP1109</t>
  </si>
  <si>
    <t>EMP1110</t>
  </si>
  <si>
    <t>EMP1111</t>
  </si>
  <si>
    <t>EMP1113</t>
  </si>
  <si>
    <t>EMP1114</t>
  </si>
  <si>
    <t>EMP1115</t>
  </si>
  <si>
    <t>EMP1116</t>
  </si>
  <si>
    <t>EMP1117</t>
  </si>
  <si>
    <t>EMP1118</t>
  </si>
  <si>
    <t>EMP1119</t>
  </si>
  <si>
    <t>EMP1120</t>
  </si>
  <si>
    <t>EMP1121</t>
  </si>
  <si>
    <t>EMP1123</t>
  </si>
  <si>
    <t>EMP1126</t>
  </si>
  <si>
    <t>EMP1129</t>
  </si>
  <si>
    <t>EMP1130</t>
  </si>
  <si>
    <t>EMP1131</t>
  </si>
  <si>
    <t>EMP1132</t>
  </si>
  <si>
    <t>EMP1134</t>
  </si>
  <si>
    <t>EMP1136</t>
  </si>
  <si>
    <t>EMP1137</t>
  </si>
  <si>
    <t>EMP1138</t>
  </si>
  <si>
    <t>EMP1139</t>
  </si>
  <si>
    <t>EMP1140</t>
  </si>
  <si>
    <t>EMP1141</t>
  </si>
  <si>
    <t>EMP1142</t>
  </si>
  <si>
    <t>EMP1143</t>
  </si>
  <si>
    <t>EMP1144</t>
  </si>
  <si>
    <t>EMP1145</t>
  </si>
  <si>
    <t>EMP1147</t>
  </si>
  <si>
    <t>EMP1149</t>
  </si>
  <si>
    <t>EMP1150</t>
  </si>
  <si>
    <t>EMP1151</t>
  </si>
  <si>
    <t>EMP1152</t>
  </si>
  <si>
    <t>EMP1154</t>
  </si>
  <si>
    <t>EMP1156</t>
  </si>
  <si>
    <t>EMP1157</t>
  </si>
  <si>
    <t>EMP1158</t>
  </si>
  <si>
    <t>EMP1159</t>
  </si>
  <si>
    <t>EMP1160</t>
  </si>
  <si>
    <t>EMP1161</t>
  </si>
  <si>
    <t>EMP1163</t>
  </si>
  <si>
    <t>EMP1164</t>
  </si>
  <si>
    <t>EMP1165</t>
  </si>
  <si>
    <t>EMP1166</t>
  </si>
  <si>
    <t>EMP1168</t>
  </si>
  <si>
    <t>EMP1169</t>
  </si>
  <si>
    <t>EMP1170</t>
  </si>
  <si>
    <t>EMP1171</t>
  </si>
  <si>
    <t>EMP1172</t>
  </si>
  <si>
    <t>EMP1174</t>
  </si>
  <si>
    <t>EMP1175</t>
  </si>
  <si>
    <t>EMP1177</t>
  </si>
  <si>
    <t>EMP1178</t>
  </si>
  <si>
    <t>EMP1179</t>
  </si>
  <si>
    <t>EMP1180</t>
  </si>
  <si>
    <t>EMP1181</t>
  </si>
  <si>
    <t>EMP1182</t>
  </si>
  <si>
    <t>EMP1183</t>
  </si>
  <si>
    <t>EMP1185</t>
  </si>
  <si>
    <t>EMP1186</t>
  </si>
  <si>
    <t>EMP1188</t>
  </si>
  <si>
    <t>EMP1189</t>
  </si>
  <si>
    <t>EMP1190</t>
  </si>
  <si>
    <t>EMP1191</t>
  </si>
  <si>
    <t>EMP1192</t>
  </si>
  <si>
    <t>EMP1194</t>
  </si>
  <si>
    <t>EMP1195</t>
  </si>
  <si>
    <t>EMP1198</t>
  </si>
  <si>
    <t>EMP1199</t>
  </si>
  <si>
    <t>EMP1201</t>
  </si>
  <si>
    <t>EMP1203</t>
  </si>
  <si>
    <t>EMP1204</t>
  </si>
  <si>
    <t>EMP1205</t>
  </si>
  <si>
    <t>EMP1206</t>
  </si>
  <si>
    <t>EMP1207</t>
  </si>
  <si>
    <t>EMP1208</t>
  </si>
  <si>
    <t>EMP1210</t>
  </si>
  <si>
    <t>EMP1211</t>
  </si>
  <si>
    <t>EMP1212</t>
  </si>
  <si>
    <t>EMP1213</t>
  </si>
  <si>
    <t>EMP1214</t>
  </si>
  <si>
    <t>EMP1216</t>
  </si>
  <si>
    <t>EMP1217</t>
  </si>
  <si>
    <t>EMP1218</t>
  </si>
  <si>
    <t>EMP1219</t>
  </si>
  <si>
    <t>EMP1220</t>
  </si>
  <si>
    <t>EMP1221</t>
  </si>
  <si>
    <t>EMP1223</t>
  </si>
  <si>
    <t>EMP1224</t>
  </si>
  <si>
    <t>EMP1225</t>
  </si>
  <si>
    <t>EMP1227</t>
  </si>
  <si>
    <t>EMP1228</t>
  </si>
  <si>
    <t>EMP1229</t>
  </si>
  <si>
    <t>EMP1230</t>
  </si>
  <si>
    <t>EMP1231</t>
  </si>
  <si>
    <t>EMP1232</t>
  </si>
  <si>
    <t>EMP1234</t>
  </si>
  <si>
    <t>EMP1235</t>
  </si>
  <si>
    <t>EMP1236</t>
  </si>
  <si>
    <t>EMP1238</t>
  </si>
  <si>
    <t>EMP1240</t>
  </si>
  <si>
    <t>EMP1241</t>
  </si>
  <si>
    <t>EMP1245</t>
  </si>
  <si>
    <t>EMP1246</t>
  </si>
  <si>
    <t>EMP1247</t>
  </si>
  <si>
    <t>EMP1248</t>
  </si>
  <si>
    <t>EMP1249</t>
  </si>
  <si>
    <t>EMP1250</t>
  </si>
  <si>
    <t>EMP1251</t>
  </si>
  <si>
    <t>EMP1256</t>
  </si>
  <si>
    <t>EMP1257</t>
  </si>
  <si>
    <t>EMP1258</t>
  </si>
  <si>
    <t>EMP1260</t>
  </si>
  <si>
    <t>EMP1261</t>
  </si>
  <si>
    <t>EMP1262</t>
  </si>
  <si>
    <t>EMP1264</t>
  </si>
  <si>
    <t>EMP1265</t>
  </si>
  <si>
    <t>EMP1266</t>
  </si>
  <si>
    <t>EMP1267</t>
  </si>
  <si>
    <t>EMP1268</t>
  </si>
  <si>
    <t>EMP1269</t>
  </si>
  <si>
    <t>EMP1270</t>
  </si>
  <si>
    <t>EMP1271</t>
  </si>
  <si>
    <t>EMP1272</t>
  </si>
  <si>
    <t>EMP1273</t>
  </si>
  <si>
    <t>EMP1274</t>
  </si>
  <si>
    <t>EMP1275</t>
  </si>
  <si>
    <t>EMP1276</t>
  </si>
  <si>
    <t>EMP1280</t>
  </si>
  <si>
    <t>EMP1281</t>
  </si>
  <si>
    <t>EMP1282</t>
  </si>
  <si>
    <t>EMP1284</t>
  </si>
  <si>
    <t>EMP1286</t>
  </si>
  <si>
    <t>EMP1287</t>
  </si>
  <si>
    <t>EMP1290</t>
  </si>
  <si>
    <t>EMP1291</t>
  </si>
  <si>
    <t>EMP1292</t>
  </si>
  <si>
    <t>EMP1295</t>
  </si>
  <si>
    <t>EMP1297</t>
  </si>
  <si>
    <t>EMP1298</t>
  </si>
  <si>
    <t>EMP1299</t>
  </si>
  <si>
    <t>EMP1301</t>
  </si>
  <si>
    <t>EMP1302</t>
  </si>
  <si>
    <t>EMP1303</t>
  </si>
  <si>
    <t>EMP1305</t>
  </si>
  <si>
    <t>EMP1306</t>
  </si>
  <si>
    <t>EMP1308</t>
  </si>
  <si>
    <t>EMP1309</t>
  </si>
  <si>
    <t>EMP1310</t>
  </si>
  <si>
    <t>EMP1313</t>
  </si>
  <si>
    <t>EMP1314</t>
  </si>
  <si>
    <t>EMP1315</t>
  </si>
  <si>
    <t>EMP1316</t>
  </si>
  <si>
    <t>EMP1317</t>
  </si>
  <si>
    <t>EMP1318</t>
  </si>
  <si>
    <t>EMP1319</t>
  </si>
  <si>
    <t>EMP1320</t>
  </si>
  <si>
    <t>EMP1321</t>
  </si>
  <si>
    <t>EMP1323</t>
  </si>
  <si>
    <t>EMP1324</t>
  </si>
  <si>
    <t>EMP1325</t>
  </si>
  <si>
    <t>EMP1326</t>
  </si>
  <si>
    <t>EMP1327</t>
  </si>
  <si>
    <t>EMP1328</t>
  </si>
  <si>
    <t>EMP1331</t>
  </si>
  <si>
    <t>EMP1332</t>
  </si>
  <si>
    <t>EMP1333</t>
  </si>
  <si>
    <t>EMP1334</t>
  </si>
  <si>
    <t>EMP1336</t>
  </si>
  <si>
    <t>EMP1337</t>
  </si>
  <si>
    <t>EMP1340</t>
  </si>
  <si>
    <t>EMP1342</t>
  </si>
  <si>
    <t>EMP1343</t>
  </si>
  <si>
    <t>EMP1344</t>
  </si>
  <si>
    <t>EMP1345</t>
  </si>
  <si>
    <t>EMP1346</t>
  </si>
  <si>
    <t>EMP1349</t>
  </si>
  <si>
    <t>EMP1350</t>
  </si>
  <si>
    <t>EMP1352</t>
  </si>
  <si>
    <t>EMP1354</t>
  </si>
  <si>
    <t>EMP1356</t>
  </si>
  <si>
    <t>EMP1357</t>
  </si>
  <si>
    <t>EMP1358</t>
  </si>
  <si>
    <t>EMP1359</t>
  </si>
  <si>
    <t>EMP1360</t>
  </si>
  <si>
    <t>EMP1364</t>
  </si>
  <si>
    <t>EMP1365</t>
  </si>
  <si>
    <t>EMP1366</t>
  </si>
  <si>
    <t>EMP1367</t>
  </si>
  <si>
    <t>EMP1369</t>
  </si>
  <si>
    <t>EMP1371</t>
  </si>
  <si>
    <t>EMP1372</t>
  </si>
  <si>
    <t>EMP1373</t>
  </si>
  <si>
    <t>EMP1374</t>
  </si>
  <si>
    <t>EMP1375</t>
  </si>
  <si>
    <t>EMP1377</t>
  </si>
  <si>
    <t>EMP1378</t>
  </si>
  <si>
    <t>EMP1381</t>
  </si>
  <si>
    <t>EMP1383</t>
  </si>
  <si>
    <t>EMP1386</t>
  </si>
  <si>
    <t>EMP1387</t>
  </si>
  <si>
    <t>EMP1388</t>
  </si>
  <si>
    <t>EMP1389</t>
  </si>
  <si>
    <t>EMP1391</t>
  </si>
  <si>
    <t>EMP1392</t>
  </si>
  <si>
    <t>EMP1393</t>
  </si>
  <si>
    <t>EMP1395</t>
  </si>
  <si>
    <t>EMP1397</t>
  </si>
  <si>
    <t>EMP1399</t>
  </si>
  <si>
    <t>EMP1401</t>
  </si>
  <si>
    <t>EMP1402</t>
  </si>
  <si>
    <t>EMP1403</t>
  </si>
  <si>
    <t>EMP1405</t>
  </si>
  <si>
    <t>EMP1406</t>
  </si>
  <si>
    <t>EMP1407</t>
  </si>
  <si>
    <t>EMP1409</t>
  </si>
  <si>
    <t>EMP1410</t>
  </si>
  <si>
    <t>EMP1411</t>
  </si>
  <si>
    <t>EMP1413</t>
  </si>
  <si>
    <t>EMP1414</t>
  </si>
  <si>
    <t>EMP1417</t>
  </si>
  <si>
    <t>EMP1418</t>
  </si>
  <si>
    <t>EMP1419</t>
  </si>
  <si>
    <t>EMP1420</t>
  </si>
  <si>
    <t>EMP1421</t>
  </si>
  <si>
    <t>EMP1422</t>
  </si>
  <si>
    <t>EMP1424</t>
  </si>
  <si>
    <t>EMP1426</t>
  </si>
  <si>
    <t>EMP1427</t>
  </si>
  <si>
    <t>EMP1428</t>
  </si>
  <si>
    <t>EMP1431</t>
  </si>
  <si>
    <t>EMP1433</t>
  </si>
  <si>
    <t>EMP1434</t>
  </si>
  <si>
    <t>EMP1435</t>
  </si>
  <si>
    <t>EMP1436</t>
  </si>
  <si>
    <t>EMP1438</t>
  </si>
  <si>
    <t>EMP1440</t>
  </si>
  <si>
    <t>EMP1441</t>
  </si>
  <si>
    <t>EMP1443</t>
  </si>
  <si>
    <t>EMP1444</t>
  </si>
  <si>
    <t>EMP1445</t>
  </si>
  <si>
    <t>EMP1446</t>
  </si>
  <si>
    <t>EMP1447</t>
  </si>
  <si>
    <t>EMP1449</t>
  </si>
  <si>
    <t>EMP1450</t>
  </si>
  <si>
    <t>EMP1452</t>
  </si>
  <si>
    <t>EMP1453</t>
  </si>
  <si>
    <t>EMP1454</t>
  </si>
  <si>
    <t>EMP1457</t>
  </si>
  <si>
    <t>EMP1458</t>
  </si>
  <si>
    <t>EMP1459</t>
  </si>
  <si>
    <t>EMP1460</t>
  </si>
  <si>
    <t>EMP1461</t>
  </si>
  <si>
    <t>EMP1465</t>
  </si>
  <si>
    <t>EMP1467</t>
  </si>
  <si>
    <t>EMP1468</t>
  </si>
  <si>
    <t>EMP1469</t>
  </si>
  <si>
    <t>EMP1470</t>
  </si>
  <si>
    <t>EMP1471</t>
  </si>
  <si>
    <t>EMP1475</t>
  </si>
  <si>
    <t>EMP1477</t>
  </si>
  <si>
    <t>EMP1478</t>
  </si>
  <si>
    <t>EMP1479</t>
  </si>
  <si>
    <t>EMP1480</t>
  </si>
  <si>
    <t>EMP1482</t>
  </si>
  <si>
    <t>EMP1483</t>
  </si>
  <si>
    <t>EMP1486</t>
  </si>
  <si>
    <t>EMP1488</t>
  </si>
  <si>
    <t>EMP1492</t>
  </si>
  <si>
    <t>EMP1493</t>
  </si>
  <si>
    <t>EMP1494</t>
  </si>
  <si>
    <t>EMP1497</t>
  </si>
  <si>
    <t>EMP1498</t>
  </si>
  <si>
    <t>EMP1499</t>
  </si>
  <si>
    <t>EMP1500</t>
  </si>
  <si>
    <t>EMP1502</t>
  </si>
  <si>
    <t>EMP1503</t>
  </si>
  <si>
    <t>EMP1507</t>
  </si>
  <si>
    <t>EMP1508</t>
  </si>
  <si>
    <t>EMP1509</t>
  </si>
  <si>
    <t>EMP1510</t>
  </si>
  <si>
    <t>EMP1511</t>
  </si>
  <si>
    <t>EMP1512</t>
  </si>
  <si>
    <t>EMP1513</t>
  </si>
  <si>
    <t>EMP1514</t>
  </si>
  <si>
    <t>EMP1515</t>
  </si>
  <si>
    <t>EMP1516</t>
  </si>
  <si>
    <t>EMP1517</t>
  </si>
  <si>
    <t>EMP1518</t>
  </si>
  <si>
    <t>EMP1519</t>
  </si>
  <si>
    <t>EMP1521</t>
  </si>
  <si>
    <t>EMP1522</t>
  </si>
  <si>
    <t>EMP1523</t>
  </si>
  <si>
    <t>EMP1525</t>
  </si>
  <si>
    <t>EMP1528</t>
  </si>
  <si>
    <t>EMP1530</t>
  </si>
  <si>
    <t>EMP1531</t>
  </si>
  <si>
    <t>EMP1532</t>
  </si>
  <si>
    <t>EMP1533</t>
  </si>
  <si>
    <t>EMP1534</t>
  </si>
  <si>
    <t>EMP1536</t>
  </si>
  <si>
    <t>EMP1538</t>
  </si>
  <si>
    <t>EMP1541</t>
  </si>
  <si>
    <t>EMP1543</t>
  </si>
  <si>
    <t>EMP1545</t>
  </si>
  <si>
    <t>EMP1546</t>
  </si>
  <si>
    <t>EMP1547</t>
  </si>
  <si>
    <t>EMP1548</t>
  </si>
  <si>
    <t>EMP1549</t>
  </si>
  <si>
    <t>EMP1551</t>
  </si>
  <si>
    <t>EMP1553</t>
  </si>
  <si>
    <t>EMP1554</t>
  </si>
  <si>
    <t>EMP1555</t>
  </si>
  <si>
    <t>EMP1556</t>
  </si>
  <si>
    <t>EMP1557</t>
  </si>
  <si>
    <t>EMP1558</t>
  </si>
  <si>
    <t>EMP1561</t>
  </si>
  <si>
    <t>EMP1562</t>
  </si>
  <si>
    <t>EMP1563</t>
  </si>
  <si>
    <t>EMP1564</t>
  </si>
  <si>
    <t>EMP1566</t>
  </si>
  <si>
    <t>EMP1567</t>
  </si>
  <si>
    <t>EMP1568</t>
  </si>
  <si>
    <t>EMP1569</t>
  </si>
  <si>
    <t>EMP1570</t>
  </si>
  <si>
    <t>EMP1572</t>
  </si>
  <si>
    <t>EMP1575</t>
  </si>
  <si>
    <t>EMP1576</t>
  </si>
  <si>
    <t>EMP1579</t>
  </si>
  <si>
    <t>EMP1580</t>
  </si>
  <si>
    <t>EMP1582</t>
  </si>
  <si>
    <t>EMP1584</t>
  </si>
  <si>
    <t>EMP1587</t>
  </si>
  <si>
    <t>EMP1588</t>
  </si>
  <si>
    <t>EMP1589</t>
  </si>
  <si>
    <t>EMP1591</t>
  </si>
  <si>
    <t>EMP1593</t>
  </si>
  <si>
    <t>EMP1594</t>
  </si>
  <si>
    <t>EMP1595</t>
  </si>
  <si>
    <t>EMP1596</t>
  </si>
  <si>
    <t>EMP1598</t>
  </si>
  <si>
    <t>EMP1600</t>
  </si>
  <si>
    <t>EMP1601</t>
  </si>
  <si>
    <t>EMP1602</t>
  </si>
  <si>
    <t>EMP1605</t>
  </si>
  <si>
    <t>EMP1606</t>
  </si>
  <si>
    <t>EMP1607</t>
  </si>
  <si>
    <t>EMP1608</t>
  </si>
  <si>
    <t>EMP1609</t>
  </si>
  <si>
    <t>EMP1610</t>
  </si>
  <si>
    <t>EMP1612</t>
  </si>
  <si>
    <t>EMP1613</t>
  </si>
  <si>
    <t>EMP1614</t>
  </si>
  <si>
    <t>EMP1616</t>
  </si>
  <si>
    <t>EMP1618</t>
  </si>
  <si>
    <t>EMP1620</t>
  </si>
  <si>
    <t>EMP1621</t>
  </si>
  <si>
    <t>EMP1622</t>
  </si>
  <si>
    <t>EMP1624</t>
  </si>
  <si>
    <t>EMP1625</t>
  </si>
  <si>
    <t>EMP1626</t>
  </si>
  <si>
    <t>EMP1627</t>
  </si>
  <si>
    <t>EMP1628</t>
  </si>
  <si>
    <t>EMP1630</t>
  </si>
  <si>
    <t>EMP1631</t>
  </si>
  <si>
    <t>EMP1632</t>
  </si>
  <si>
    <t>EMP1633</t>
  </si>
  <si>
    <t>EMP1634</t>
  </si>
  <si>
    <t>EMP1642</t>
  </si>
  <si>
    <t>EMP1643</t>
  </si>
  <si>
    <t>EMP1644</t>
  </si>
  <si>
    <t>EMP1645</t>
  </si>
  <si>
    <t>EMP1646</t>
  </si>
  <si>
    <t>EMP1647</t>
  </si>
  <si>
    <t>EMP1649</t>
  </si>
  <si>
    <t>EMP1652</t>
  </si>
  <si>
    <t>EMP1653</t>
  </si>
  <si>
    <t>EMP1656</t>
  </si>
  <si>
    <t>EMP1658</t>
  </si>
  <si>
    <t>EMP1659</t>
  </si>
  <si>
    <t>EMP1660</t>
  </si>
  <si>
    <t>EMP1661</t>
  </si>
  <si>
    <t>EMP1662</t>
  </si>
  <si>
    <t>EMP1667</t>
  </si>
  <si>
    <t>EMP1668</t>
  </si>
  <si>
    <t>EMP1669</t>
  </si>
  <si>
    <t>EMP1670</t>
  </si>
  <si>
    <t>EMP1673</t>
  </si>
  <si>
    <t>EMP1676</t>
  </si>
  <si>
    <t>EMP1678</t>
  </si>
  <si>
    <t>EMP1679</t>
  </si>
  <si>
    <t>EMP1680</t>
  </si>
  <si>
    <t>EMP1682</t>
  </si>
  <si>
    <t>EMP1683</t>
  </si>
  <si>
    <t>EMP1684</t>
  </si>
  <si>
    <t>EMP1685</t>
  </si>
  <si>
    <t>EMP1689</t>
  </si>
  <si>
    <t>EMP1691</t>
  </si>
  <si>
    <t>EMP1693</t>
  </si>
  <si>
    <t>EMP1694</t>
  </si>
  <si>
    <t>EMP1696</t>
  </si>
  <si>
    <t>EMP1699</t>
  </si>
  <si>
    <t>EMP1700</t>
  </si>
  <si>
    <t>EMP1702</t>
  </si>
  <si>
    <t>EMP1705</t>
  </si>
  <si>
    <t>EMP1708</t>
  </si>
  <si>
    <t>EMP1709</t>
  </si>
  <si>
    <t>EMP1710</t>
  </si>
  <si>
    <t>EMP1711</t>
  </si>
  <si>
    <t>EMP1714</t>
  </si>
  <si>
    <t>EMP1717</t>
  </si>
  <si>
    <t>EMP1718</t>
  </si>
  <si>
    <t>EMP1719</t>
  </si>
  <si>
    <t>EMP1720</t>
  </si>
  <si>
    <t>EMP1721</t>
  </si>
  <si>
    <t>EMP1722</t>
  </si>
  <si>
    <t>EMP1725</t>
  </si>
  <si>
    <t>EMP1726</t>
  </si>
  <si>
    <t>EMP1728</t>
  </si>
  <si>
    <t>EMP1729</t>
  </si>
  <si>
    <t>EMP1730</t>
  </si>
  <si>
    <t>EMP1732</t>
  </si>
  <si>
    <t>EMP1733</t>
  </si>
  <si>
    <t>EMP1734</t>
  </si>
  <si>
    <t>EMP1735</t>
  </si>
  <si>
    <t>EMP1737</t>
  </si>
  <si>
    <t>EMP1738</t>
  </si>
  <si>
    <t>EMP1741</t>
  </si>
  <si>
    <t>EMP1742</t>
  </si>
  <si>
    <t>EMP1743</t>
  </si>
  <si>
    <t>EMP1744</t>
  </si>
  <si>
    <t>EMP1745</t>
  </si>
  <si>
    <t>EMP1746</t>
  </si>
  <si>
    <t>EMP1748</t>
  </si>
  <si>
    <t>EMP1749</t>
  </si>
  <si>
    <t>EMP1750</t>
  </si>
  <si>
    <t>EMP1751</t>
  </si>
  <si>
    <t>EMP1752</t>
  </si>
  <si>
    <t>EMP1753</t>
  </si>
  <si>
    <t>EMP1754</t>
  </si>
  <si>
    <t>EMP1755</t>
  </si>
  <si>
    <t>EMP1756</t>
  </si>
  <si>
    <t>EMP1759</t>
  </si>
  <si>
    <t>EMP1760</t>
  </si>
  <si>
    <t>EMP1763</t>
  </si>
  <si>
    <t>EMP1764</t>
  </si>
  <si>
    <t>EMP1767</t>
  </si>
  <si>
    <t>EMP1769</t>
  </si>
  <si>
    <t>EMP1772</t>
  </si>
  <si>
    <t>EMP1773</t>
  </si>
  <si>
    <t>EMP1774</t>
  </si>
  <si>
    <t>EMP1775</t>
  </si>
  <si>
    <t>EMP1777</t>
  </si>
  <si>
    <t>EMP1781</t>
  </si>
  <si>
    <t>EMP1783</t>
  </si>
  <si>
    <t>EMP1784</t>
  </si>
  <si>
    <t>EMP1785</t>
  </si>
  <si>
    <t>EMP1786</t>
  </si>
  <si>
    <t>EMP1787</t>
  </si>
  <si>
    <t>EMP1788</t>
  </si>
  <si>
    <t>EMP1790</t>
  </si>
  <si>
    <t>EMP1793</t>
  </si>
  <si>
    <t>EMP1794</t>
  </si>
  <si>
    <t>EMP1795</t>
  </si>
  <si>
    <t>EMP1798</t>
  </si>
  <si>
    <t>EMP1800</t>
  </si>
  <si>
    <t>EMP1802</t>
  </si>
  <si>
    <t>EMP1804</t>
  </si>
  <si>
    <t>EMP1805</t>
  </si>
  <si>
    <t>EMP1806</t>
  </si>
  <si>
    <t>EMP1808</t>
  </si>
  <si>
    <t>EMP1810</t>
  </si>
  <si>
    <t>EMP1811</t>
  </si>
  <si>
    <t>EMP1812</t>
  </si>
  <si>
    <t>EMP1813</t>
  </si>
  <si>
    <t>EMP1815</t>
  </si>
  <si>
    <t>EMP1818</t>
  </si>
  <si>
    <t>EMP1819</t>
  </si>
  <si>
    <t>EMP1821</t>
  </si>
  <si>
    <t>EMP1824</t>
  </si>
  <si>
    <t>EMP1825</t>
  </si>
  <si>
    <t>EMP1826</t>
  </si>
  <si>
    <t>EMP1827</t>
  </si>
  <si>
    <t>EMP1829</t>
  </si>
  <si>
    <t>EMP1831</t>
  </si>
  <si>
    <t>EMP1833</t>
  </si>
  <si>
    <t>EMP1834</t>
  </si>
  <si>
    <t>EMP1836</t>
  </si>
  <si>
    <t>EMP1837</t>
  </si>
  <si>
    <t>EMP1838</t>
  </si>
  <si>
    <t>EMP1839</t>
  </si>
  <si>
    <t>EMP1840</t>
  </si>
  <si>
    <t>EMP1841</t>
  </si>
  <si>
    <t>EMP1842</t>
  </si>
  <si>
    <t>EMP1846</t>
  </si>
  <si>
    <t>EMP1847</t>
  </si>
  <si>
    <t>EMP1849</t>
  </si>
  <si>
    <t>EMP1851</t>
  </si>
  <si>
    <t>EMP1853</t>
  </si>
  <si>
    <t>EMP1854</t>
  </si>
  <si>
    <t>EMP1855</t>
  </si>
  <si>
    <t>EMP1856</t>
  </si>
  <si>
    <t>EMP1857</t>
  </si>
  <si>
    <t>EMP1859</t>
  </si>
  <si>
    <t>EMP1860</t>
  </si>
  <si>
    <t>EMP1861</t>
  </si>
  <si>
    <t>EMP1863</t>
  </si>
  <si>
    <t>EMP1864</t>
  </si>
  <si>
    <t>EMP1865</t>
  </si>
  <si>
    <t>EMP1868</t>
  </si>
  <si>
    <t>EMP1869</t>
  </si>
  <si>
    <t>EMP1870</t>
  </si>
  <si>
    <t>EMP1871</t>
  </si>
  <si>
    <t>EMP1872</t>
  </si>
  <si>
    <t>EMP1873</t>
  </si>
  <si>
    <t>EMP1874</t>
  </si>
  <si>
    <t>EMP1875</t>
  </si>
  <si>
    <t>EMP1877</t>
  </si>
  <si>
    <t>EMP1878</t>
  </si>
  <si>
    <t>EMP1879</t>
  </si>
  <si>
    <t>EMP1880</t>
  </si>
  <si>
    <t>EMP1881</t>
  </si>
  <si>
    <t>EMP1882</t>
  </si>
  <si>
    <t>EMP1883</t>
  </si>
  <si>
    <t>EMP1885</t>
  </si>
  <si>
    <t>EMP1886</t>
  </si>
  <si>
    <t>EMP1887</t>
  </si>
  <si>
    <t>EMP1888</t>
  </si>
  <si>
    <t>EMP1889</t>
  </si>
  <si>
    <t>EMP1890</t>
  </si>
  <si>
    <t>EMP1891</t>
  </si>
  <si>
    <t>EMP1894</t>
  </si>
  <si>
    <t>EMP1895</t>
  </si>
  <si>
    <t>EMP1896</t>
  </si>
  <si>
    <t>EMP1898</t>
  </si>
  <si>
    <t>EMP1899</t>
  </si>
  <si>
    <t>EMP1900</t>
  </si>
  <si>
    <t>EMP1901</t>
  </si>
  <si>
    <t>EMP1903</t>
  </si>
  <si>
    <t>EMP1904</t>
  </si>
  <si>
    <t>EMP1905</t>
  </si>
  <si>
    <t>EMP1906</t>
  </si>
  <si>
    <t>EMP1909</t>
  </si>
  <si>
    <t>EMP1910</t>
  </si>
  <si>
    <t>EMP1911</t>
  </si>
  <si>
    <t>EMP1915</t>
  </si>
  <si>
    <t>EMP1916</t>
  </si>
  <si>
    <t>EMP1917</t>
  </si>
  <si>
    <t>EMP1919</t>
  </si>
  <si>
    <t>EMP1922</t>
  </si>
  <si>
    <t>EMP1923</t>
  </si>
  <si>
    <t>EMP1926</t>
  </si>
  <si>
    <t>EMP1928</t>
  </si>
  <si>
    <t>EMP1929</t>
  </si>
  <si>
    <t>EMP1930</t>
  </si>
  <si>
    <t>EMP1931</t>
  </si>
  <si>
    <t>EMP1932</t>
  </si>
  <si>
    <t>EMP1933</t>
  </si>
  <si>
    <t>EMP1934</t>
  </si>
  <si>
    <t>EMP1935</t>
  </si>
  <si>
    <t>EMP1936</t>
  </si>
  <si>
    <t>EMP1937</t>
  </si>
  <si>
    <t>EMP1939</t>
  </si>
  <si>
    <t>EMP1940</t>
  </si>
  <si>
    <t>EMP1941</t>
  </si>
  <si>
    <t>EMP1942</t>
  </si>
  <si>
    <t>EMP1943</t>
  </si>
  <si>
    <t>EMP1944</t>
  </si>
  <si>
    <t>EMP1945</t>
  </si>
  <si>
    <t>EMP1946</t>
  </si>
  <si>
    <t>EMP1947</t>
  </si>
  <si>
    <t>EMP1948</t>
  </si>
  <si>
    <t>EMP1949</t>
  </si>
  <si>
    <t>EMP1952</t>
  </si>
  <si>
    <t>EMP1956</t>
  </si>
  <si>
    <t>EMP1957</t>
  </si>
  <si>
    <t>EMP1959</t>
  </si>
  <si>
    <t>EMP1960</t>
  </si>
  <si>
    <t>EMP1963</t>
  </si>
  <si>
    <t>EMP1964</t>
  </si>
  <si>
    <t>EMP1965</t>
  </si>
  <si>
    <t>EMP1968</t>
  </si>
  <si>
    <t>EMP1969</t>
  </si>
  <si>
    <t>EMP1970</t>
  </si>
  <si>
    <t>EMP1971</t>
  </si>
  <si>
    <t>EMP1972</t>
  </si>
  <si>
    <t>EMP1975</t>
  </si>
  <si>
    <t>EMP1977</t>
  </si>
  <si>
    <t>EMP1978</t>
  </si>
  <si>
    <t>EMP1979</t>
  </si>
  <si>
    <t>EMP1980</t>
  </si>
  <si>
    <t>EMP1982</t>
  </si>
  <si>
    <t>EMP1983</t>
  </si>
  <si>
    <t>EMP1984</t>
  </si>
  <si>
    <t>EMP1985</t>
  </si>
  <si>
    <t>EMP1986</t>
  </si>
  <si>
    <t>EMP1987</t>
  </si>
  <si>
    <t>EMP1988</t>
  </si>
  <si>
    <t>EMP1989</t>
  </si>
  <si>
    <t>EMP1990</t>
  </si>
  <si>
    <t>EMP1991</t>
  </si>
  <si>
    <t>EMP1992</t>
  </si>
  <si>
    <t>EMP1993</t>
  </si>
  <si>
    <t>EMP1994</t>
  </si>
  <si>
    <t>EMP1995</t>
  </si>
  <si>
    <t>EMP1997</t>
  </si>
  <si>
    <t>EMP2000</t>
  </si>
  <si>
    <t>EMP2001</t>
  </si>
  <si>
    <t>EMP2002</t>
  </si>
  <si>
    <t>EMP2004</t>
  </si>
  <si>
    <t>EMP2007</t>
  </si>
  <si>
    <t>EMP2008</t>
  </si>
  <si>
    <t>EMP2009</t>
  </si>
  <si>
    <t>EMP2010</t>
  </si>
  <si>
    <t>EMP2014</t>
  </si>
  <si>
    <t>EMP2015</t>
  </si>
  <si>
    <t>EMP2016</t>
  </si>
  <si>
    <t>EMP2017</t>
  </si>
  <si>
    <t>EMP2018</t>
  </si>
  <si>
    <t>EMP2019</t>
  </si>
  <si>
    <t>EMP2021</t>
  </si>
  <si>
    <t>EMP2022</t>
  </si>
  <si>
    <t>EMP2024</t>
  </si>
  <si>
    <t>EMP2026</t>
  </si>
  <si>
    <t>EMP2027</t>
  </si>
  <si>
    <t>EMP2028</t>
  </si>
  <si>
    <t>EMP2030</t>
  </si>
  <si>
    <t>EMP2033</t>
  </si>
  <si>
    <t>EMP2034</t>
  </si>
  <si>
    <t>EMP2035</t>
  </si>
  <si>
    <t>EMP2039</t>
  </si>
  <si>
    <t>EMP2040</t>
  </si>
  <si>
    <t>EMP2041</t>
  </si>
  <si>
    <t>EMP2042</t>
  </si>
  <si>
    <t>EMP2043</t>
  </si>
  <si>
    <t>EMP2044</t>
  </si>
  <si>
    <t>EMP2046</t>
  </si>
  <si>
    <t>EMP2047</t>
  </si>
  <si>
    <t>EMP2049</t>
  </si>
  <si>
    <t>EMP2052</t>
  </si>
  <si>
    <t>EMP2054</t>
  </si>
  <si>
    <t>EMP2055</t>
  </si>
  <si>
    <t>EMP2057</t>
  </si>
  <si>
    <t>EMP2058</t>
  </si>
  <si>
    <t>EMP2059</t>
  </si>
  <si>
    <t>EMP2060</t>
  </si>
  <si>
    <t>EMP2061</t>
  </si>
  <si>
    <t>EMP2064</t>
  </si>
  <si>
    <t>EMP2065</t>
  </si>
  <si>
    <t>EMP2066</t>
  </si>
  <si>
    <t>EMP2067</t>
  </si>
  <si>
    <t>EMP2069</t>
  </si>
  <si>
    <t>EMP2071</t>
  </si>
  <si>
    <t>EMP2072</t>
  </si>
  <si>
    <t>EMP2073</t>
  </si>
  <si>
    <t>EMP2074</t>
  </si>
  <si>
    <t>EMP2076</t>
  </si>
  <si>
    <t>EMP2077</t>
  </si>
  <si>
    <t>EMP2079</t>
  </si>
  <si>
    <t>EMP2080</t>
  </si>
  <si>
    <t>EMP2083</t>
  </si>
  <si>
    <t>EMP2084</t>
  </si>
  <si>
    <t>EMP2087</t>
  </si>
  <si>
    <t>EMP2091</t>
  </si>
  <si>
    <t>EMP2094</t>
  </si>
  <si>
    <t>EMP2095</t>
  </si>
  <si>
    <t>EMP2096</t>
  </si>
  <si>
    <t>EMP2097</t>
  </si>
  <si>
    <t>EMP2098</t>
  </si>
  <si>
    <t>EMP2099</t>
  </si>
  <si>
    <t>EMP2100</t>
  </si>
  <si>
    <t>EMP2101</t>
  </si>
  <si>
    <t>EMP2102</t>
  </si>
  <si>
    <t>EMP2104</t>
  </si>
  <si>
    <t>EMP2107</t>
  </si>
  <si>
    <t>EMP2108</t>
  </si>
  <si>
    <t>EMP2109</t>
  </si>
  <si>
    <t>EMP2110</t>
  </si>
  <si>
    <t>EMP2111</t>
  </si>
  <si>
    <t>EMP2112</t>
  </si>
  <si>
    <t>EMP2114</t>
  </si>
  <si>
    <t>EMP2115</t>
  </si>
  <si>
    <t>EMP2117</t>
  </si>
  <si>
    <t>EMP2118</t>
  </si>
  <si>
    <t>EMP2119</t>
  </si>
  <si>
    <t>EMP2121</t>
  </si>
  <si>
    <t>EMP2122</t>
  </si>
  <si>
    <t>EMP2123</t>
  </si>
  <si>
    <t>EMP2126</t>
  </si>
  <si>
    <t>EMP2127</t>
  </si>
  <si>
    <t>EMP2128</t>
  </si>
  <si>
    <t>EMP2130</t>
  </si>
  <si>
    <t>EMP2132</t>
  </si>
  <si>
    <t>EMP2133</t>
  </si>
  <si>
    <t>EMP2136</t>
  </si>
  <si>
    <t>EMP2137</t>
  </si>
  <si>
    <t>EMP2140</t>
  </si>
  <si>
    <t>EMP2142</t>
  </si>
  <si>
    <t>EMP2143</t>
  </si>
  <si>
    <t>EMP2146</t>
  </si>
  <si>
    <t>EMP2148</t>
  </si>
  <si>
    <t>EMP2149</t>
  </si>
  <si>
    <t>EMP2150</t>
  </si>
  <si>
    <t>EMP2152</t>
  </si>
  <si>
    <t>EMP2153</t>
  </si>
  <si>
    <t>EMP2155</t>
  </si>
  <si>
    <t>EMP2156</t>
  </si>
  <si>
    <t>EMP2157</t>
  </si>
  <si>
    <t>EMP2159</t>
  </si>
  <si>
    <t>EMP2160</t>
  </si>
  <si>
    <t>EMP2161</t>
  </si>
  <si>
    <t>EMP2165</t>
  </si>
  <si>
    <t>EMP2166</t>
  </si>
  <si>
    <t>EMP2169</t>
  </si>
  <si>
    <t>EMP2170</t>
  </si>
  <si>
    <t>EMP2171</t>
  </si>
  <si>
    <t>EMP2173</t>
  </si>
  <si>
    <t>EMP2175</t>
  </si>
  <si>
    <t>EMP2176</t>
  </si>
  <si>
    <t>EMP2177</t>
  </si>
  <si>
    <t>EMP2178</t>
  </si>
  <si>
    <t>EMP2180</t>
  </si>
  <si>
    <t>EMP2181</t>
  </si>
  <si>
    <t>EMP2183</t>
  </si>
  <si>
    <t>EMP2184</t>
  </si>
  <si>
    <t>EMP2185</t>
  </si>
  <si>
    <t>EMP2186</t>
  </si>
  <si>
    <t>EMP2188</t>
  </si>
  <si>
    <t>EMP2189</t>
  </si>
  <si>
    <t>EMP2190</t>
  </si>
  <si>
    <t>EMP2191</t>
  </si>
  <si>
    <t>EMP2192</t>
  </si>
  <si>
    <t>EMP2194</t>
  </si>
  <si>
    <t>EMP2195</t>
  </si>
  <si>
    <t>EMP2196</t>
  </si>
  <si>
    <t>EMP2197</t>
  </si>
  <si>
    <t>EMP2198</t>
  </si>
  <si>
    <t>EMP2200</t>
  </si>
  <si>
    <t>EMP2201</t>
  </si>
  <si>
    <t>EMP2202</t>
  </si>
  <si>
    <t>EMP2203</t>
  </si>
  <si>
    <t>EMP2204</t>
  </si>
  <si>
    <t>EMP2205</t>
  </si>
  <si>
    <t>EMP2206</t>
  </si>
  <si>
    <t>EMP2208</t>
  </si>
  <si>
    <t>EMP2209</t>
  </si>
  <si>
    <t>EMP2211</t>
  </si>
  <si>
    <t>EMP2213</t>
  </si>
  <si>
    <t>EMP2214</t>
  </si>
  <si>
    <t>EMP2216</t>
  </si>
  <si>
    <t>EMP2218</t>
  </si>
  <si>
    <t>EMP2221</t>
  </si>
  <si>
    <t>EMP2222</t>
  </si>
  <si>
    <t>EMP2225</t>
  </si>
  <si>
    <t>EMP2226</t>
  </si>
  <si>
    <t>EMP2227</t>
  </si>
  <si>
    <t>EMP2228</t>
  </si>
  <si>
    <t>EMP2229</t>
  </si>
  <si>
    <t>EMP2232</t>
  </si>
  <si>
    <t>EMP2233</t>
  </si>
  <si>
    <t>EMP2235</t>
  </si>
  <si>
    <t>EMP2236</t>
  </si>
  <si>
    <t>EMP2239</t>
  </si>
  <si>
    <t>EMP2244</t>
  </si>
  <si>
    <t>EMP2245</t>
  </si>
  <si>
    <t>EMP2246</t>
  </si>
  <si>
    <t>EMP2247</t>
  </si>
  <si>
    <t>EMP2248</t>
  </si>
  <si>
    <t>EMP2249</t>
  </si>
  <si>
    <t>EMP2251</t>
  </si>
  <si>
    <t>EMP2252</t>
  </si>
  <si>
    <t>EMP2253</t>
  </si>
  <si>
    <t>EMP2255</t>
  </si>
  <si>
    <t>EMP2257</t>
  </si>
  <si>
    <t>EMP2259</t>
  </si>
  <si>
    <t>EMP2260</t>
  </si>
  <si>
    <t>EMP2261</t>
  </si>
  <si>
    <t>EMP2262</t>
  </si>
  <si>
    <t>EMP2263</t>
  </si>
  <si>
    <t>EMP2265</t>
  </si>
  <si>
    <t>EMP2266</t>
  </si>
  <si>
    <t>EMP2267</t>
  </si>
  <si>
    <t>EMP2268</t>
  </si>
  <si>
    <t>EMP2269</t>
  </si>
  <si>
    <t>EMP2270</t>
  </si>
  <si>
    <t>EMP2271</t>
  </si>
  <si>
    <t>EMP2273</t>
  </si>
  <si>
    <t>EMP2274</t>
  </si>
  <si>
    <t>EMP2275</t>
  </si>
  <si>
    <t>EMP2276</t>
  </si>
  <si>
    <t>EMP2277</t>
  </si>
  <si>
    <t>EMP2278</t>
  </si>
  <si>
    <t>EMP2279</t>
  </si>
  <si>
    <t>EMP2280</t>
  </si>
  <si>
    <t>EMP2281</t>
  </si>
  <si>
    <t>EMP2282</t>
  </si>
  <si>
    <t>EMP2283</t>
  </si>
  <si>
    <t>EMP2284</t>
  </si>
  <si>
    <t>EMP2288</t>
  </si>
  <si>
    <t>EMP2289</t>
  </si>
  <si>
    <t>EMP2291</t>
  </si>
  <si>
    <t>EMP2293</t>
  </si>
  <si>
    <t>EMP2295</t>
  </si>
  <si>
    <t>EMP2296</t>
  </si>
  <si>
    <t>EMP2297</t>
  </si>
  <si>
    <t>EMP2299</t>
  </si>
  <si>
    <t>EMP2301</t>
  </si>
  <si>
    <t>EMP2304</t>
  </si>
  <si>
    <t>EMP2306</t>
  </si>
  <si>
    <t>EMP2307</t>
  </si>
  <si>
    <t>EMP2308</t>
  </si>
  <si>
    <t>EMP2309</t>
  </si>
  <si>
    <t>EMP2310</t>
  </si>
  <si>
    <t>EMP2311</t>
  </si>
  <si>
    <t>EMP2312</t>
  </si>
  <si>
    <t>EMP2315</t>
  </si>
  <si>
    <t>EMP2316</t>
  </si>
  <si>
    <t>EMP2318</t>
  </si>
  <si>
    <t>EMP2319</t>
  </si>
  <si>
    <t>EMP2320</t>
  </si>
  <si>
    <t>EMP2321</t>
  </si>
  <si>
    <t>EMP2322</t>
  </si>
  <si>
    <t>EMP2323</t>
  </si>
  <si>
    <t>EMP2324</t>
  </si>
  <si>
    <t>EMP2325</t>
  </si>
  <si>
    <t>EMP2327</t>
  </si>
  <si>
    <t>EMP2328</t>
  </si>
  <si>
    <t>EMP2329</t>
  </si>
  <si>
    <t>EMP2330</t>
  </si>
  <si>
    <t>EMP2331</t>
  </si>
  <si>
    <t>EMP2332</t>
  </si>
  <si>
    <t>EMP2335</t>
  </si>
  <si>
    <t>EMP2338</t>
  </si>
  <si>
    <t>EMP2339</t>
  </si>
  <si>
    <t>EMP2340</t>
  </si>
  <si>
    <t>EMP2342</t>
  </si>
  <si>
    <t>EMP2343</t>
  </si>
  <si>
    <t>EMP2344</t>
  </si>
  <si>
    <t>EMP2347</t>
  </si>
  <si>
    <t>EMP2349</t>
  </si>
  <si>
    <t>EMP2350</t>
  </si>
  <si>
    <t>EMP2351</t>
  </si>
  <si>
    <t>EMP2353</t>
  </si>
  <si>
    <t>EMP2355</t>
  </si>
  <si>
    <t>EMP2357</t>
  </si>
  <si>
    <t>EMP2359</t>
  </si>
  <si>
    <t>EMP2360</t>
  </si>
  <si>
    <t>EMP2362</t>
  </si>
  <si>
    <t>EMP2363</t>
  </si>
  <si>
    <t>EMP2364</t>
  </si>
  <si>
    <t>EMP2365</t>
  </si>
  <si>
    <t>EMP2366</t>
  </si>
  <si>
    <t>EMP2368</t>
  </si>
  <si>
    <t>EMP2369</t>
  </si>
  <si>
    <t>EMP2371</t>
  </si>
  <si>
    <t>EMP2372</t>
  </si>
  <si>
    <t>EMP2374</t>
  </si>
  <si>
    <t>EMP2376</t>
  </si>
  <si>
    <t>EMP2377</t>
  </si>
  <si>
    <t>EMP2379</t>
  </si>
  <si>
    <t>EMP2380</t>
  </si>
  <si>
    <t>EMP2381</t>
  </si>
  <si>
    <t>EMP2382</t>
  </si>
  <si>
    <t>EMP2383</t>
  </si>
  <si>
    <t>EMP2385</t>
  </si>
  <si>
    <t>EMP2386</t>
  </si>
  <si>
    <t>EMP2387</t>
  </si>
  <si>
    <t>EMP2390</t>
  </si>
  <si>
    <t>EMP2391</t>
  </si>
  <si>
    <t>EMP2392</t>
  </si>
  <si>
    <t>EMP2394</t>
  </si>
  <si>
    <t>EMP2395</t>
  </si>
  <si>
    <t>EMP2396</t>
  </si>
  <si>
    <t>EMP2397</t>
  </si>
  <si>
    <t>EMP2399</t>
  </si>
  <si>
    <t>EMP2400</t>
  </si>
  <si>
    <t>EMP2401</t>
  </si>
  <si>
    <t>EMP2402</t>
  </si>
  <si>
    <t>EMP2403</t>
  </si>
  <si>
    <t>EMP2404</t>
  </si>
  <si>
    <t>EMP2407</t>
  </si>
  <si>
    <t>EMP2408</t>
  </si>
  <si>
    <t>EMP2411</t>
  </si>
  <si>
    <t>EMP2413</t>
  </si>
  <si>
    <t>EMP2414</t>
  </si>
  <si>
    <t>EMP2418</t>
  </si>
  <si>
    <t>EMP2419</t>
  </si>
  <si>
    <t>EMP2422</t>
  </si>
  <si>
    <t>EMP2423</t>
  </si>
  <si>
    <t>EMP2424</t>
  </si>
  <si>
    <t>EMP2426</t>
  </si>
  <si>
    <t>EMP2428</t>
  </si>
  <si>
    <t>EMP2429</t>
  </si>
  <si>
    <t>EMP2430</t>
  </si>
  <si>
    <t>EMP2431</t>
  </si>
  <si>
    <t>EMP2433</t>
  </si>
  <si>
    <t>EMP2434</t>
  </si>
  <si>
    <t>EMP2436</t>
  </si>
  <si>
    <t>EMP2437</t>
  </si>
  <si>
    <t>EMP2438</t>
  </si>
  <si>
    <t>EMP2440</t>
  </si>
  <si>
    <t>EMP2441</t>
  </si>
  <si>
    <t>EMP2442</t>
  </si>
  <si>
    <t>EMP2443</t>
  </si>
  <si>
    <t>EMP2445</t>
  </si>
  <si>
    <t>EMP2446</t>
  </si>
  <si>
    <t>EMP2448</t>
  </si>
  <si>
    <t>EMP2450</t>
  </si>
  <si>
    <t>EMP2451</t>
  </si>
  <si>
    <t>EMP2453</t>
  </si>
  <si>
    <t>EMP2454</t>
  </si>
  <si>
    <t>EMP2455</t>
  </si>
  <si>
    <t>EMP2456</t>
  </si>
  <si>
    <t>EMP2457</t>
  </si>
  <si>
    <t>EMP2458</t>
  </si>
  <si>
    <t>EMP2459</t>
  </si>
  <si>
    <t>EMP2460</t>
  </si>
  <si>
    <t>EMP2461</t>
  </si>
  <si>
    <t>EMP2462</t>
  </si>
  <si>
    <t>EMP2463</t>
  </si>
  <si>
    <t>EMP2464</t>
  </si>
  <si>
    <t>EMP2467</t>
  </si>
  <si>
    <t>EMP2468</t>
  </si>
  <si>
    <t>EMP2469</t>
  </si>
  <si>
    <t>EMP2473</t>
  </si>
  <si>
    <t>EMP2475</t>
  </si>
  <si>
    <t>EMP2477</t>
  </si>
  <si>
    <t>EMP2478</t>
  </si>
  <si>
    <t>EMP2479</t>
  </si>
  <si>
    <t>EMP2481</t>
  </si>
  <si>
    <t>EMP2482</t>
  </si>
  <si>
    <t>EMP2483</t>
  </si>
  <si>
    <t>EMP2484</t>
  </si>
  <si>
    <t>EMP2486</t>
  </si>
  <si>
    <t>EMP2487</t>
  </si>
  <si>
    <t>EMP2489</t>
  </si>
  <si>
    <t>EMP2492</t>
  </si>
  <si>
    <t>EMP2494</t>
  </si>
  <si>
    <t>EMP2496</t>
  </si>
  <si>
    <t>EMP2497</t>
  </si>
  <si>
    <t>EMP2500</t>
  </si>
  <si>
    <t>EMP2501</t>
  </si>
  <si>
    <t>EMP2502</t>
  </si>
  <si>
    <t>EMP2504</t>
  </si>
  <si>
    <t>EMP2505</t>
  </si>
  <si>
    <t>EMP2506</t>
  </si>
  <si>
    <t>EMP2507</t>
  </si>
  <si>
    <t>EMP2508</t>
  </si>
  <si>
    <t>EMP2509</t>
  </si>
  <si>
    <t>EMP2511</t>
  </si>
  <si>
    <t>EMP2512</t>
  </si>
  <si>
    <t>EMP2513</t>
  </si>
  <si>
    <t>EMP2514</t>
  </si>
  <si>
    <t>EMP2515</t>
  </si>
  <si>
    <t>EMP2516</t>
  </si>
  <si>
    <t>EMP2517</t>
  </si>
  <si>
    <t>EMP2519</t>
  </si>
  <si>
    <t>EMP2520</t>
  </si>
  <si>
    <t>EMP2523</t>
  </si>
  <si>
    <t>EMP2524</t>
  </si>
  <si>
    <t>EMP2525</t>
  </si>
  <si>
    <t>EMP2526</t>
  </si>
  <si>
    <t>EMP2527</t>
  </si>
  <si>
    <t>EMP2529</t>
  </si>
  <si>
    <t>EMP2530</t>
  </si>
  <si>
    <t>EMP2531</t>
  </si>
  <si>
    <t>EMP2532</t>
  </si>
  <si>
    <t>EMP2533</t>
  </si>
  <si>
    <t>EMP2534</t>
  </si>
  <si>
    <t>EMP2535</t>
  </si>
  <si>
    <t>EMP2537</t>
  </si>
  <si>
    <t>EMP2539</t>
  </si>
  <si>
    <t>EMP2540</t>
  </si>
  <si>
    <t>EMP2541</t>
  </si>
  <si>
    <t>EMP2544</t>
  </si>
  <si>
    <t>EMP2545</t>
  </si>
  <si>
    <t>EMP2547</t>
  </si>
  <si>
    <t>EMP2548</t>
  </si>
  <si>
    <t>EMP2550</t>
  </si>
  <si>
    <t>EMP2552</t>
  </si>
  <si>
    <t>EMP2553</t>
  </si>
  <si>
    <t>EMP2554</t>
  </si>
  <si>
    <t>EMP2556</t>
  </si>
  <si>
    <t>EMP2557</t>
  </si>
  <si>
    <t>EMP2558</t>
  </si>
  <si>
    <t>EMP2559</t>
  </si>
  <si>
    <t>EMP2560</t>
  </si>
  <si>
    <t>EMP2564</t>
  </si>
  <si>
    <t>EMP2565</t>
  </si>
  <si>
    <t>EMP2566</t>
  </si>
  <si>
    <t>EMP2567</t>
  </si>
  <si>
    <t>EMP2569</t>
  </si>
  <si>
    <t>EMP2570</t>
  </si>
  <si>
    <t>EMP2571</t>
  </si>
  <si>
    <t>EMP2572</t>
  </si>
  <si>
    <t>EMP2574</t>
  </si>
  <si>
    <t>EMP2576</t>
  </si>
  <si>
    <t>EMP2577</t>
  </si>
  <si>
    <t>EMP2579</t>
  </si>
  <si>
    <t>EMP2582</t>
  </si>
  <si>
    <t>EMP2583</t>
  </si>
  <si>
    <t>EMP2586</t>
  </si>
  <si>
    <t>EMP2587</t>
  </si>
  <si>
    <t>EMP2588</t>
  </si>
  <si>
    <t>EMP2589</t>
  </si>
  <si>
    <t>EMP2590</t>
  </si>
  <si>
    <t>EMP2591</t>
  </si>
  <si>
    <t>EMP2592</t>
  </si>
  <si>
    <t>EMP2594</t>
  </si>
  <si>
    <t>EMP2595</t>
  </si>
  <si>
    <t>EMP2597</t>
  </si>
  <si>
    <t>EMP2599</t>
  </si>
  <si>
    <t>EMP2600</t>
  </si>
  <si>
    <t>EMP2601</t>
  </si>
  <si>
    <t>EMP2603</t>
  </si>
  <si>
    <t>EMP2604</t>
  </si>
  <si>
    <t>EMP2605</t>
  </si>
  <si>
    <t>EMP2606</t>
  </si>
  <si>
    <t>EMP2607</t>
  </si>
  <si>
    <t>EMP2609</t>
  </si>
  <si>
    <t>EMP2610</t>
  </si>
  <si>
    <t>EMP2612</t>
  </si>
  <si>
    <t>EMP2614</t>
  </si>
  <si>
    <t>EMP2615</t>
  </si>
  <si>
    <t>EMP2616</t>
  </si>
  <si>
    <t>EMP2617</t>
  </si>
  <si>
    <t>EMP2619</t>
  </si>
  <si>
    <t>EMP2620</t>
  </si>
  <si>
    <t>EMP2621</t>
  </si>
  <si>
    <t>EMP2622</t>
  </si>
  <si>
    <t>EMP2623</t>
  </si>
  <si>
    <t>EMP2626</t>
  </si>
  <si>
    <t>EMP2628</t>
  </si>
  <si>
    <t>EMP2629</t>
  </si>
  <si>
    <t>EMP2630</t>
  </si>
  <si>
    <t>EMP2631</t>
  </si>
  <si>
    <t>EMP2632</t>
  </si>
  <si>
    <t>EMP2633</t>
  </si>
  <si>
    <t>EMP2634</t>
  </si>
  <si>
    <t>EMP2635</t>
  </si>
  <si>
    <t>EMP2639</t>
  </si>
  <si>
    <t>EMP2643</t>
  </si>
  <si>
    <t>EMP2644</t>
  </si>
  <si>
    <t>EMP2645</t>
  </si>
  <si>
    <t>EMP2647</t>
  </si>
  <si>
    <t>EMP2648</t>
  </si>
  <si>
    <t>EMP2649</t>
  </si>
  <si>
    <t>EMP2652</t>
  </si>
  <si>
    <t>EMP2653</t>
  </si>
  <si>
    <t>EMP2654</t>
  </si>
  <si>
    <t>EMP2655</t>
  </si>
  <si>
    <t>EMP2657</t>
  </si>
  <si>
    <t>EMP2658</t>
  </si>
  <si>
    <t>EMP2659</t>
  </si>
  <si>
    <t>EMP2660</t>
  </si>
  <si>
    <t>EMP2661</t>
  </si>
  <si>
    <t>EMP2662</t>
  </si>
  <si>
    <t>EMP2663</t>
  </si>
  <si>
    <t>EMP2664</t>
  </si>
  <si>
    <t>EMP2666</t>
  </si>
  <si>
    <t>EMP2667</t>
  </si>
  <si>
    <t>EMP2668</t>
  </si>
  <si>
    <t>EMP2669</t>
  </si>
  <si>
    <t>EMP2670</t>
  </si>
  <si>
    <t>EMP2671</t>
  </si>
  <si>
    <t>EMP2672</t>
  </si>
  <si>
    <t>EMP2673</t>
  </si>
  <si>
    <t>EMP2674</t>
  </si>
  <si>
    <t>EMP2675</t>
  </si>
  <si>
    <t>EMP2676</t>
  </si>
  <si>
    <t>EMP2678</t>
  </si>
  <si>
    <t>EMP2681</t>
  </si>
  <si>
    <t>EMP2682</t>
  </si>
  <si>
    <t>EMP2684</t>
  </si>
  <si>
    <t>EMP2686</t>
  </si>
  <si>
    <t>EMP2688</t>
  </si>
  <si>
    <t>EMP2692</t>
  </si>
  <si>
    <t>EMP2693</t>
  </si>
  <si>
    <t>EMP2694</t>
  </si>
  <si>
    <t>EMP2697</t>
  </si>
  <si>
    <t>EMP2698</t>
  </si>
  <si>
    <t>EMP2700</t>
  </si>
  <si>
    <t>EMP2702</t>
  </si>
  <si>
    <t>EMP2704</t>
  </si>
  <si>
    <t>EMP2705</t>
  </si>
  <si>
    <t>EMP2706</t>
  </si>
  <si>
    <t>EMP2707</t>
  </si>
  <si>
    <t>EMP2709</t>
  </si>
  <si>
    <t>EMP2710</t>
  </si>
  <si>
    <t>EMP2711</t>
  </si>
  <si>
    <t>EMP2714</t>
  </si>
  <si>
    <t>EMP2715</t>
  </si>
  <si>
    <t>EMP2718</t>
  </si>
  <si>
    <t>EMP2719</t>
  </si>
  <si>
    <t>EMP2720</t>
  </si>
  <si>
    <t>EMP2721</t>
  </si>
  <si>
    <t>EMP2722</t>
  </si>
  <si>
    <t>EMP2723</t>
  </si>
  <si>
    <t>EMP2724</t>
  </si>
  <si>
    <t>EMP2727</t>
  </si>
  <si>
    <t>EMP2728</t>
  </si>
  <si>
    <t>EMP2729</t>
  </si>
  <si>
    <t>EMP2730</t>
  </si>
  <si>
    <t>EMP2731</t>
  </si>
  <si>
    <t>EMP2733</t>
  </si>
  <si>
    <t>EMP2734</t>
  </si>
  <si>
    <t>EMP2735</t>
  </si>
  <si>
    <t>EMP2737</t>
  </si>
  <si>
    <t>EMP2738</t>
  </si>
  <si>
    <t>EMP2739</t>
  </si>
  <si>
    <t>EMP2740</t>
  </si>
  <si>
    <t>EMP2742</t>
  </si>
  <si>
    <t>EMP2744</t>
  </si>
  <si>
    <t>EMP2745</t>
  </si>
  <si>
    <t>EMP2746</t>
  </si>
  <si>
    <t>EMP2747</t>
  </si>
  <si>
    <t>EMP2748</t>
  </si>
  <si>
    <t>EMP2749</t>
  </si>
  <si>
    <t>EMP2750</t>
  </si>
  <si>
    <t>EMP2751</t>
  </si>
  <si>
    <t>EMP2752</t>
  </si>
  <si>
    <t>EMP2753</t>
  </si>
  <si>
    <t>EMP2754</t>
  </si>
  <si>
    <t>EMP2755</t>
  </si>
  <si>
    <t>EMP2758</t>
  </si>
  <si>
    <t>EMP2759</t>
  </si>
  <si>
    <t>EMP2760</t>
  </si>
  <si>
    <t>EMP2761</t>
  </si>
  <si>
    <t>EMP2762</t>
  </si>
  <si>
    <t>EMP2763</t>
  </si>
  <si>
    <t>EMP2764</t>
  </si>
  <si>
    <t>EMP2765</t>
  </si>
  <si>
    <t>EMP2766</t>
  </si>
  <si>
    <t>EMP2767</t>
  </si>
  <si>
    <t>EMP2768</t>
  </si>
  <si>
    <t>EMP2770</t>
  </si>
  <si>
    <t>EMP2771</t>
  </si>
  <si>
    <t>EMP2773</t>
  </si>
  <si>
    <t>EMP2774</t>
  </si>
  <si>
    <t>EMP2775</t>
  </si>
  <si>
    <t>EMP2776</t>
  </si>
  <si>
    <t>EMP2778</t>
  </si>
  <si>
    <t>EMP2780</t>
  </si>
  <si>
    <t>EMP2781</t>
  </si>
  <si>
    <t>EMP2785</t>
  </si>
  <si>
    <t>EMP2786</t>
  </si>
  <si>
    <t>EMP2787</t>
  </si>
  <si>
    <t>EMP2788</t>
  </si>
  <si>
    <t>EMP2789</t>
  </si>
  <si>
    <t>EMP2790</t>
  </si>
  <si>
    <t>EMP2792</t>
  </si>
  <si>
    <t>EMP2793</t>
  </si>
  <si>
    <t>EMP2794</t>
  </si>
  <si>
    <t>EMP2795</t>
  </si>
  <si>
    <t>EMP2797</t>
  </si>
  <si>
    <t>EMP2799</t>
  </si>
  <si>
    <t>EMP2801</t>
  </si>
  <si>
    <t>EMP2803</t>
  </si>
  <si>
    <t>EMP2804</t>
  </si>
  <si>
    <t>EMP2805</t>
  </si>
  <si>
    <t>EMP2806</t>
  </si>
  <si>
    <t>EMP2807</t>
  </si>
  <si>
    <t>EMP2808</t>
  </si>
  <si>
    <t>EMP2809</t>
  </si>
  <si>
    <t>EMP2810</t>
  </si>
  <si>
    <t>EMP2812</t>
  </si>
  <si>
    <t>EMP2813</t>
  </si>
  <si>
    <t>EMP2814</t>
  </si>
  <si>
    <t>EMP2815</t>
  </si>
  <si>
    <t>EMP2816</t>
  </si>
  <si>
    <t>EMP2818</t>
  </si>
  <si>
    <t>EMP2820</t>
  </si>
  <si>
    <t>EMP2821</t>
  </si>
  <si>
    <t>EMP2822</t>
  </si>
  <si>
    <t>EMP2823</t>
  </si>
  <si>
    <t>EMP2824</t>
  </si>
  <si>
    <t>EMP2825</t>
  </si>
  <si>
    <t>EMP2826</t>
  </si>
  <si>
    <t>EMP2829</t>
  </si>
  <si>
    <t>EMP2831</t>
  </si>
  <si>
    <t>EMP2832</t>
  </si>
  <si>
    <t>EMP2833</t>
  </si>
  <si>
    <t>EMP2834</t>
  </si>
  <si>
    <t>EMP2836</t>
  </si>
  <si>
    <t>EMP2837</t>
  </si>
  <si>
    <t>EMP2840</t>
  </si>
  <si>
    <t>EMP2842</t>
  </si>
  <si>
    <t>EMP2843</t>
  </si>
  <si>
    <t>EMP2847</t>
  </si>
  <si>
    <t>EMP2849</t>
  </si>
  <si>
    <t>EMP2850</t>
  </si>
  <si>
    <t>EMP2851</t>
  </si>
  <si>
    <t>EMP2852</t>
  </si>
  <si>
    <t>EMP2853</t>
  </si>
  <si>
    <t>EMP2855</t>
  </si>
  <si>
    <t>EMP2856</t>
  </si>
  <si>
    <t>EMP2857</t>
  </si>
  <si>
    <t>EMP2858</t>
  </si>
  <si>
    <t>EMP2859</t>
  </si>
  <si>
    <t>EMP2860</t>
  </si>
  <si>
    <t>EMP2861</t>
  </si>
  <si>
    <t>EMP2863</t>
  </si>
  <si>
    <t>EMP2864</t>
  </si>
  <si>
    <t>EMP2865</t>
  </si>
  <si>
    <t>EMP2866</t>
  </si>
  <si>
    <t>EMP2867</t>
  </si>
  <si>
    <t>EMP2868</t>
  </si>
  <si>
    <t>EMP2869</t>
  </si>
  <si>
    <t>EMP2870</t>
  </si>
  <si>
    <t>EMP2872</t>
  </si>
  <si>
    <t>EMP2873</t>
  </si>
  <si>
    <t>EMP2874</t>
  </si>
  <si>
    <t>EMP2875</t>
  </si>
  <si>
    <t>EMP2876</t>
  </si>
  <si>
    <t>EMP2877</t>
  </si>
  <si>
    <t>EMP2878</t>
  </si>
  <si>
    <t>EMP2880</t>
  </si>
  <si>
    <t>EMP2882</t>
  </si>
  <si>
    <t>EMP2883</t>
  </si>
  <si>
    <t>EMP2884</t>
  </si>
  <si>
    <t>EMP2889</t>
  </si>
  <si>
    <t>EMP2892</t>
  </si>
  <si>
    <t>Anvi Rama</t>
  </si>
  <si>
    <t>Zeeshan Bali</t>
  </si>
  <si>
    <t>Akarsh Shanker</t>
  </si>
  <si>
    <t>Aaryahi Kaur</t>
  </si>
  <si>
    <t>Aaryahi Ray</t>
  </si>
  <si>
    <t>Sahil Khalsa</t>
  </si>
  <si>
    <t>Shaan Mani</t>
  </si>
  <si>
    <t>Yuvraj  Rout</t>
  </si>
  <si>
    <t>Anay Kothari</t>
  </si>
  <si>
    <t>Amani Manda</t>
  </si>
  <si>
    <t>Azad Trivedi</t>
  </si>
  <si>
    <t>Kaira Shukla</t>
  </si>
  <si>
    <t>Khushi Viswanathan</t>
  </si>
  <si>
    <t>Hrishita Sachar</t>
  </si>
  <si>
    <t>Kanav Kulkarni</t>
  </si>
  <si>
    <t>Jivin Acharya</t>
  </si>
  <si>
    <t>Samiha Bansal</t>
  </si>
  <si>
    <t>Divit Dixit</t>
  </si>
  <si>
    <t>Mishti Das</t>
  </si>
  <si>
    <t>Eshani Swamy</t>
  </si>
  <si>
    <t>Rati Gulati</t>
  </si>
  <si>
    <t>Rohan Deol</t>
  </si>
  <si>
    <t>Priyansh Deo</t>
  </si>
  <si>
    <t>Pranay Desai</t>
  </si>
  <si>
    <t>Pari Butala</t>
  </si>
  <si>
    <t>Damini Sunder</t>
  </si>
  <si>
    <t>Rasha Srinivasan</t>
  </si>
  <si>
    <t>Baiju Buch</t>
  </si>
  <si>
    <t>Urvi Bakshi</t>
  </si>
  <si>
    <t>Trisha Singh</t>
  </si>
  <si>
    <t>Indranil Chaudhuri</t>
  </si>
  <si>
    <t>Sumer Brar</t>
  </si>
  <si>
    <t>Miraan Sura</t>
  </si>
  <si>
    <t>Divij Deo</t>
  </si>
  <si>
    <t>Biju Rau</t>
  </si>
  <si>
    <t>Hridaan Seth</t>
  </si>
  <si>
    <t>Piya Kakar</t>
  </si>
  <si>
    <t>Mahika Mannan</t>
  </si>
  <si>
    <t>Tushar Thaman</t>
  </si>
  <si>
    <t>Ela Comar</t>
  </si>
  <si>
    <t>Mehul Banerjee</t>
  </si>
  <si>
    <t>Hridaan Tank</t>
  </si>
  <si>
    <t>Taimur Sankaran</t>
  </si>
  <si>
    <t>Fateh Rana</t>
  </si>
  <si>
    <t>Emir Agarwal</t>
  </si>
  <si>
    <t>Biju Buch</t>
  </si>
  <si>
    <t>Rania Deshmukh</t>
  </si>
  <si>
    <t>Ivan Dhawan</t>
  </si>
  <si>
    <t>Ehsaan Mangal</t>
  </si>
  <si>
    <t>Damini Khosla</t>
  </si>
  <si>
    <t>Lavanya Kadakia</t>
  </si>
  <si>
    <t>Raghav Dyal</t>
  </si>
  <si>
    <t>Badal Lalla</t>
  </si>
  <si>
    <t>Yasmin Ben</t>
  </si>
  <si>
    <t>Charvi Bora</t>
  </si>
  <si>
    <t>Aaina Subramanian</t>
  </si>
  <si>
    <t>Riya Gole</t>
  </si>
  <si>
    <t>Suhana Srinivasan</t>
  </si>
  <si>
    <t>Nakul Chowdhury</t>
  </si>
  <si>
    <t>Jiya Mani</t>
  </si>
  <si>
    <t>Vidur Choudhary</t>
  </si>
  <si>
    <t>Zeeshan Sachar</t>
  </si>
  <si>
    <t>Tejas Badal</t>
  </si>
  <si>
    <t>Dharmajan Hayre</t>
  </si>
  <si>
    <t>Ishaan Sabharwal</t>
  </si>
  <si>
    <t>Shray Gala</t>
  </si>
  <si>
    <t>Bhamini Anand</t>
  </si>
  <si>
    <t>Ishaan Chaudry</t>
  </si>
  <si>
    <t>Inaaya  Mallick</t>
  </si>
  <si>
    <t>Emir Aggarwal</t>
  </si>
  <si>
    <t>Dhanush Vohra</t>
  </si>
  <si>
    <t>Kabir Tata</t>
  </si>
  <si>
    <t>Alia Zacharia</t>
  </si>
  <si>
    <t>Hiran Lad</t>
  </si>
  <si>
    <t>Kanav Singhal</t>
  </si>
  <si>
    <t>Urvi Lata</t>
  </si>
  <si>
    <t>Tarini Bahl</t>
  </si>
  <si>
    <t>Dhruv Randhawa</t>
  </si>
  <si>
    <t>Jhanvi Keer</t>
  </si>
  <si>
    <t>Madhup Wali</t>
  </si>
  <si>
    <t>Vivaan Venkataraman</t>
  </si>
  <si>
    <t>Manjari Mangal</t>
  </si>
  <si>
    <t>Vritika Gupta</t>
  </si>
  <si>
    <t>Dhanush Handa</t>
  </si>
  <si>
    <t>Pranay Khalsa</t>
  </si>
  <si>
    <t>Miraan Dar</t>
  </si>
  <si>
    <t>Samaira Jayaraman</t>
  </si>
  <si>
    <t>Manikya Kanda</t>
  </si>
  <si>
    <t>Navya Rau</t>
  </si>
  <si>
    <t>Kartik Bakshi</t>
  </si>
  <si>
    <t>Zara Kannan</t>
  </si>
  <si>
    <t>Armaan Mall</t>
  </si>
  <si>
    <t>Veer Gara</t>
  </si>
  <si>
    <t>Jiya Kashyap</t>
  </si>
  <si>
    <t>Nitara Sood</t>
  </si>
  <si>
    <t>Akarsh Lala</t>
  </si>
  <si>
    <t>Kiaan Lall</t>
  </si>
  <si>
    <t>Oorja Bahri</t>
  </si>
  <si>
    <t>Keya Kaur</t>
  </si>
  <si>
    <t>Kabir Bawa</t>
  </si>
  <si>
    <t>Nirvaan Varma</t>
  </si>
  <si>
    <t>Khushi Srinivasan</t>
  </si>
  <si>
    <t>Shanaya Chakraborty</t>
  </si>
  <si>
    <t>Ishaan Sekhon</t>
  </si>
  <si>
    <t>Priyansh Vaidya</t>
  </si>
  <si>
    <t>Riya Rajan</t>
  </si>
  <si>
    <t>Anay Madan</t>
  </si>
  <si>
    <t>Charvi Kumer</t>
  </si>
  <si>
    <t>Sana Dalal</t>
  </si>
  <si>
    <t>Kabir Desai</t>
  </si>
  <si>
    <t>Azad Vohra</t>
  </si>
  <si>
    <t>Miraya Krishnamurthy</t>
  </si>
  <si>
    <t>Manjari Ranganathan</t>
  </si>
  <si>
    <t>Aaryahi Bir</t>
  </si>
  <si>
    <t>Vihaan Vohra</t>
  </si>
  <si>
    <t>Adira Wagle</t>
  </si>
  <si>
    <t>Tarini Saran</t>
  </si>
  <si>
    <t>Abram Doctor</t>
  </si>
  <si>
    <t>Nayantara Kumer</t>
  </si>
  <si>
    <t>Tiya Mangal</t>
  </si>
  <si>
    <t>Vedika Suri</t>
  </si>
  <si>
    <t>Kanav Trivedi</t>
  </si>
  <si>
    <t>Stuvan Sarna</t>
  </si>
  <si>
    <t>Vivaan Chacko</t>
  </si>
  <si>
    <t>Vanya Ramesh</t>
  </si>
  <si>
    <t>Rasha Kulkarni</t>
  </si>
  <si>
    <t>Khushi Wagle</t>
  </si>
  <si>
    <t>Zeeshan Dar</t>
  </si>
  <si>
    <t>Hunar Apte</t>
  </si>
  <si>
    <t>Divit Doshi</t>
  </si>
  <si>
    <t>Faiyaz Bhavsar</t>
  </si>
  <si>
    <t>Madhup Rajagopal</t>
  </si>
  <si>
    <t>Ahana  Ramanathan</t>
  </si>
  <si>
    <t>Pihu Kota</t>
  </si>
  <si>
    <t>Zain Dasgupta</t>
  </si>
  <si>
    <t>Indrajit Barad</t>
  </si>
  <si>
    <t>Aaina Rajagopalan</t>
  </si>
  <si>
    <t>Saksham Kata</t>
  </si>
  <si>
    <t>Biju Reddy</t>
  </si>
  <si>
    <t>Onkar Tata</t>
  </si>
  <si>
    <t>Adah Bobal</t>
  </si>
  <si>
    <t>Aaryahi Sarin</t>
  </si>
  <si>
    <t>Nirvi Chander</t>
  </si>
  <si>
    <t>Zoya Taneja</t>
  </si>
  <si>
    <t>Yakshit Wali</t>
  </si>
  <si>
    <t>Anay Bora</t>
  </si>
  <si>
    <t>Shray Barad</t>
  </si>
  <si>
    <t>Kashvi Lanka</t>
  </si>
  <si>
    <t>Ojas Ben</t>
  </si>
  <si>
    <t>Kashvi Viswanathan</t>
  </si>
  <si>
    <t>Abram Varty</t>
  </si>
  <si>
    <t>Arnav Sheth</t>
  </si>
  <si>
    <t>Aarav Talwar</t>
  </si>
  <si>
    <t>Suhana Chand</t>
  </si>
  <si>
    <t>Bhamini Choudhary</t>
  </si>
  <si>
    <t>Jiya Tiwari</t>
  </si>
  <si>
    <t>Fateh Din</t>
  </si>
  <si>
    <t>Hansh Choudhary</t>
  </si>
  <si>
    <t>Adira Bakshi</t>
  </si>
  <si>
    <t>Navya Sehgal</t>
  </si>
  <si>
    <t>Pari Saran</t>
  </si>
  <si>
    <t>Parinaaz Mander</t>
  </si>
  <si>
    <t>Rati Borra</t>
  </si>
  <si>
    <t>Urvi Dani</t>
  </si>
  <si>
    <t>Pari Halder</t>
  </si>
  <si>
    <t>Bhavin Mahal</t>
  </si>
  <si>
    <t>Divij Bobal</t>
  </si>
  <si>
    <t>Navya Dhingra</t>
  </si>
  <si>
    <t>Hiran Sem</t>
  </si>
  <si>
    <t>Alia Singh</t>
  </si>
  <si>
    <t>Raghav Sheth</t>
  </si>
  <si>
    <t>Mamooty Baria</t>
  </si>
  <si>
    <t>Drishya Deo</t>
  </si>
  <si>
    <t>Sumer Sodhi</t>
  </si>
  <si>
    <t>Advika Bakshi</t>
  </si>
  <si>
    <t>Zoya Chhabra</t>
  </si>
  <si>
    <t>Faiyaz Sama</t>
  </si>
  <si>
    <t>Devansh Kapoor</t>
  </si>
  <si>
    <t>Nakul Venkataraman</t>
  </si>
  <si>
    <t>Sana Kalla</t>
  </si>
  <si>
    <t>Anaya Soman</t>
  </si>
  <si>
    <t>Madhav Srivastava</t>
  </si>
  <si>
    <t>Shlok Shetty</t>
  </si>
  <si>
    <t>Adira Aggarwal</t>
  </si>
  <si>
    <t>Kanav Talwar</t>
  </si>
  <si>
    <t>Krish Sachdev</t>
  </si>
  <si>
    <t>Mamooty Kohli</t>
  </si>
  <si>
    <t>Azad Arya</t>
  </si>
  <si>
    <t>Sara Upadhyay</t>
  </si>
  <si>
    <t>Dharmajan Jha</t>
  </si>
  <si>
    <t>Prisha Sundaram</t>
  </si>
  <si>
    <t>Myra Bhakta</t>
  </si>
  <si>
    <t>Taimur Dora</t>
  </si>
  <si>
    <t>Yakshit Chaudhuri</t>
  </si>
  <si>
    <t>Alisha Sule</t>
  </si>
  <si>
    <t>Himmat Wali</t>
  </si>
  <si>
    <t>Manikya Issac</t>
  </si>
  <si>
    <t>Suhana Kala</t>
  </si>
  <si>
    <t>Mannat Dubey</t>
  </si>
  <si>
    <t>Anahita Rama</t>
  </si>
  <si>
    <t>Reyansh Ahuja</t>
  </si>
  <si>
    <t>Reyansh Boase</t>
  </si>
  <si>
    <t>Rasha Gole</t>
  </si>
  <si>
    <t>Anika Loke</t>
  </si>
  <si>
    <t>Aradhya Master</t>
  </si>
  <si>
    <t>Zoya Sehgal</t>
  </si>
  <si>
    <t>Jivin Raval</t>
  </si>
  <si>
    <t>Kiaan Seth</t>
  </si>
  <si>
    <t>Mamooty Rao</t>
  </si>
  <si>
    <t>Manikya Sha</t>
  </si>
  <si>
    <t>Divij Som</t>
  </si>
  <si>
    <t>Kabir Wali</t>
  </si>
  <si>
    <t>Eva Kapoor</t>
  </si>
  <si>
    <t>Eva Rastogi</t>
  </si>
  <si>
    <t>Stuvan Wadhwa</t>
  </si>
  <si>
    <t>Samarth Khalsa</t>
  </si>
  <si>
    <t>Amani Dave</t>
  </si>
  <si>
    <t>Jayesh Sandal</t>
  </si>
  <si>
    <t>Aradhya Saxena</t>
  </si>
  <si>
    <t>Shanaya Reddy</t>
  </si>
  <si>
    <t>Jayan Rajagopalan</t>
  </si>
  <si>
    <t>Nakul Khatri</t>
  </si>
  <si>
    <t>Rania Shetty</t>
  </si>
  <si>
    <t>Piya Varty</t>
  </si>
  <si>
    <t>Purab Sodhi</t>
  </si>
  <si>
    <t>Rasha Krish</t>
  </si>
  <si>
    <t>Elakshi Mahal</t>
  </si>
  <si>
    <t>Vritika Kapur</t>
  </si>
  <si>
    <t>Alia Sood</t>
  </si>
  <si>
    <t>Zaina Rau</t>
  </si>
  <si>
    <t>Aarush Varma</t>
  </si>
  <si>
    <t>Shlok Dewan</t>
  </si>
  <si>
    <t>Vardaniya Viswanathan</t>
  </si>
  <si>
    <t>Damini Dua</t>
  </si>
  <si>
    <t>Akarsh Srinivas</t>
  </si>
  <si>
    <t>Indrajit Sarna</t>
  </si>
  <si>
    <t>Himmat Ramesh</t>
  </si>
  <si>
    <t>Ranbir Atwal</t>
  </si>
  <si>
    <t>Kartik Sani</t>
  </si>
  <si>
    <t>Gokul Sachdev</t>
  </si>
  <si>
    <t>Saanvi D’Alia</t>
  </si>
  <si>
    <t>Jayesh Mallick</t>
  </si>
  <si>
    <t>Baiju Balakrishnan</t>
  </si>
  <si>
    <t>Yuvaan Venkataraman</t>
  </si>
  <si>
    <t>Ivan Tara</t>
  </si>
  <si>
    <t>Bhavin Buch</t>
  </si>
  <si>
    <t>Dhruv Grover</t>
  </si>
  <si>
    <t>Aayush Sachdeva</t>
  </si>
  <si>
    <t>Pihu Bose</t>
  </si>
  <si>
    <t>Nakul Raman</t>
  </si>
  <si>
    <t>Advika Tank</t>
  </si>
  <si>
    <t>Dhruv Ramesh</t>
  </si>
  <si>
    <t>Zain Yohannan</t>
  </si>
  <si>
    <t>Ela Mall</t>
  </si>
  <si>
    <t>Vanya Toor</t>
  </si>
  <si>
    <t>Kiaan Dass</t>
  </si>
  <si>
    <t>Advik Choudhury</t>
  </si>
  <si>
    <t>Zaina Gulati</t>
  </si>
  <si>
    <t>Mishti Saxena</t>
  </si>
  <si>
    <t>Shanaya Gill</t>
  </si>
  <si>
    <t>Misha Raju</t>
  </si>
  <si>
    <t>Abram Chauhan</t>
  </si>
  <si>
    <t>Nitya Mahajan</t>
  </si>
  <si>
    <t>Neelofar Viswanathan</t>
  </si>
  <si>
    <t>Romil Ghosh</t>
  </si>
  <si>
    <t>Pari Manda</t>
  </si>
  <si>
    <t>Miraya Bandi</t>
  </si>
  <si>
    <t>Mehul Arora</t>
  </si>
  <si>
    <t>Ayesha Raju</t>
  </si>
  <si>
    <t>Inaaya  Deshmukh</t>
  </si>
  <si>
    <t>Lavanya Baral</t>
  </si>
  <si>
    <t>Akarsh Atwal</t>
  </si>
  <si>
    <t>Neysa Bali</t>
  </si>
  <si>
    <t>Shray Loyal</t>
  </si>
  <si>
    <t>Samaira Kamdar</t>
  </si>
  <si>
    <t>Advika Tara</t>
  </si>
  <si>
    <t>Zain Sawhney</t>
  </si>
  <si>
    <t>Dhanush Singh</t>
  </si>
  <si>
    <t>Saksham Chaudhry</t>
  </si>
  <si>
    <t>Veer Sengupta</t>
  </si>
  <si>
    <t>Nitara Dixit</t>
  </si>
  <si>
    <t>Nitara Bumb</t>
  </si>
  <si>
    <t>Rania Varghese</t>
  </si>
  <si>
    <t>Anay Som</t>
  </si>
  <si>
    <t>Nitara Dara</t>
  </si>
  <si>
    <t>Reyansh Chowdhury</t>
  </si>
  <si>
    <t>Zara Sur</t>
  </si>
  <si>
    <t>Tanya Tripathi</t>
  </si>
  <si>
    <t>Nirvaan Ramakrishnan</t>
  </si>
  <si>
    <t>Pihu Sunder</t>
  </si>
  <si>
    <t>Adira Kapur</t>
  </si>
  <si>
    <t>Saksham Balakrishnan</t>
  </si>
  <si>
    <t>Vihaan Bir</t>
  </si>
  <si>
    <t>Zoya Sundaram</t>
  </si>
  <si>
    <t>Sana Saini</t>
  </si>
  <si>
    <t>Ela Bhargava</t>
  </si>
  <si>
    <t>Ayesha Saini</t>
  </si>
  <si>
    <t>Urvi Chander</t>
  </si>
  <si>
    <t>Suhana Krishnamurthy</t>
  </si>
  <si>
    <t>Lakshay Bera</t>
  </si>
  <si>
    <t>Shaan Jhaveri</t>
  </si>
  <si>
    <t>Raunak Datta</t>
  </si>
  <si>
    <t>Jivin Buch</t>
  </si>
  <si>
    <t>Badal Lala</t>
  </si>
  <si>
    <t>Jivin Kaul</t>
  </si>
  <si>
    <t>Mahika Sood</t>
  </si>
  <si>
    <t>Reyansh Mangat</t>
  </si>
  <si>
    <t>Jayant Dayal</t>
  </si>
  <si>
    <t>Akarsh Doctor</t>
  </si>
  <si>
    <t>Sahil Trivedi</t>
  </si>
  <si>
    <t>Stuvan Gill</t>
  </si>
  <si>
    <t>Zain Raman</t>
  </si>
  <si>
    <t>Advika Doctor</t>
  </si>
  <si>
    <t>Adira Shankar</t>
  </si>
  <si>
    <t>Akarsh Ramesh</t>
  </si>
  <si>
    <t>Urvi Chauhan</t>
  </si>
  <si>
    <t>Zoya Reddy</t>
  </si>
  <si>
    <t>Sahil Hayre</t>
  </si>
  <si>
    <t>Kaira Balasubramanian</t>
  </si>
  <si>
    <t>Lakshay Bhagat</t>
  </si>
  <si>
    <t>Manjari Wable</t>
  </si>
  <si>
    <t>Hunar Choudhary</t>
  </si>
  <si>
    <t>Zoya Jha</t>
  </si>
  <si>
    <t>Mehul Keer</t>
  </si>
  <si>
    <t>Keya Ranganathan</t>
  </si>
  <si>
    <t>Aaina Varma</t>
  </si>
  <si>
    <t>Mamooty Edwin</t>
  </si>
  <si>
    <t>Darshit Madan</t>
  </si>
  <si>
    <t>Sumer Tata</t>
  </si>
  <si>
    <t>Azad Shah</t>
  </si>
  <si>
    <t>Taran Chaudhry</t>
  </si>
  <si>
    <t>Amani Tailor</t>
  </si>
  <si>
    <t>Adira Dalal</t>
  </si>
  <si>
    <t>Pihu Apte</t>
  </si>
  <si>
    <t>Adah Joshi</t>
  </si>
  <si>
    <t>Indranil Khanna</t>
  </si>
  <si>
    <t>Divij Dixit</t>
  </si>
  <si>
    <t>Vihaan Sami</t>
  </si>
  <si>
    <t>Diya Sidhu</t>
  </si>
  <si>
    <t>Aayush Dasgupta</t>
  </si>
  <si>
    <t>Taran Gopal</t>
  </si>
  <si>
    <t>Ira Som</t>
  </si>
  <si>
    <t>Lakshay Maharaj</t>
  </si>
  <si>
    <t>Shaan Venkatesh</t>
  </si>
  <si>
    <t>Pranay Chaudhari</t>
  </si>
  <si>
    <t>Rati Banik</t>
  </si>
  <si>
    <t>Hunar Bahri</t>
  </si>
  <si>
    <t>Lakshit Dixit</t>
  </si>
  <si>
    <t>Kartik Thaker</t>
  </si>
  <si>
    <t>Jayan Dara</t>
  </si>
  <si>
    <t>Jivika Seshadri</t>
  </si>
  <si>
    <t>Siya Dhaliwal</t>
  </si>
  <si>
    <t>Vritika Thaker</t>
  </si>
  <si>
    <t>Umang Lalla</t>
  </si>
  <si>
    <t>Heer Chowdhury</t>
  </si>
  <si>
    <t>Misha Gaba</t>
  </si>
  <si>
    <t>Yasmin Khatri</t>
  </si>
  <si>
    <t>Eshani Rajagopalan</t>
  </si>
  <si>
    <t>Romil Saha</t>
  </si>
  <si>
    <t>Arnav Bains</t>
  </si>
  <si>
    <t>Lakshay Som</t>
  </si>
  <si>
    <t>Alia Kanda</t>
  </si>
  <si>
    <t>Yuvraj  Dalal</t>
  </si>
  <si>
    <t>Kimaya Subramaniam</t>
  </si>
  <si>
    <t>Hrishita Kuruvilla</t>
  </si>
  <si>
    <t>Anya Samra</t>
  </si>
  <si>
    <t>Onkar Chauhan</t>
  </si>
  <si>
    <t>Ryan Dewan</t>
  </si>
  <si>
    <t>Samarth Dayal</t>
  </si>
  <si>
    <t>Biju Sanghvi</t>
  </si>
  <si>
    <t>Saksham Bahl</t>
  </si>
  <si>
    <t>Mishti Sinha</t>
  </si>
  <si>
    <t>Rohan Bora</t>
  </si>
  <si>
    <t>Priyansh Uppal</t>
  </si>
  <si>
    <t>Samar Handa</t>
  </si>
  <si>
    <t>Jivin Krishnamurthy</t>
  </si>
  <si>
    <t>Alia Gour</t>
  </si>
  <si>
    <t>Zeeshan Arya</t>
  </si>
  <si>
    <t>Sahil Samra</t>
  </si>
  <si>
    <t>Riaan Balay</t>
  </si>
  <si>
    <t>Renee Chokshi</t>
  </si>
  <si>
    <t>Vardaniya Badami</t>
  </si>
  <si>
    <t>Priyansh Dugar</t>
  </si>
  <si>
    <t>Lavanya Zacharia</t>
  </si>
  <si>
    <t>Renee Swaminathan</t>
  </si>
  <si>
    <t>Prerak Sahota</t>
  </si>
  <si>
    <t>Nirvi Chand</t>
  </si>
  <si>
    <t>Amani Bajaj</t>
  </si>
  <si>
    <t>Amani Kari</t>
  </si>
  <si>
    <t>Hunar Kar</t>
  </si>
  <si>
    <t>Zoya Warrior</t>
  </si>
  <si>
    <t>Kismat Kothari</t>
  </si>
  <si>
    <t>Divit Kala</t>
  </si>
  <si>
    <t>Rasha Sachdeva</t>
  </si>
  <si>
    <t>Samarth Kannan</t>
  </si>
  <si>
    <t>Anahi Sood</t>
  </si>
  <si>
    <t>Rati Badami</t>
  </si>
  <si>
    <t>Onkar Bora</t>
  </si>
  <si>
    <t>Kiara Chakrabarti</t>
  </si>
  <si>
    <t>Jhanvi Kamdar</t>
  </si>
  <si>
    <t>Dhanush Ramanathan</t>
  </si>
  <si>
    <t>Kaira Saran</t>
  </si>
  <si>
    <t>Dhruv Handa</t>
  </si>
  <si>
    <t>Yashvi Saran</t>
  </si>
  <si>
    <t>Ira Bains</t>
  </si>
  <si>
    <t>Aaina Ghosh</t>
  </si>
  <si>
    <t>Bhavin Ahluwalia</t>
  </si>
  <si>
    <t>Khushi Sood</t>
  </si>
  <si>
    <t>Shlok Bora</t>
  </si>
  <si>
    <t>Vardaniya Raj</t>
  </si>
  <si>
    <t>Hrishita Bassi</t>
  </si>
  <si>
    <t>Mahika Ahluwalia</t>
  </si>
  <si>
    <t>Miraan Jha</t>
  </si>
  <si>
    <t>Drishya Khosla</t>
  </si>
  <si>
    <t>Zain Banerjee</t>
  </si>
  <si>
    <t>Sana Bail</t>
  </si>
  <si>
    <t>Alia Andra</t>
  </si>
  <si>
    <t>Vritika Handa</t>
  </si>
  <si>
    <t>Jivin Chaudry</t>
  </si>
  <si>
    <t>Anahita Verma</t>
  </si>
  <si>
    <t>Sahil Hayer</t>
  </si>
  <si>
    <t>Devansh Sibal</t>
  </si>
  <si>
    <t>Ritvik Chopra</t>
  </si>
  <si>
    <t>Amira Lanka</t>
  </si>
  <si>
    <t>Aaryahi Vyas</t>
  </si>
  <si>
    <t>Kimaya Bera</t>
  </si>
  <si>
    <t>Bhavin Vasa</t>
  </si>
  <si>
    <t>Riya Sen</t>
  </si>
  <si>
    <t>Hrishita Dewan</t>
  </si>
  <si>
    <t>Aniruddh Madan</t>
  </si>
  <si>
    <t>Tarini Swaminathan</t>
  </si>
  <si>
    <t>Arnav Khalsa</t>
  </si>
  <si>
    <t>Vaibhav Vora</t>
  </si>
  <si>
    <t>Aniruddh Taneja</t>
  </si>
  <si>
    <t>Charvi Srivastava</t>
  </si>
  <si>
    <t>Eva Shah</t>
  </si>
  <si>
    <t>Samarth Bhat</t>
  </si>
  <si>
    <t>Raghav Koshy</t>
  </si>
  <si>
    <t>Seher Tak</t>
  </si>
  <si>
    <t>Shayak Raman</t>
  </si>
  <si>
    <t>Amani Goswami</t>
  </si>
  <si>
    <t>Nehmat Kala</t>
  </si>
  <si>
    <t>Tara Ratta</t>
  </si>
  <si>
    <t>Jayant Ranganathan</t>
  </si>
  <si>
    <t>Mohanlal Kaur</t>
  </si>
  <si>
    <t>Aayush Khosla</t>
  </si>
  <si>
    <t>Vivaan Tella</t>
  </si>
  <si>
    <t>Stuvan Raval</t>
  </si>
  <si>
    <t>Dhanuk Toor</t>
  </si>
  <si>
    <t>Ryan Datta</t>
  </si>
  <si>
    <t>Anya Kibe</t>
  </si>
  <si>
    <t>Aaryahi Kalla</t>
  </si>
  <si>
    <t>Urvi Mandal</t>
  </si>
  <si>
    <t>Aarush Acharya</t>
  </si>
  <si>
    <t>Alia Lala</t>
  </si>
  <si>
    <t>Shlok Bhalla</t>
  </si>
  <si>
    <t>Advika Rao</t>
  </si>
  <si>
    <t>Riaan Jhaveri</t>
  </si>
  <si>
    <t>Jayant Gade</t>
  </si>
  <si>
    <t>Lagan Mahajan</t>
  </si>
  <si>
    <t>Stuvan Grewal</t>
  </si>
  <si>
    <t>Shray Acharya</t>
  </si>
  <si>
    <t>Sahil Venkataraman</t>
  </si>
  <si>
    <t>Rania Khosla</t>
  </si>
  <si>
    <t>Ira Suri</t>
  </si>
  <si>
    <t>Zain Hayer</t>
  </si>
  <si>
    <t>Kartik Bora</t>
  </si>
  <si>
    <t>Nakul Som</t>
  </si>
  <si>
    <t>Taran Wali</t>
  </si>
  <si>
    <t>Diya Venkatesh</t>
  </si>
  <si>
    <t>Krish Manda</t>
  </si>
  <si>
    <t>Ritvik Reddy</t>
  </si>
  <si>
    <t>Misha Wadhwa</t>
  </si>
  <si>
    <t>Nirvi Bhandari</t>
  </si>
  <si>
    <t>Anika Mannan</t>
  </si>
  <si>
    <t>Bhavin Apte</t>
  </si>
  <si>
    <t>Parinaaz Ranganathan</t>
  </si>
  <si>
    <t>Indranil Iyengar</t>
  </si>
  <si>
    <t>Ira Sankaran</t>
  </si>
  <si>
    <t>Shlok Kale</t>
  </si>
  <si>
    <t>Hansh Sha</t>
  </si>
  <si>
    <t>Armaan Kapur</t>
  </si>
  <si>
    <t>Keya Ramachandran</t>
  </si>
  <si>
    <t>Zara Sharaf</t>
  </si>
  <si>
    <t>Madhav Lal</t>
  </si>
  <si>
    <t>Ahana  Chacko</t>
  </si>
  <si>
    <t>Diya Singhal</t>
  </si>
  <si>
    <t>Rania Sastry</t>
  </si>
  <si>
    <t>Baiju Yohannan</t>
  </si>
  <si>
    <t>Yuvaan Bava</t>
  </si>
  <si>
    <t>Prisha Chadha</t>
  </si>
  <si>
    <t>Ela Anne</t>
  </si>
  <si>
    <t>Umang Dey</t>
  </si>
  <si>
    <t>Misha Sahota</t>
  </si>
  <si>
    <t>Aayush Sawhney</t>
  </si>
  <si>
    <t>Reyansh Brar</t>
  </si>
  <si>
    <t>Krish Trivedi</t>
  </si>
  <si>
    <t>Purab Kanda</t>
  </si>
  <si>
    <t>Jayant Bhatia</t>
  </si>
  <si>
    <t>Riya Dube</t>
  </si>
  <si>
    <t>Dhruv Chokshi</t>
  </si>
  <si>
    <t>Divit Char</t>
  </si>
  <si>
    <t>Vedika Ahluwalia</t>
  </si>
  <si>
    <t>Bhamini Choudhry</t>
  </si>
  <si>
    <t>Rati Gaba</t>
  </si>
  <si>
    <t>Prisha Sharaf</t>
  </si>
  <si>
    <t>Vihaan Gandhi</t>
  </si>
  <si>
    <t>Taran Chaudhary</t>
  </si>
  <si>
    <t>Heer Ramesh</t>
  </si>
  <si>
    <t>Nayantara Jha</t>
  </si>
  <si>
    <t>Vedika Tiwari</t>
  </si>
  <si>
    <t>Anahita Sarraf</t>
  </si>
  <si>
    <t>Nishith Sinha</t>
  </si>
  <si>
    <t>Shanaya Chacko</t>
  </si>
  <si>
    <t>Saira Mani</t>
  </si>
  <si>
    <t>Anvi Shere</t>
  </si>
  <si>
    <t>Dhanuk Devan</t>
  </si>
  <si>
    <t>Bhavin Wali</t>
  </si>
  <si>
    <t>Ranbir Devi</t>
  </si>
  <si>
    <t>Trisha Sheth</t>
  </si>
  <si>
    <t>Ahana  Edwin</t>
  </si>
  <si>
    <t>Vivaan Bhakta</t>
  </si>
  <si>
    <t>Mahika Uppal</t>
  </si>
  <si>
    <t>Rhea Arya</t>
  </si>
  <si>
    <t>Bhamini Ganguly</t>
  </si>
  <si>
    <t>Riaan Vora</t>
  </si>
  <si>
    <t>Jhanvi Wagle</t>
  </si>
  <si>
    <t>Ryan Chhabra</t>
  </si>
  <si>
    <t>Mannat Ahluwalia</t>
  </si>
  <si>
    <t>Farhan Majumdar</t>
  </si>
  <si>
    <t>Jayan Garg</t>
  </si>
  <si>
    <t>Shray Kanda</t>
  </si>
  <si>
    <t>Divyansh Kala</t>
  </si>
  <si>
    <t>Samiha Sangha</t>
  </si>
  <si>
    <t>Adah Gokhale</t>
  </si>
  <si>
    <t>Khushi Borra</t>
  </si>
  <si>
    <t>Biju Roy</t>
  </si>
  <si>
    <t>Ishaan Handa</t>
  </si>
  <si>
    <t>Nehmat Bajwa</t>
  </si>
  <si>
    <t>Neysa Jha</t>
  </si>
  <si>
    <t>Taimur Saxena</t>
  </si>
  <si>
    <t>Yuvraj  Mammen</t>
  </si>
  <si>
    <t>Heer Boase</t>
  </si>
  <si>
    <t>Azad Tailor</t>
  </si>
  <si>
    <t>Anvi Karpe</t>
  </si>
  <si>
    <t>Riaan Sheth</t>
  </si>
  <si>
    <t>Aaryahi Goel</t>
  </si>
  <si>
    <t>Stuvan Dalal</t>
  </si>
  <si>
    <t>Myra Shah</t>
  </si>
  <si>
    <t>Biju Baral</t>
  </si>
  <si>
    <t>Miraya Dyal</t>
  </si>
  <si>
    <t>Hrishita Edwin</t>
  </si>
  <si>
    <t>Manikya Balasubramanian</t>
  </si>
  <si>
    <t>Krish Dhillon</t>
  </si>
  <si>
    <t>Himmat Brar</t>
  </si>
  <si>
    <t>Kavya Khalsa</t>
  </si>
  <si>
    <t>Divit Lalla</t>
  </si>
  <si>
    <t>Ehsaan Mandal</t>
  </si>
  <si>
    <t>Tara Bhakta</t>
  </si>
  <si>
    <t>Raghav Mann</t>
  </si>
  <si>
    <t>Nayantara Sarkar</t>
  </si>
  <si>
    <t>Raunak Soni</t>
  </si>
  <si>
    <t>Trisha Sood</t>
  </si>
  <si>
    <t>Siya Mannan</t>
  </si>
  <si>
    <t>Hridaan Badal</t>
  </si>
  <si>
    <t>Indrajit Madan</t>
  </si>
  <si>
    <t>Jivin Cherian</t>
  </si>
  <si>
    <t>Taran Hegde</t>
  </si>
  <si>
    <t>Rohan Raj</t>
  </si>
  <si>
    <t>Chirag Wali</t>
  </si>
  <si>
    <t>Drishya Varkey</t>
  </si>
  <si>
    <t>Kavya Kalla</t>
  </si>
  <si>
    <t>Samarth Din</t>
  </si>
  <si>
    <t>Prerak Wali</t>
  </si>
  <si>
    <t>Prerak Agarwal</t>
  </si>
  <si>
    <t>Hunar Basak</t>
  </si>
  <si>
    <t>Rohan Keer</t>
  </si>
  <si>
    <t>Adah Bir</t>
  </si>
  <si>
    <t>Amira Bir</t>
  </si>
  <si>
    <t>Saksham Srivastava</t>
  </si>
  <si>
    <t>Kaira Jayaraman</t>
  </si>
  <si>
    <t>Lagan Char</t>
  </si>
  <si>
    <t>Alisha Cheema</t>
  </si>
  <si>
    <t>Raunak Chandra</t>
  </si>
  <si>
    <t>Rati Tella</t>
  </si>
  <si>
    <t>Akarsh Bali</t>
  </si>
  <si>
    <t>Jivin Kashyap</t>
  </si>
  <si>
    <t>Charvi Agate</t>
  </si>
  <si>
    <t>Seher Tailor</t>
  </si>
  <si>
    <t>Jayant Tak</t>
  </si>
  <si>
    <t>Emir Solanki</t>
  </si>
  <si>
    <t>Saanvi Bakshi</t>
  </si>
  <si>
    <t>Ranbir Singh</t>
  </si>
  <si>
    <t>Kartik Andra</t>
  </si>
  <si>
    <t>Jayant Manne</t>
  </si>
  <si>
    <t>Vedika Mane</t>
  </si>
  <si>
    <t>Eva Deshpande</t>
  </si>
  <si>
    <t>Anahita Chaudhary</t>
  </si>
  <si>
    <t>Divyansh Chad</t>
  </si>
  <si>
    <t>Eva Dave</t>
  </si>
  <si>
    <t>Drishya Sengupta</t>
  </si>
  <si>
    <t>Adah Gera</t>
  </si>
  <si>
    <t>Shlok Zacharia</t>
  </si>
  <si>
    <t>Seher Sankar</t>
  </si>
  <si>
    <t>Dharmajan Sunder</t>
  </si>
  <si>
    <t>Eshani Issac</t>
  </si>
  <si>
    <t>Kavya Choudhury</t>
  </si>
  <si>
    <t>Chirag Konda</t>
  </si>
  <si>
    <t>Ishaan Dani</t>
  </si>
  <si>
    <t>Zara Korpal</t>
  </si>
  <si>
    <t>Akarsh Dar</t>
  </si>
  <si>
    <t>Saira Joshi</t>
  </si>
  <si>
    <t>Manjari Wason</t>
  </si>
  <si>
    <t>Uthkarsh Doctor</t>
  </si>
  <si>
    <t>Nirvi Behl</t>
  </si>
  <si>
    <t>Badal Raval</t>
  </si>
  <si>
    <t>Ahana  Hayer</t>
  </si>
  <si>
    <t>Armaan Babu</t>
  </si>
  <si>
    <t>Manikya Barad</t>
  </si>
  <si>
    <t>Abram Singh</t>
  </si>
  <si>
    <t>Hunar Kanda</t>
  </si>
  <si>
    <t>Pranay Rege</t>
  </si>
  <si>
    <t>Samiha Shenoy</t>
  </si>
  <si>
    <t>Arnav Rege</t>
  </si>
  <si>
    <t>Ivana Yogi</t>
  </si>
  <si>
    <t>Ira Kar</t>
  </si>
  <si>
    <t>Rania Andra</t>
  </si>
  <si>
    <t>Zoya Apte</t>
  </si>
  <si>
    <t>Kabir Mallick</t>
  </si>
  <si>
    <t>Rohan Dalal</t>
  </si>
  <si>
    <t>Devansh Thaker</t>
  </si>
  <si>
    <t>Navya Grewal</t>
  </si>
  <si>
    <t>Shalv Kakar</t>
  </si>
  <si>
    <t>Ayesha Kari</t>
  </si>
  <si>
    <t>Vritika Sachar</t>
  </si>
  <si>
    <t>Amira Kapur</t>
  </si>
  <si>
    <t>Neelofar Lall</t>
  </si>
  <si>
    <t>Zain Sankaran</t>
  </si>
  <si>
    <t>Gokul Seshadri</t>
  </si>
  <si>
    <t>Shaan Buch</t>
  </si>
  <si>
    <t>Shlok Brar</t>
  </si>
  <si>
    <t>Biju Borah</t>
  </si>
  <si>
    <t>Anika Kaur</t>
  </si>
  <si>
    <t>Vivaan Bhattacharyya</t>
  </si>
  <si>
    <t>Indrajit Chatterjee</t>
  </si>
  <si>
    <t>Ivana Joshi</t>
  </si>
  <si>
    <t>Anika Goswami</t>
  </si>
  <si>
    <t>Hunar Wason</t>
  </si>
  <si>
    <t>Mishti Sane</t>
  </si>
  <si>
    <t>Lakshit Venkatesh</t>
  </si>
  <si>
    <t>Ritvik Babu</t>
  </si>
  <si>
    <t>Aniruddh Karan</t>
  </si>
  <si>
    <t>Tarini Chaudhry</t>
  </si>
  <si>
    <t>Yasmin Wali</t>
  </si>
  <si>
    <t>Parinaaz Sura</t>
  </si>
  <si>
    <t>Jhanvi Thaker</t>
  </si>
  <si>
    <t>Miraya Kulkarni</t>
  </si>
  <si>
    <t>Vidur Srinivas</t>
  </si>
  <si>
    <t>Ayesha Mani</t>
  </si>
  <si>
    <t>Ahana  Krishnamurthy</t>
  </si>
  <si>
    <t>Shamik Yohannan</t>
  </si>
  <si>
    <t>Aarav Golla</t>
  </si>
  <si>
    <t>Alia Arya</t>
  </si>
  <si>
    <t>Farhan Sule</t>
  </si>
  <si>
    <t>Ela Walla</t>
  </si>
  <si>
    <t>Arnav Kant</t>
  </si>
  <si>
    <t>Kabir Chaudry</t>
  </si>
  <si>
    <t>Ela Devan</t>
  </si>
  <si>
    <t>Jiya Tailor</t>
  </si>
  <si>
    <t>Kabir Vyas</t>
  </si>
  <si>
    <t>Ishita Gokhale</t>
  </si>
  <si>
    <t>Jiya Ramanathan</t>
  </si>
  <si>
    <t>Kashvi Mand</t>
  </si>
  <si>
    <t>Shaan Krishnan</t>
  </si>
  <si>
    <t>Riaan Khatri</t>
  </si>
  <si>
    <t>Ojas Dua</t>
  </si>
  <si>
    <t>Aayush Sur</t>
  </si>
  <si>
    <t>Arnav Kade</t>
  </si>
  <si>
    <t>Pihu Sahota</t>
  </si>
  <si>
    <t>Raunak Subramanian</t>
  </si>
  <si>
    <t>Rania Sangha</t>
  </si>
  <si>
    <t>Zeeshan Majumdar</t>
  </si>
  <si>
    <t>Onkar Kapoor</t>
  </si>
  <si>
    <t>Onkar Mangal</t>
  </si>
  <si>
    <t>Sumer Sekhon</t>
  </si>
  <si>
    <t>Stuvan Samra</t>
  </si>
  <si>
    <t>Anahita Kunda</t>
  </si>
  <si>
    <t>Mamooty Swamy</t>
  </si>
  <si>
    <t>Devansh Raval</t>
  </si>
  <si>
    <t>Myra Krishnamurthy</t>
  </si>
  <si>
    <t>Kiara Tak</t>
  </si>
  <si>
    <t>Hridaan Kanda</t>
  </si>
  <si>
    <t>Adira Sachar</t>
  </si>
  <si>
    <t>Jiya Bath</t>
  </si>
  <si>
    <t>Uthkarsh Divan</t>
  </si>
  <si>
    <t>Shayak Kothari</t>
  </si>
  <si>
    <t>Shamik Butala</t>
  </si>
  <si>
    <t>Shanaya Sankaran</t>
  </si>
  <si>
    <t>Kiaan Wadhwa</t>
  </si>
  <si>
    <t>Biju Gulati</t>
  </si>
  <si>
    <t>Alisha Wable</t>
  </si>
  <si>
    <t>Neelofar De</t>
  </si>
  <si>
    <t>Kashvi Tripathi</t>
  </si>
  <si>
    <t>Stuvan Mallick</t>
  </si>
  <si>
    <t>Nishith Basu</t>
  </si>
  <si>
    <t>Yashvi Bose</t>
  </si>
  <si>
    <t>Zara Sangha</t>
  </si>
  <si>
    <t>Oorja Tripathi</t>
  </si>
  <si>
    <t>Mahika Anne</t>
  </si>
  <si>
    <t>Divij Talwar</t>
  </si>
  <si>
    <t>Nirvi Sankar</t>
  </si>
  <si>
    <t>Chirag Gokhale</t>
  </si>
  <si>
    <t>Taimur Mammen</t>
  </si>
  <si>
    <t>Tanya Sama</t>
  </si>
  <si>
    <t>Himmat Chada</t>
  </si>
  <si>
    <t>Adira Gole</t>
  </si>
  <si>
    <t>Ivan Babu</t>
  </si>
  <si>
    <t>Reyansh Rau</t>
  </si>
  <si>
    <t>Divyansh Sha</t>
  </si>
  <si>
    <t>Dhruv Singhal</t>
  </si>
  <si>
    <t>Tarini Dutta</t>
  </si>
  <si>
    <t>Advika Sachdeva</t>
  </si>
  <si>
    <t>Tejas Kota</t>
  </si>
  <si>
    <t>Aarav Tella</t>
  </si>
  <si>
    <t>Tara Ramanathan</t>
  </si>
  <si>
    <t>Aarav Din</t>
  </si>
  <si>
    <t>Elakshi Kurian</t>
  </si>
  <si>
    <t>Ryan Sahni</t>
  </si>
  <si>
    <t>Jivin Shan</t>
  </si>
  <si>
    <t>Keya Kant</t>
  </si>
  <si>
    <t>Azad Bhardwaj</t>
  </si>
  <si>
    <t>Jivin Vig</t>
  </si>
  <si>
    <t>Ehsaan Chaudry</t>
  </si>
  <si>
    <t>Mannat Badal</t>
  </si>
  <si>
    <t>Tiya Wagle</t>
  </si>
  <si>
    <t>Tiya Mani</t>
  </si>
  <si>
    <t>Yuvaan Rao</t>
  </si>
  <si>
    <t>Kiara Buch</t>
  </si>
  <si>
    <t>Shamik Bhatti</t>
  </si>
  <si>
    <t>Nitara Agrawal</t>
  </si>
  <si>
    <t>Sara Tandon</t>
  </si>
  <si>
    <t>Miraan Jhaveri</t>
  </si>
  <si>
    <t>Amani Sharma</t>
  </si>
  <si>
    <t>Vaibhav Kara</t>
  </si>
  <si>
    <t>Shalv Behl</t>
  </si>
  <si>
    <t>Trisha Chacko</t>
  </si>
  <si>
    <t>Taimur Tandon</t>
  </si>
  <si>
    <t>Shray Dhar</t>
  </si>
  <si>
    <t>Reyansh Bansal</t>
  </si>
  <si>
    <t>Raunak Khare</t>
  </si>
  <si>
    <t>Shamik Lad</t>
  </si>
  <si>
    <t>Darshit Soman</t>
  </si>
  <si>
    <t>Darshit Rege</t>
  </si>
  <si>
    <t>Rasha Bal</t>
  </si>
  <si>
    <t>Vanya Dhillon</t>
  </si>
  <si>
    <t>Lakshay Baria</t>
  </si>
  <si>
    <t>Anika Goda</t>
  </si>
  <si>
    <t>Lakshit Bandi</t>
  </si>
  <si>
    <t>Prerak Sandal</t>
  </si>
  <si>
    <t>Aarna Tara</t>
  </si>
  <si>
    <t>Riya Babu</t>
  </si>
  <si>
    <t>Umang Bawa</t>
  </si>
  <si>
    <t>Nirvi Jain</t>
  </si>
  <si>
    <t>Dhanush Kala</t>
  </si>
  <si>
    <t>Vidur Swaminathan</t>
  </si>
  <si>
    <t>Indrajit Shroff</t>
  </si>
  <si>
    <t>Shayak Tak</t>
  </si>
  <si>
    <t>Ehsaan Bhatt</t>
  </si>
  <si>
    <t>Mishti Maharaj</t>
  </si>
  <si>
    <t>Yuvraj  Sarkar</t>
  </si>
  <si>
    <t>Manikya Sawhney</t>
  </si>
  <si>
    <t>Ritvik Madan</t>
  </si>
  <si>
    <t>Sumer Kapadia</t>
  </si>
  <si>
    <t>Drishya Madan</t>
  </si>
  <si>
    <t>Divyansh Gera</t>
  </si>
  <si>
    <t>Shray Deol</t>
  </si>
  <si>
    <t>Myra Kalla</t>
  </si>
  <si>
    <t>Aayush Dhar</t>
  </si>
  <si>
    <t>Baiju Sampath</t>
  </si>
  <si>
    <t>Renee Chandra</t>
  </si>
  <si>
    <t>Mahika Deep</t>
  </si>
  <si>
    <t>Aaryahi Bala</t>
  </si>
  <si>
    <t>Himmat Mammen</t>
  </si>
  <si>
    <t>Taimur Chakrabarti</t>
  </si>
  <si>
    <t>Taran Ravi</t>
  </si>
  <si>
    <t>Navya Chokshi</t>
  </si>
  <si>
    <t>Uthkarsh Bhakta</t>
  </si>
  <si>
    <t>Ira Saini</t>
  </si>
  <si>
    <t>Eva Warrior</t>
  </si>
  <si>
    <t>Devansh Wali</t>
  </si>
  <si>
    <t>Dharmajan Mander</t>
  </si>
  <si>
    <t>Yashvi Gole</t>
  </si>
  <si>
    <t>Elakshi Mander</t>
  </si>
  <si>
    <t>Aaryahi Sethi</t>
  </si>
  <si>
    <t>Tara Saxena</t>
  </si>
  <si>
    <t>Shray Dhaliwal</t>
  </si>
  <si>
    <t>Kaira Sarraf</t>
  </si>
  <si>
    <t>Ayesha Gera</t>
  </si>
  <si>
    <t>Riaan Grover</t>
  </si>
  <si>
    <t>Yuvaan Sridhar</t>
  </si>
  <si>
    <t>Hiran Choudhry</t>
  </si>
  <si>
    <t>Damini Kannan</t>
  </si>
  <si>
    <t>Anya Tak</t>
  </si>
  <si>
    <t>Lakshay Sarin</t>
  </si>
  <si>
    <t>Nishith Dugal</t>
  </si>
  <si>
    <t>Vritika Ramachandran</t>
  </si>
  <si>
    <t>Aaryahi Aggarwal</t>
  </si>
  <si>
    <t>Arnav Andra</t>
  </si>
  <si>
    <t>Diya Ganesh</t>
  </si>
  <si>
    <t>Dhruv Datta</t>
  </si>
  <si>
    <t>Zara Subramanian</t>
  </si>
  <si>
    <t>Madhup Thakkar</t>
  </si>
  <si>
    <t>Vihaan Subramaniam</t>
  </si>
  <si>
    <t>Mannat Thakur</t>
  </si>
  <si>
    <t>Arhaan Ratta</t>
  </si>
  <si>
    <t>Vedika Divan</t>
  </si>
  <si>
    <t>Jayesh Bansal</t>
  </si>
  <si>
    <t>Prisha Ahluwalia</t>
  </si>
  <si>
    <t>Mannat Vyas</t>
  </si>
  <si>
    <t>Aniruddh Kanda</t>
  </si>
  <si>
    <t>Shayak Bhattacharyya</t>
  </si>
  <si>
    <t>Zoya Yadav</t>
  </si>
  <si>
    <t>Anvi Arya</t>
  </si>
  <si>
    <t>Bhavin Badal</t>
  </si>
  <si>
    <t>Pranay Batra</t>
  </si>
  <si>
    <t>Jayant Vora</t>
  </si>
  <si>
    <t>Saanvi Khurana</t>
  </si>
  <si>
    <t>Krish Borra</t>
  </si>
  <si>
    <t>Dishani Iyengar</t>
  </si>
  <si>
    <t>Anvi Kapoor</t>
  </si>
  <si>
    <t>Veer Ravi</t>
  </si>
  <si>
    <t>Shaan Badal</t>
  </si>
  <si>
    <t>Myra Behl</t>
  </si>
  <si>
    <t>Lagan Dixit</t>
  </si>
  <si>
    <t>Divit Sandhu</t>
  </si>
  <si>
    <t>Gokul Bhagat</t>
  </si>
  <si>
    <t>Saanvi Bose</t>
  </si>
  <si>
    <t>Hazel Kanda</t>
  </si>
  <si>
    <t>Inaaya  Brahmbhatt</t>
  </si>
  <si>
    <t>Priyansh Borra</t>
  </si>
  <si>
    <t>Neysa Dubey</t>
  </si>
  <si>
    <t>Seher Subramanian</t>
  </si>
  <si>
    <t>Lagan Kannan</t>
  </si>
  <si>
    <t>Aarav Chadha</t>
  </si>
  <si>
    <t>Aarna Deshpande</t>
  </si>
  <si>
    <t>Lakshay Keer</t>
  </si>
  <si>
    <t>Krish Chatterjee</t>
  </si>
  <si>
    <t>Suhana Dhar</t>
  </si>
  <si>
    <t>Shaan Borra</t>
  </si>
  <si>
    <t>Abram Sangha</t>
  </si>
  <si>
    <t>Jayan Kapoor</t>
  </si>
  <si>
    <t>Khushi Dutta</t>
  </si>
  <si>
    <t>Lakshit Sunder</t>
  </si>
  <si>
    <t>Gokul Gole</t>
  </si>
  <si>
    <t>Ishita Shan</t>
  </si>
  <si>
    <t>Onkar Shan</t>
  </si>
  <si>
    <t>Nishith Yadav</t>
  </si>
  <si>
    <t>Taimur Swaminathan</t>
  </si>
  <si>
    <t>Ira Desai</t>
  </si>
  <si>
    <t>Zeeshan Thaman</t>
  </si>
  <si>
    <t>Manjari Ravi</t>
  </si>
  <si>
    <t>Alia Sha</t>
  </si>
  <si>
    <t>Lakshit Kunda</t>
  </si>
  <si>
    <t>Amira Kibe</t>
  </si>
  <si>
    <t>Suhana Ghosh</t>
  </si>
  <si>
    <t>Ehsaan Lala</t>
  </si>
  <si>
    <t>Prerak Dugar</t>
  </si>
  <si>
    <t>Badal Verma</t>
  </si>
  <si>
    <t>Rohan Ghosh</t>
  </si>
  <si>
    <t>Dhanush Gala</t>
  </si>
  <si>
    <t>Pari Badami</t>
  </si>
  <si>
    <t>Rasha Sahni</t>
  </si>
  <si>
    <t>Amani Loke</t>
  </si>
  <si>
    <t>Mannat Tara</t>
  </si>
  <si>
    <t>Shanaya Buch</t>
  </si>
  <si>
    <t>Jhanvi Dugal</t>
  </si>
  <si>
    <t>Kismat Mandal</t>
  </si>
  <si>
    <t>Dhruv Ramachandran</t>
  </si>
  <si>
    <t>Vihaan Deshmukh</t>
  </si>
  <si>
    <t>Baiju Lata</t>
  </si>
  <si>
    <t>Raghav Deo</t>
  </si>
  <si>
    <t>Samar Kuruvilla</t>
  </si>
  <si>
    <t>Raghav Mangal</t>
  </si>
  <si>
    <t>Kartik Dave</t>
  </si>
  <si>
    <t>Renee Dhar</t>
  </si>
  <si>
    <t>Aradhya Suri</t>
  </si>
  <si>
    <t>Fateh Ganesan</t>
  </si>
  <si>
    <t>Mehul Lad</t>
  </si>
  <si>
    <t>Aradhya Behl</t>
  </si>
  <si>
    <t>Bhamini Ranganathan</t>
  </si>
  <si>
    <t>Jayesh Master</t>
  </si>
  <si>
    <t>Arnav Tailor</t>
  </si>
  <si>
    <t>Aarav Bassi</t>
  </si>
  <si>
    <t>Zain Vala</t>
  </si>
  <si>
    <t>Anvi Kade</t>
  </si>
  <si>
    <t>Aarna Loyal</t>
  </si>
  <si>
    <t>Jayant Thakur</t>
  </si>
  <si>
    <t>Vivaan Dasgupta</t>
  </si>
  <si>
    <t>Raghav Dube</t>
  </si>
  <si>
    <t>Saanvi Shetty</t>
  </si>
  <si>
    <t>Riaan Mangat</t>
  </si>
  <si>
    <t>Saira Boase</t>
  </si>
  <si>
    <t>Divit Samra</t>
  </si>
  <si>
    <t>Yuvaan Madan</t>
  </si>
  <si>
    <t>Kiara Dua</t>
  </si>
  <si>
    <t>Manikya Bhatia</t>
  </si>
  <si>
    <t>Arhaan Kashyap</t>
  </si>
  <si>
    <t>Tarini Bhavsar</t>
  </si>
  <si>
    <t>Manjari Toor</t>
  </si>
  <si>
    <t>Reyansh Hora</t>
  </si>
  <si>
    <t>Aaina Master</t>
  </si>
  <si>
    <t>Kartik Arora</t>
  </si>
  <si>
    <t>Bhavin Mand</t>
  </si>
  <si>
    <t>Urvi Viswanathan</t>
  </si>
  <si>
    <t>Stuvan Dutt</t>
  </si>
  <si>
    <t>Aarush Loyal</t>
  </si>
  <si>
    <t>Aradhya Rout</t>
  </si>
  <si>
    <t>Akarsh Kalita</t>
  </si>
  <si>
    <t>Gokul Lad</t>
  </si>
  <si>
    <t>Zain Hans</t>
  </si>
  <si>
    <t>Umang Behl</t>
  </si>
  <si>
    <t>Tarini Chada</t>
  </si>
  <si>
    <t>Ranbir Majumdar</t>
  </si>
  <si>
    <t>Hunar Malhotra</t>
  </si>
  <si>
    <t>Elakshi Hayer</t>
  </si>
  <si>
    <t>Anay Sanghvi</t>
  </si>
  <si>
    <t>Zaina Dave</t>
  </si>
  <si>
    <t>Pihu Banerjee</t>
  </si>
  <si>
    <t>Prerak Tara</t>
  </si>
  <si>
    <t>Misha Sen</t>
  </si>
  <si>
    <t>Amani Bhasin</t>
  </si>
  <si>
    <t>Jivin Walia</t>
  </si>
  <si>
    <t>Adah Lal</t>
  </si>
  <si>
    <t>Kartik Kadakia</t>
  </si>
  <si>
    <t>Renee Lall</t>
  </si>
  <si>
    <t>Devansh Dhar</t>
  </si>
  <si>
    <t>Gatik Chahal</t>
  </si>
  <si>
    <t>Anahita Sridhar</t>
  </si>
  <si>
    <t>Yakshit Kota</t>
  </si>
  <si>
    <t>Hunar Sura</t>
  </si>
  <si>
    <t>Aniruddh Bajaj</t>
  </si>
  <si>
    <t>Miraan Devi</t>
  </si>
  <si>
    <t>Armaan Raj</t>
  </si>
  <si>
    <t>Aarav Tandon</t>
  </si>
  <si>
    <t>Ojas Dara</t>
  </si>
  <si>
    <t>Heer Saini</t>
  </si>
  <si>
    <t>Raunak Bassi</t>
  </si>
  <si>
    <t>Samarth Konda</t>
  </si>
  <si>
    <t>Rohan Mahajan</t>
  </si>
  <si>
    <t>Manikya Magar</t>
  </si>
  <si>
    <t>Jivin Saha</t>
  </si>
  <si>
    <t>Sara Krish</t>
  </si>
  <si>
    <t>Uthkarsh Walla</t>
  </si>
  <si>
    <t>Prisha Sethi</t>
  </si>
  <si>
    <t>Aaryahi Chaudhari</t>
  </si>
  <si>
    <t>Anya Bajaj</t>
  </si>
  <si>
    <t>Suhana Barad</t>
  </si>
  <si>
    <t>Hiran Chandra</t>
  </si>
  <si>
    <t>Rati Batta</t>
  </si>
  <si>
    <t>Gokul Kala</t>
  </si>
  <si>
    <t>Renee Dey</t>
  </si>
  <si>
    <t>Azad Khalsa</t>
  </si>
  <si>
    <t>Mishti Cheema</t>
  </si>
  <si>
    <t>Vritika Kibe</t>
  </si>
  <si>
    <t>Tanya Saran</t>
  </si>
  <si>
    <t>Badal Bobal</t>
  </si>
  <si>
    <t>Emir Saran</t>
  </si>
  <si>
    <t>Keya Wadhwa</t>
  </si>
  <si>
    <t>Chirag Das</t>
  </si>
  <si>
    <t>Lavanya Goswami</t>
  </si>
  <si>
    <t>Eva Saini</t>
  </si>
  <si>
    <t>Shayak Varma</t>
  </si>
  <si>
    <t>Bhavin Sood</t>
  </si>
  <si>
    <t>Indrans Boase</t>
  </si>
  <si>
    <t>Diya Dua</t>
  </si>
  <si>
    <t>Uthkarsh Raju</t>
  </si>
  <si>
    <t>Ela Manda</t>
  </si>
  <si>
    <t>Mishti Bhavsar</t>
  </si>
  <si>
    <t>Bhavin Edwin</t>
  </si>
  <si>
    <t>Zeeshan Tella</t>
  </si>
  <si>
    <t>Zoya Dhillon</t>
  </si>
  <si>
    <t>Khushi Hora</t>
  </si>
  <si>
    <t>Keya Bakshi</t>
  </si>
  <si>
    <t>Divit Vyas</t>
  </si>
  <si>
    <t>Divij Aurora</t>
  </si>
  <si>
    <t>Shaan Sarraf</t>
  </si>
  <si>
    <t>Himmat Badami</t>
  </si>
  <si>
    <t>Lakshit Rege</t>
  </si>
  <si>
    <t>Azad Soni</t>
  </si>
  <si>
    <t>Shaan Kapoor</t>
  </si>
  <si>
    <t>Shalv Char</t>
  </si>
  <si>
    <t>Samaira Borah</t>
  </si>
  <si>
    <t>Khushi Wable</t>
  </si>
  <si>
    <t>Zaina Dutt</t>
  </si>
  <si>
    <t>Ritvik Chad</t>
  </si>
  <si>
    <t>Ivana Jhaveri</t>
  </si>
  <si>
    <t>Anahi Kari</t>
  </si>
  <si>
    <t>Jayant Desai</t>
  </si>
  <si>
    <t>Ehsaan Basu</t>
  </si>
  <si>
    <t>Aaina Rajagopal</t>
  </si>
  <si>
    <t>Drishya Luthra</t>
  </si>
  <si>
    <t>Diya Wali</t>
  </si>
  <si>
    <t>Zeeshan Buch</t>
  </si>
  <si>
    <t>Eva Sami</t>
  </si>
  <si>
    <t>Mehul Ravi</t>
  </si>
  <si>
    <t>Ahana  Tripathi</t>
  </si>
  <si>
    <t>Hiran Chaudhary</t>
  </si>
  <si>
    <t>Ahana  Chokshi</t>
  </si>
  <si>
    <t>Azad Venkataraman</t>
  </si>
  <si>
    <t>Kavya Bhatt</t>
  </si>
  <si>
    <t>Yuvraj  Joshi</t>
  </si>
  <si>
    <t>Damini Sarma</t>
  </si>
  <si>
    <t>Riya Jha</t>
  </si>
  <si>
    <t>Kiara Sankar</t>
  </si>
  <si>
    <t>Myra Babu</t>
  </si>
  <si>
    <t>Khushi Bath</t>
  </si>
  <si>
    <t>Lagan Dutta</t>
  </si>
  <si>
    <t>Diya Dugar</t>
  </si>
  <si>
    <t>Kimaya Balay</t>
  </si>
  <si>
    <t>Myra Wadhwa</t>
  </si>
  <si>
    <t>Divit Bandi</t>
  </si>
  <si>
    <t>Advika Choudhury</t>
  </si>
  <si>
    <t>Tara Bumb</t>
  </si>
  <si>
    <t>Divij Devi</t>
  </si>
  <si>
    <t>Yashvi Chopra</t>
  </si>
  <si>
    <t>Madhav Sethi</t>
  </si>
  <si>
    <t>Reyansh Ram</t>
  </si>
  <si>
    <t>Tushar Saran</t>
  </si>
  <si>
    <t>Fateh Kuruvilla</t>
  </si>
  <si>
    <t>Adah Manne</t>
  </si>
  <si>
    <t>Rhea Gokhale</t>
  </si>
  <si>
    <t>Mahika Koshy</t>
  </si>
  <si>
    <t>Hazel Dugar</t>
  </si>
  <si>
    <t>Dharmajan Mannan</t>
  </si>
  <si>
    <t>Ishita Aurora</t>
  </si>
  <si>
    <t>Taimur Chandran</t>
  </si>
  <si>
    <t>Pari Sharma</t>
  </si>
  <si>
    <t>Mohanlal Bora</t>
  </si>
  <si>
    <t>Suhana Upadhyay</t>
  </si>
  <si>
    <t>Arhaan Ramachandran</t>
  </si>
  <si>
    <t>Samarth Khosla</t>
  </si>
  <si>
    <t>Tanya Dada</t>
  </si>
  <si>
    <t>Pihu Shetty</t>
  </si>
  <si>
    <t>Romil Jayaraman</t>
  </si>
  <si>
    <t>Suhana Ganguly</t>
  </si>
  <si>
    <t>Anahita Baria</t>
  </si>
  <si>
    <t>Baiju Kurian</t>
  </si>
  <si>
    <t>Advik Ahluwalia</t>
  </si>
  <si>
    <t>Jayant Mander</t>
  </si>
  <si>
    <t>Zain Bhagat</t>
  </si>
  <si>
    <t>Zoya Ramesh</t>
  </si>
  <si>
    <t>Biju Wali</t>
  </si>
  <si>
    <t>Hazel Virk</t>
  </si>
  <si>
    <t>Riya Sankaran</t>
  </si>
  <si>
    <t>Suhana Wable</t>
  </si>
  <si>
    <t>Eshani Sant</t>
  </si>
  <si>
    <t>Ela Aggarwal</t>
  </si>
  <si>
    <t>Nishith Kant</t>
  </si>
  <si>
    <t>Kartik Barman</t>
  </si>
  <si>
    <t>Tiya Bhalla</t>
  </si>
  <si>
    <t>Devansh Dara</t>
  </si>
  <si>
    <t>Himmat Bhardwaj</t>
  </si>
  <si>
    <t>Trisha Anand</t>
  </si>
  <si>
    <t>Renee Loyal</t>
  </si>
  <si>
    <t>Khushi Bhalla</t>
  </si>
  <si>
    <t>Ranbir Amble</t>
  </si>
  <si>
    <t>Nirvi Sabharwal</t>
  </si>
  <si>
    <t>Lakshay Trivedi</t>
  </si>
  <si>
    <t>Rohan Kata</t>
  </si>
  <si>
    <t>Adah Kadakia</t>
  </si>
  <si>
    <t>Mannat Banik</t>
  </si>
  <si>
    <t>Hrishita Sankar</t>
  </si>
  <si>
    <t>Kabir Master</t>
  </si>
  <si>
    <t>Tanya Singhal</t>
  </si>
  <si>
    <t>Lakshay Varkey</t>
  </si>
  <si>
    <t>Yashvi Devan</t>
  </si>
  <si>
    <t>Tiya Agate</t>
  </si>
  <si>
    <t>Jhanvi Sha</t>
  </si>
  <si>
    <t>Vaibhav Yadav</t>
  </si>
  <si>
    <t>Kimaya Ratti</t>
  </si>
  <si>
    <t>Miraya Randhawa</t>
  </si>
  <si>
    <t>Nishith Rau</t>
  </si>
  <si>
    <t>Tejas Dhingra</t>
  </si>
  <si>
    <t>Biju Keer</t>
  </si>
  <si>
    <t>Vanya Barad</t>
  </si>
  <si>
    <t>Nehmat Dhawan</t>
  </si>
  <si>
    <t>Tanya Sarma</t>
  </si>
  <si>
    <t>Ranbir Grover</t>
  </si>
  <si>
    <t>Amira Balay</t>
  </si>
  <si>
    <t>Trisha Krish</t>
  </si>
  <si>
    <t>Gokul Dutta</t>
  </si>
  <si>
    <t>Indrans Hari</t>
  </si>
  <si>
    <t>Sana Date</t>
  </si>
  <si>
    <t>Pranay Goda</t>
  </si>
  <si>
    <t>Prisha Sangha</t>
  </si>
  <si>
    <t>Devansh Kannan</t>
  </si>
  <si>
    <t>Shray Kalita</t>
  </si>
  <si>
    <t>Alisha Saha</t>
  </si>
  <si>
    <t>Mishti Kant</t>
  </si>
  <si>
    <t>Tejas Rau</t>
  </si>
  <si>
    <t>Siya Desai</t>
  </si>
  <si>
    <t>Jhanvi Deep</t>
  </si>
  <si>
    <t>Akarsh Randhawa</t>
  </si>
  <si>
    <t>Riaan Dua</t>
  </si>
  <si>
    <t>Bhavin Cheema</t>
  </si>
  <si>
    <t>Armaan Kannan</t>
  </si>
  <si>
    <t>Fateh Verma</t>
  </si>
  <si>
    <t>Mishti Bahl</t>
  </si>
  <si>
    <t>Anahi Barad</t>
  </si>
  <si>
    <t>Samaira Wable</t>
  </si>
  <si>
    <t>Amani Varughese</t>
  </si>
  <si>
    <t>Vritika Saini</t>
  </si>
  <si>
    <t>Seher Aurora</t>
  </si>
  <si>
    <t>Biju Samra</t>
  </si>
  <si>
    <t>Lavanya Konda</t>
  </si>
  <si>
    <t>Shaan Dewan</t>
  </si>
  <si>
    <t>Jayesh Rau</t>
  </si>
  <si>
    <t>Dhruv Kashyap</t>
  </si>
  <si>
    <t>Sahil Kunda</t>
  </si>
  <si>
    <t>Advika Saran</t>
  </si>
  <si>
    <t>Alia Bera</t>
  </si>
  <si>
    <t>Drishya Varma</t>
  </si>
  <si>
    <t>Yuvraj  Bakshi</t>
  </si>
  <si>
    <t>Hunar Shanker</t>
  </si>
  <si>
    <t>Aayush Bobal</t>
  </si>
  <si>
    <t>Ivan Gopal</t>
  </si>
  <si>
    <t>Onkar Biswas</t>
  </si>
  <si>
    <t>Sumer Chandran</t>
  </si>
  <si>
    <t>Uthkarsh Rastogi</t>
  </si>
  <si>
    <t>Divit Venkatesh</t>
  </si>
  <si>
    <t>Saanvi Sandhu</t>
  </si>
  <si>
    <t>Jivika Gade</t>
  </si>
  <si>
    <t>Devansh Sarkar</t>
  </si>
  <si>
    <t>Anya Mahajan</t>
  </si>
  <si>
    <t>Anaya Upadhyay</t>
  </si>
  <si>
    <t>Veer Kamdar</t>
  </si>
  <si>
    <t>Alia Balan</t>
  </si>
  <si>
    <t>Kartik Dewan</t>
  </si>
  <si>
    <t>Yuvraj  Dugal</t>
  </si>
  <si>
    <t>Anaya Acharya</t>
  </si>
  <si>
    <t>Shalv Lal</t>
  </si>
  <si>
    <t>Tara Ray</t>
  </si>
  <si>
    <t>Jivin Sankaran</t>
  </si>
  <si>
    <t>Mamooty Ghosh</t>
  </si>
  <si>
    <t>Mamooty Kata</t>
  </si>
  <si>
    <t>Vihaan Toor</t>
  </si>
  <si>
    <t>Indranil Arora</t>
  </si>
  <si>
    <t>Ranbir Banerjee</t>
  </si>
  <si>
    <t>Nirvaan Singh</t>
  </si>
  <si>
    <t>Hazel Tiwari</t>
  </si>
  <si>
    <t>Umang Chad</t>
  </si>
  <si>
    <t>Zoya Goel</t>
  </si>
  <si>
    <t>Kartik Acharya</t>
  </si>
  <si>
    <t>Parinaaz Gara</t>
  </si>
  <si>
    <t>Ishita Johal</t>
  </si>
  <si>
    <t>Dhanush Chopra</t>
  </si>
  <si>
    <t>Yuvraj  Majumdar</t>
  </si>
  <si>
    <t>Myra Doctor</t>
  </si>
  <si>
    <t>Aarush Chakraborty</t>
  </si>
  <si>
    <t>Khushi Jha</t>
  </si>
  <si>
    <t>Abram Batta</t>
  </si>
  <si>
    <t>Nishith Goel</t>
  </si>
  <si>
    <t>Jivin Solanki</t>
  </si>
  <si>
    <t>Tiya Baria</t>
  </si>
  <si>
    <t>Zain Choudhury</t>
  </si>
  <si>
    <t>Nitara Bir</t>
  </si>
  <si>
    <t>Darshit Jhaveri</t>
  </si>
  <si>
    <t>Pari Venkatesh</t>
  </si>
  <si>
    <t>Samar Bumb</t>
  </si>
  <si>
    <t>Yakshit Seth</t>
  </si>
  <si>
    <t>Sumer Kumar</t>
  </si>
  <si>
    <t>Mahika Taneja</t>
  </si>
  <si>
    <t>Raghav Chanda</t>
  </si>
  <si>
    <t>Urvi Chaudhary</t>
  </si>
  <si>
    <t>Riaan Dash</t>
  </si>
  <si>
    <t>Jivin Yohannan</t>
  </si>
  <si>
    <t>Uthkarsh Mahajan</t>
  </si>
  <si>
    <t>Ela Kara</t>
  </si>
  <si>
    <t>Mishti Upadhyay</t>
  </si>
  <si>
    <t>Kanav Kurian</t>
  </si>
  <si>
    <t>Krish Shankar</t>
  </si>
  <si>
    <t>Bhamini Mallick</t>
  </si>
  <si>
    <t>Charvi Ganesan</t>
  </si>
  <si>
    <t>Romil Vig</t>
  </si>
  <si>
    <t>Saira Lala</t>
  </si>
  <si>
    <t>Taimur Dixit</t>
  </si>
  <si>
    <t>Riya Chandran</t>
  </si>
  <si>
    <t>Yuvraj  Varty</t>
  </si>
  <si>
    <t>Trisha Tripathi</t>
  </si>
  <si>
    <t>Mehul Sarkar</t>
  </si>
  <si>
    <t>Uthkarsh Sahni</t>
  </si>
  <si>
    <t>Hridaan Yadav</t>
  </si>
  <si>
    <t>Navya Sridhar</t>
  </si>
  <si>
    <t>Shlok Gopal</t>
  </si>
  <si>
    <t>Piya Handa</t>
  </si>
  <si>
    <t>Yasmin Chand</t>
  </si>
  <si>
    <t>Mamooty Bhatti</t>
  </si>
  <si>
    <t>Nitya Banik</t>
  </si>
  <si>
    <t>Dhruv Rana</t>
  </si>
  <si>
    <t>Sumer Kala</t>
  </si>
  <si>
    <t>Yuvaan Mand</t>
  </si>
  <si>
    <t>Fateh Vala</t>
  </si>
  <si>
    <t>Yashvi Gulati</t>
  </si>
  <si>
    <t>Jayesh Sharaf</t>
  </si>
  <si>
    <t>Biju Edwin</t>
  </si>
  <si>
    <t>Yashvi Bumb</t>
  </si>
  <si>
    <t>Shaan Hari</t>
  </si>
  <si>
    <t>Yuvraj  Biswas</t>
  </si>
  <si>
    <t>Amira Bava</t>
  </si>
  <si>
    <t>Heer Andra</t>
  </si>
  <si>
    <t>Pihu Krishnamurthy</t>
  </si>
  <si>
    <t>Nishith Swamy</t>
  </si>
  <si>
    <t>Pranay Aggarwal</t>
  </si>
  <si>
    <t>Kartik Reddy</t>
  </si>
  <si>
    <t>Siya Contractor</t>
  </si>
  <si>
    <t>Manikya Deo</t>
  </si>
  <si>
    <t>Kavya Chakrabarti</t>
  </si>
  <si>
    <t>Urvi Aggarwal</t>
  </si>
  <si>
    <t>Umang Singhal</t>
  </si>
  <si>
    <t>Sumer Ben</t>
  </si>
  <si>
    <t>Tejas Verma</t>
  </si>
  <si>
    <t>Taimur Singhal</t>
  </si>
  <si>
    <t>Yasmin Barad</t>
  </si>
  <si>
    <t>Myra Mandal</t>
  </si>
  <si>
    <t>Divit Kurian</t>
  </si>
  <si>
    <t>Zara Sundaram</t>
  </si>
  <si>
    <t>Dhanush Bhavsar</t>
  </si>
  <si>
    <t>Onkar Agarwal</t>
  </si>
  <si>
    <t>Zoya Sidhu</t>
  </si>
  <si>
    <t>Badal Dugal</t>
  </si>
  <si>
    <t>Khushi Jayaraman</t>
  </si>
  <si>
    <t>Darshit Krishnan</t>
  </si>
  <si>
    <t>Vritika Bhavsar</t>
  </si>
  <si>
    <t>Krish Venkatesh</t>
  </si>
  <si>
    <t>Hridaan Sastry</t>
  </si>
  <si>
    <t>Khushi Warrior</t>
  </si>
  <si>
    <t>Ela Borde</t>
  </si>
  <si>
    <t>Nitya Toor</t>
  </si>
  <si>
    <t>Tiya Thakur</t>
  </si>
  <si>
    <t>Dhruv Khurana</t>
  </si>
  <si>
    <t>Diya Bahl</t>
  </si>
  <si>
    <t>Shlok Ahluwalia</t>
  </si>
  <si>
    <t>Lakshit Bakshi</t>
  </si>
  <si>
    <t>Miraan Karpe</t>
  </si>
  <si>
    <t>Tara Chaudhari</t>
  </si>
  <si>
    <t>Kabir Soman</t>
  </si>
  <si>
    <t>Samaira Chander</t>
  </si>
  <si>
    <t>Vardaniya Johal</t>
  </si>
  <si>
    <t>Amira Singh</t>
  </si>
  <si>
    <t>Amani Tella</t>
  </si>
  <si>
    <t>Bhamini Amble</t>
  </si>
  <si>
    <t>Myra Sanghvi</t>
  </si>
  <si>
    <t>Neelofar Bhasin</t>
  </si>
  <si>
    <t>Zeeshan Badami</t>
  </si>
  <si>
    <t>Shayak Banerjee</t>
  </si>
  <si>
    <t>Farhan Suresh</t>
  </si>
  <si>
    <t>Armaan Chadha</t>
  </si>
  <si>
    <t>Uthkarsh Kamdar</t>
  </si>
  <si>
    <t>Shanaya Sanghvi</t>
  </si>
  <si>
    <t>Zoya Sant</t>
  </si>
  <si>
    <t>Vivaan Luthra</t>
  </si>
  <si>
    <t>Saksham Bajaj</t>
  </si>
  <si>
    <t>Tiya Kaur</t>
  </si>
  <si>
    <t>Keya Sarma</t>
  </si>
  <si>
    <t>Emir Loyal</t>
  </si>
  <si>
    <t>Dishani Borah</t>
  </si>
  <si>
    <t>Hrishita Dass</t>
  </si>
  <si>
    <t>Divij Tiwari</t>
  </si>
  <si>
    <t>Kabir Virk</t>
  </si>
  <si>
    <t>Siya Sabharwal</t>
  </si>
  <si>
    <t>Shlok Shroff</t>
  </si>
  <si>
    <t>Anika Mani</t>
  </si>
  <si>
    <t>Pari Som</t>
  </si>
  <si>
    <t>Diya Dhillon</t>
  </si>
  <si>
    <t>Siya Bakshi</t>
  </si>
  <si>
    <t>Dhanuk Vohra</t>
  </si>
  <si>
    <t>Ivan Majumdar</t>
  </si>
  <si>
    <t>Inaaya  Lall</t>
  </si>
  <si>
    <t>Dhruv Joshi</t>
  </si>
  <si>
    <t>Abram Gupta</t>
  </si>
  <si>
    <t>Trisha Kala</t>
  </si>
  <si>
    <t>Rhea Jaggi</t>
  </si>
  <si>
    <t>Nishith Bhattacharyya</t>
  </si>
  <si>
    <t>Miraya Singh</t>
  </si>
  <si>
    <t>Ayesha Bobal</t>
  </si>
  <si>
    <t>Ritvik Ganesan</t>
  </si>
  <si>
    <t>Urvi Gandhi</t>
  </si>
  <si>
    <t>Diya Saha</t>
  </si>
  <si>
    <t>Eshani Badal</t>
  </si>
  <si>
    <t>Oorja Tiwari</t>
  </si>
  <si>
    <t>Yashvi Bail</t>
  </si>
  <si>
    <t>Marketing</t>
  </si>
  <si>
    <t>HR</t>
  </si>
  <si>
    <t>Sales</t>
  </si>
  <si>
    <t>Support</t>
  </si>
  <si>
    <t>Operations</t>
  </si>
  <si>
    <t>Finance</t>
  </si>
  <si>
    <t>IT</t>
  </si>
  <si>
    <t>Kolkata</t>
  </si>
  <si>
    <t>Mumbai</t>
  </si>
  <si>
    <t>Ahmedabad</t>
  </si>
  <si>
    <t>Chennai</t>
  </si>
  <si>
    <t>Delhi</t>
  </si>
  <si>
    <t>Pune</t>
  </si>
  <si>
    <t>Jaipur</t>
  </si>
  <si>
    <t>Hyderabad</t>
  </si>
  <si>
    <t>Lucknow</t>
  </si>
  <si>
    <t>Bangalore</t>
  </si>
  <si>
    <t>Female</t>
  </si>
  <si>
    <t>Male</t>
  </si>
  <si>
    <t>JC588</t>
  </si>
  <si>
    <t>JC196</t>
  </si>
  <si>
    <t>JC693</t>
  </si>
  <si>
    <t>JC100</t>
  </si>
  <si>
    <t>JC598</t>
  </si>
  <si>
    <t>JC877</t>
  </si>
  <si>
    <t>JC894</t>
  </si>
  <si>
    <t>JC303</t>
  </si>
  <si>
    <t>JC710</t>
  </si>
  <si>
    <t>JC991</t>
  </si>
  <si>
    <t>JC944</t>
  </si>
  <si>
    <t>JC767</t>
  </si>
  <si>
    <t>JC919</t>
  </si>
  <si>
    <t>JC351</t>
  </si>
  <si>
    <t>JC669</t>
  </si>
  <si>
    <t>JC738</t>
  </si>
  <si>
    <t>JC992</t>
  </si>
  <si>
    <t>JC987</t>
  </si>
  <si>
    <t>JC634</t>
  </si>
  <si>
    <t>JC149</t>
  </si>
  <si>
    <t>JC859</t>
  </si>
  <si>
    <t>JC709</t>
  </si>
  <si>
    <t>JC833</t>
  </si>
  <si>
    <t>JC924</t>
  </si>
  <si>
    <t>JC317</t>
  </si>
  <si>
    <t>JC976</t>
  </si>
  <si>
    <t>JC753</t>
  </si>
  <si>
    <t>JC965</t>
  </si>
  <si>
    <t>JC600</t>
  </si>
  <si>
    <t>JC443</t>
  </si>
  <si>
    <t>JC342</t>
  </si>
  <si>
    <t>JC816</t>
  </si>
  <si>
    <t>JC295</t>
  </si>
  <si>
    <t>JC357</t>
  </si>
  <si>
    <t>JC413</t>
  </si>
  <si>
    <t>JC179</t>
  </si>
  <si>
    <t>JC286</t>
  </si>
  <si>
    <t>JC711</t>
  </si>
  <si>
    <t>JC755</t>
  </si>
  <si>
    <t>JC861</t>
  </si>
  <si>
    <t>JC117</t>
  </si>
  <si>
    <t>JC218</t>
  </si>
  <si>
    <t>JC646</t>
  </si>
  <si>
    <t>JC635</t>
  </si>
  <si>
    <t>JC756</t>
  </si>
  <si>
    <t>JC982</t>
  </si>
  <si>
    <t>JC892</t>
  </si>
  <si>
    <t>JC818</t>
  </si>
  <si>
    <t>JC208</t>
  </si>
  <si>
    <t>JC433</t>
  </si>
  <si>
    <t>JC200</t>
  </si>
  <si>
    <t>JC639</t>
  </si>
  <si>
    <t>JC706</t>
  </si>
  <si>
    <t>JC676</t>
  </si>
  <si>
    <t>JC741</t>
  </si>
  <si>
    <t>JC555</t>
  </si>
  <si>
    <t>JC463</t>
  </si>
  <si>
    <t>JC346</t>
  </si>
  <si>
    <t>JC377</t>
  </si>
  <si>
    <t>JC939</t>
  </si>
  <si>
    <t>JC478</t>
  </si>
  <si>
    <t>JC826</t>
  </si>
  <si>
    <t>JC698</t>
  </si>
  <si>
    <t>JC289</t>
  </si>
  <si>
    <t>JC933</t>
  </si>
  <si>
    <t>JC309</t>
  </si>
  <si>
    <t>JC595</t>
  </si>
  <si>
    <t>JC151</t>
  </si>
  <si>
    <t>JC203</t>
  </si>
  <si>
    <t>JC928</t>
  </si>
  <si>
    <t>JC258</t>
  </si>
  <si>
    <t>JC189</t>
  </si>
  <si>
    <t>JC140</t>
  </si>
  <si>
    <t>JC854</t>
  </si>
  <si>
    <t>JC860</t>
  </si>
  <si>
    <t>JC835</t>
  </si>
  <si>
    <t>JC506</t>
  </si>
  <si>
    <t>JC993</t>
  </si>
  <si>
    <t>JC148</t>
  </si>
  <si>
    <t>JC938</t>
  </si>
  <si>
    <t>JC300</t>
  </si>
  <si>
    <t>JC439</t>
  </si>
  <si>
    <t>JC903</t>
  </si>
  <si>
    <t>JC700</t>
  </si>
  <si>
    <t>JC900</t>
  </si>
  <si>
    <t>JC782</t>
  </si>
  <si>
    <t>JC475</t>
  </si>
  <si>
    <t>JC663</t>
  </si>
  <si>
    <t>JC764</t>
  </si>
  <si>
    <t>JC104</t>
  </si>
  <si>
    <t>JC546</t>
  </si>
  <si>
    <t>JC503</t>
  </si>
  <si>
    <t>JC275</t>
  </si>
  <si>
    <t>JC375</t>
  </si>
  <si>
    <t>JC887</t>
  </si>
  <si>
    <t>JC763</t>
  </si>
  <si>
    <t>JC269</t>
  </si>
  <si>
    <t>JC504</t>
  </si>
  <si>
    <t>JC571</t>
  </si>
  <si>
    <t>JC248</t>
  </si>
  <si>
    <t>JC977</t>
  </si>
  <si>
    <t>JC205</t>
  </si>
  <si>
    <t>JC682</t>
  </si>
  <si>
    <t>JC664</t>
  </si>
  <si>
    <t>JC607</t>
  </si>
  <si>
    <t>JC378</t>
  </si>
  <si>
    <t>JC655</t>
  </si>
  <si>
    <t>JC112</t>
  </si>
  <si>
    <t>JC617</t>
  </si>
  <si>
    <t>JC552</t>
  </si>
  <si>
    <t>JC337</t>
  </si>
  <si>
    <t>JC253</t>
  </si>
  <si>
    <t>JC615</t>
  </si>
  <si>
    <t>JC771</t>
  </si>
  <si>
    <t>JC542</t>
  </si>
  <si>
    <t>JC980</t>
  </si>
  <si>
    <t>JC624</t>
  </si>
  <si>
    <t>JC573</t>
  </si>
  <si>
    <t>JC450</t>
  </si>
  <si>
    <t>JC594</t>
  </si>
  <si>
    <t>JC718</t>
  </si>
  <si>
    <t>JC505</t>
  </si>
  <si>
    <t>JC340</t>
  </si>
  <si>
    <t>JC566</t>
  </si>
  <si>
    <t>JC916</t>
  </si>
  <si>
    <t>JC388</t>
  </si>
  <si>
    <t>JC386</t>
  </si>
  <si>
    <t>JC482</t>
  </si>
  <si>
    <t>JC809</t>
  </si>
  <si>
    <t>JC510</t>
  </si>
  <si>
    <t>JC423</t>
  </si>
  <si>
    <t>JC376</t>
  </si>
  <si>
    <t>JC106</t>
  </si>
  <si>
    <t>JC627</t>
  </si>
  <si>
    <t>JC456</t>
  </si>
  <si>
    <t>JC970</t>
  </si>
  <si>
    <t>JC940</t>
  </si>
  <si>
    <t>JC789</t>
  </si>
  <si>
    <t>JC814</t>
  </si>
  <si>
    <t>JC302</t>
  </si>
  <si>
    <t>JC945</t>
  </si>
  <si>
    <t>JC508</t>
  </si>
  <si>
    <t>JC123</t>
  </si>
  <si>
    <t>JC762</t>
  </si>
  <si>
    <t>JC659</t>
  </si>
  <si>
    <t>JC667</t>
  </si>
  <si>
    <t>JC884</t>
  </si>
  <si>
    <t>JC318</t>
  </si>
  <si>
    <t>JC960</t>
  </si>
  <si>
    <t>JC180</t>
  </si>
  <si>
    <t>JC274</t>
  </si>
  <si>
    <t>JC786</t>
  </si>
  <si>
    <t>JC853</t>
  </si>
  <si>
    <t>JC279</t>
  </si>
  <si>
    <t>JC384</t>
  </si>
  <si>
    <t>JC791</t>
  </si>
  <si>
    <t>JC395</t>
  </si>
  <si>
    <t>JC111</t>
  </si>
  <si>
    <t>JC494</t>
  </si>
  <si>
    <t>JC449</t>
  </si>
  <si>
    <t>JC500</t>
  </si>
  <si>
    <t>JC416</t>
  </si>
  <si>
    <t>JC593</t>
  </si>
  <si>
    <t>JC127</t>
  </si>
  <si>
    <t>JC116</t>
  </si>
  <si>
    <t>JC239</t>
  </si>
  <si>
    <t>JC545</t>
  </si>
  <si>
    <t>JC690</t>
  </si>
  <si>
    <t>JC746</t>
  </si>
  <si>
    <t>JC798</t>
  </si>
  <si>
    <t>JC734</t>
  </si>
  <si>
    <t>JC553</t>
  </si>
  <si>
    <t>JC886</t>
  </si>
  <si>
    <t>JC233</t>
  </si>
  <si>
    <t>JC525</t>
  </si>
  <si>
    <t>JC774</t>
  </si>
  <si>
    <t>JC778</t>
  </si>
  <si>
    <t>JC214</t>
  </si>
  <si>
    <t>JC390</t>
  </si>
  <si>
    <t>JC426</t>
  </si>
  <si>
    <t>JC697</t>
  </si>
  <si>
    <t>JC514</t>
  </si>
  <si>
    <t>JC765</t>
  </si>
  <si>
    <t>JC863</t>
  </si>
  <si>
    <t>JC526</t>
  </si>
  <si>
    <t>JC727</t>
  </si>
  <si>
    <t>JC592</t>
  </si>
  <si>
    <t>JC212</t>
  </si>
  <si>
    <t>JC647</t>
  </si>
  <si>
    <t>JC161</t>
  </si>
  <si>
    <t>JC305</t>
  </si>
  <si>
    <t>JC251</t>
  </si>
  <si>
    <t>JC568</t>
  </si>
  <si>
    <t>JC172</t>
  </si>
  <si>
    <t>JC750</t>
  </si>
  <si>
    <t>JC657</t>
  </si>
  <si>
    <t>JC182</t>
  </si>
  <si>
    <t>JC984</t>
  </si>
  <si>
    <t>JC829</t>
  </si>
  <si>
    <t>JC692</t>
  </si>
  <si>
    <t>JC689</t>
  </si>
  <si>
    <t>JC201</t>
  </si>
  <si>
    <t>JC911</t>
  </si>
  <si>
    <t>JC810</t>
  </si>
  <si>
    <t>JC177</t>
  </si>
  <si>
    <t>JC845</t>
  </si>
  <si>
    <t>JC541</t>
  </si>
  <si>
    <t>JC372</t>
  </si>
  <si>
    <t>JC422</t>
  </si>
  <si>
    <t>JC270</t>
  </si>
  <si>
    <t>JC899</t>
  </si>
  <si>
    <t>JC465</t>
  </si>
  <si>
    <t>JC824</t>
  </si>
  <si>
    <t>JC932</t>
  </si>
  <si>
    <t>JC958</t>
  </si>
  <si>
    <t>JC838</t>
  </si>
  <si>
    <t>JC549</t>
  </si>
  <si>
    <t>JC418</t>
  </si>
  <si>
    <t>JC436</t>
  </si>
  <si>
    <t>JC997</t>
  </si>
  <si>
    <t>JC962</t>
  </si>
  <si>
    <t>JC411</t>
  </si>
  <si>
    <t>JC331</t>
  </si>
  <si>
    <t>JC557</t>
  </si>
  <si>
    <t>JC937</t>
  </si>
  <si>
    <t>JC629</t>
  </si>
  <si>
    <t>JC402</t>
  </si>
  <si>
    <t>JC871</t>
  </si>
  <si>
    <t>JC918</t>
  </si>
  <si>
    <t>JC160</t>
  </si>
  <si>
    <t>JC628</t>
  </si>
  <si>
    <t>JC355</t>
  </si>
  <si>
    <t>JC703</t>
  </si>
  <si>
    <t>JC103</t>
  </si>
  <si>
    <t>JC905</t>
  </si>
  <si>
    <t>JC155</t>
  </si>
  <si>
    <t>JC356</t>
  </si>
  <si>
    <t>JC226</t>
  </si>
  <si>
    <t>JC723</t>
  </si>
  <si>
    <t>JC138</t>
  </si>
  <si>
    <t>JC495</t>
  </si>
  <si>
    <t>JC477</t>
  </si>
  <si>
    <t>JC396</t>
  </si>
  <si>
    <t>JC622</t>
  </si>
  <si>
    <t>JC414</t>
  </si>
  <si>
    <t>JC509</t>
  </si>
  <si>
    <t>JC790</t>
  </si>
  <si>
    <t>JC613</t>
  </si>
  <si>
    <t>JC803</t>
  </si>
  <si>
    <t>JC374</t>
  </si>
  <si>
    <t>JC534</t>
  </si>
  <si>
    <t>JC527</t>
  </si>
  <si>
    <t>JC907</t>
  </si>
  <si>
    <t>JC353</t>
  </si>
  <si>
    <t>JC636</t>
  </si>
  <si>
    <t>JC561</t>
  </si>
  <si>
    <t>JC250</t>
  </si>
  <si>
    <t>JC466</t>
  </si>
  <si>
    <t>JC162</t>
  </si>
  <si>
    <t>JC186</t>
  </si>
  <si>
    <t>JC380</t>
  </si>
  <si>
    <t>JC350</t>
  </si>
  <si>
    <t>JC915</t>
  </si>
  <si>
    <t>JC400</t>
  </si>
  <si>
    <t>JC638</t>
  </si>
  <si>
    <t>JC966</t>
  </si>
  <si>
    <t>JC744</t>
  </si>
  <si>
    <t>JC124</t>
  </si>
  <si>
    <t>JC968</t>
  </si>
  <si>
    <t>JC800</t>
  </si>
  <si>
    <t>JC688</t>
  </si>
  <si>
    <t>JC759</t>
  </si>
  <si>
    <t>JC513</t>
  </si>
  <si>
    <t>JC222</t>
  </si>
  <si>
    <t>JC963</t>
  </si>
  <si>
    <t>JC675</t>
  </si>
  <si>
    <t>JC720</t>
  </si>
  <si>
    <t>JC187</t>
  </si>
  <si>
    <t>JC813</t>
  </si>
  <si>
    <t>JC953</t>
  </si>
  <si>
    <t>JC122</t>
  </si>
  <si>
    <t>JC294</t>
  </si>
  <si>
    <t>JC736</t>
  </si>
  <si>
    <t>JC728</t>
  </si>
  <si>
    <t>JC981</t>
  </si>
  <si>
    <t>JC802</t>
  </si>
  <si>
    <t>JC150</t>
  </si>
  <si>
    <t>JC363</t>
  </si>
  <si>
    <t>JC246</t>
  </si>
  <si>
    <t>JC406</t>
  </si>
  <si>
    <t>JC606</t>
  </si>
  <si>
    <t>JC904</t>
  </si>
  <si>
    <t>JC754</t>
  </si>
  <si>
    <t>JC157</t>
  </si>
  <si>
    <t>JC163</t>
  </si>
  <si>
    <t>JC383</t>
  </si>
  <si>
    <t>JC391</t>
  </si>
  <si>
    <t>JC780</t>
  </si>
  <si>
    <t>JC658</t>
  </si>
  <si>
    <t>JC181</t>
  </si>
  <si>
    <t>JC583</t>
  </si>
  <si>
    <t>JC415</t>
  </si>
  <si>
    <t>JC822</t>
  </si>
  <si>
    <t>JC139</t>
  </si>
  <si>
    <t>JC227</t>
  </si>
  <si>
    <t>JC108</t>
  </si>
  <si>
    <t>JC224</t>
  </si>
  <si>
    <t>JC820</t>
  </si>
  <si>
    <t>JC362</t>
  </si>
  <si>
    <t>JC988</t>
  </si>
  <si>
    <t>JC558</t>
  </si>
  <si>
    <t>JC190</t>
  </si>
  <si>
    <t>JC257</t>
  </si>
  <si>
    <t>JC405</t>
  </si>
  <si>
    <t>JC885</t>
  </si>
  <si>
    <t>JC457</t>
  </si>
  <si>
    <t>JC536</t>
  </si>
  <si>
    <t>JC950</t>
  </si>
  <si>
    <t>JC285</t>
  </si>
  <si>
    <t>JC678</t>
  </si>
  <si>
    <t>JC673</t>
  </si>
  <si>
    <t>JC880</t>
  </si>
  <si>
    <t>JC737</t>
  </si>
  <si>
    <t>JC120</t>
  </si>
  <si>
    <t>JC244</t>
  </si>
  <si>
    <t>JC929</t>
  </si>
  <si>
    <t>JC515</t>
  </si>
  <si>
    <t>JC775</t>
  </si>
  <si>
    <t>JC811</t>
  </si>
  <si>
    <t>JC194</t>
  </si>
  <si>
    <t>JC394</t>
  </si>
  <si>
    <t>JC408</t>
  </si>
  <si>
    <t>JC870</t>
  </si>
  <si>
    <t>JC364</t>
  </si>
  <si>
    <t>JC319</t>
  </si>
  <si>
    <t>JC169</t>
  </si>
  <si>
    <t>JC359</t>
  </si>
  <si>
    <t>JC499</t>
  </si>
  <si>
    <t>JC263</t>
  </si>
  <si>
    <t>JC749</t>
  </si>
  <si>
    <t>JC585</t>
  </si>
  <si>
    <t>JC256</t>
  </si>
  <si>
    <t>JC893</t>
  </si>
  <si>
    <t>JC134</t>
  </si>
  <si>
    <t>JC245</t>
  </si>
  <si>
    <t>JC660</t>
  </si>
  <si>
    <t>JC326</t>
  </si>
  <si>
    <t>JC842</t>
  </si>
  <si>
    <t>JC748</t>
  </si>
  <si>
    <t>JC301</t>
  </si>
  <si>
    <t>JC582</t>
  </si>
  <si>
    <t>JC642</t>
  </si>
  <si>
    <t>JC605</t>
  </si>
  <si>
    <t>JC409</t>
  </si>
  <si>
    <t>JC729</t>
  </si>
  <si>
    <t>JC136</t>
  </si>
  <si>
    <t>JC923</t>
  </si>
  <si>
    <t>JC261</t>
  </si>
  <si>
    <t>JC252</t>
  </si>
  <si>
    <t>JC828</t>
  </si>
  <si>
    <t>JC435</t>
  </si>
  <si>
    <t>JC185</t>
  </si>
  <si>
    <t>JC985</t>
  </si>
  <si>
    <t>JC119</t>
  </si>
  <si>
    <t>JC872</t>
  </si>
  <si>
    <t>JC262</t>
  </si>
  <si>
    <t>JC497</t>
  </si>
  <si>
    <t>JC345</t>
  </si>
  <si>
    <t>JC633</t>
  </si>
  <si>
    <t>JC910</t>
  </si>
  <si>
    <t>JC983</t>
  </si>
  <si>
    <t>JC419</t>
  </si>
  <si>
    <t>JC702</t>
  </si>
  <si>
    <t>JC882</t>
  </si>
  <si>
    <t>JC793</t>
  </si>
  <si>
    <t>JC371</t>
  </si>
  <si>
    <t>JC273</t>
  </si>
  <si>
    <t>JC176</t>
  </si>
  <si>
    <t>JC532</t>
  </si>
  <si>
    <t>JC989</t>
  </si>
  <si>
    <t>JC550</t>
  </si>
  <si>
    <t>JC521</t>
  </si>
  <si>
    <t>JC772</t>
  </si>
  <si>
    <t>JC349</t>
  </si>
  <si>
    <t>JC589</t>
  </si>
  <si>
    <t>JC969</t>
  </si>
  <si>
    <t>JC760</t>
  </si>
  <si>
    <t>JC562</t>
  </si>
  <si>
    <t>JC879</t>
  </si>
  <si>
    <t>JC519</t>
  </si>
  <si>
    <t>JC135</t>
  </si>
  <si>
    <t>JC165</t>
  </si>
  <si>
    <t>JC204</t>
  </si>
  <si>
    <t>JC797</t>
  </si>
  <si>
    <t>JC487</t>
  </si>
  <si>
    <t>JC365</t>
  </si>
  <si>
    <t>JC644</t>
  </si>
  <si>
    <t>JC787</t>
  </si>
  <si>
    <t>JC130</t>
  </si>
  <si>
    <t>JC121</t>
  </si>
  <si>
    <t>JC957</t>
  </si>
  <si>
    <t>JC973</t>
  </si>
  <si>
    <t>JC926</t>
  </si>
  <si>
    <t>JC125</t>
  </si>
  <si>
    <t>JC367</t>
  </si>
  <si>
    <t>JC341</t>
  </si>
  <si>
    <t>JC440</t>
  </si>
  <si>
    <t>JC236</t>
  </si>
  <si>
    <t>JC544</t>
  </si>
  <si>
    <t>JC631</t>
  </si>
  <si>
    <t>JC334</t>
  </si>
  <si>
    <t>JC143</t>
  </si>
  <si>
    <t>JC806</t>
  </si>
  <si>
    <t>JC197</t>
  </si>
  <si>
    <t>JC537</t>
  </si>
  <si>
    <t>JC986</t>
  </si>
  <si>
    <t>JC533</t>
  </si>
  <si>
    <t>JC554</t>
  </si>
  <si>
    <t>JC961</t>
  </si>
  <si>
    <t>JC547</t>
  </si>
  <si>
    <t>JC931</t>
  </si>
  <si>
    <t>JC512</t>
  </si>
  <si>
    <t>JC909</t>
  </si>
  <si>
    <t>JC462</t>
  </si>
  <si>
    <t>JC776</t>
  </si>
  <si>
    <t>JC914</t>
  </si>
  <si>
    <t>JC464</t>
  </si>
  <si>
    <t>JC147</t>
  </si>
  <si>
    <t>JC645</t>
  </si>
  <si>
    <t>JC612</t>
  </si>
  <si>
    <t>JC292</t>
  </si>
  <si>
    <t>JC652</t>
  </si>
  <si>
    <t>JC563</t>
  </si>
  <si>
    <t>JC801</t>
  </si>
  <si>
    <t>JC994</t>
  </si>
  <si>
    <t>JC564</t>
  </si>
  <si>
    <t>JC656</t>
  </si>
  <si>
    <t>JC902</t>
  </si>
  <si>
    <t>JC591</t>
  </si>
  <si>
    <t>JC455</t>
  </si>
  <si>
    <t>JC399</t>
  </si>
  <si>
    <t>JC360</t>
  </si>
  <si>
    <t>JC336</t>
  </si>
  <si>
    <t>JC978</t>
  </si>
  <si>
    <t>JC959</t>
  </si>
  <si>
    <t>JC105</t>
  </si>
  <si>
    <t>JC867</t>
  </si>
  <si>
    <t>JC339</t>
  </si>
  <si>
    <t>JC955</t>
  </si>
  <si>
    <t>JC608</t>
  </si>
  <si>
    <t>JC420</t>
  </si>
  <si>
    <t>JC650</t>
  </si>
  <si>
    <t>JC768</t>
  </si>
  <si>
    <t>JC998</t>
  </si>
  <si>
    <t>JC788</t>
  </si>
  <si>
    <t>JC996</t>
  </si>
  <si>
    <t>JC113</t>
  </si>
  <si>
    <t>JC225</t>
  </si>
  <si>
    <t>JC324</t>
  </si>
  <si>
    <t>JC649</t>
  </si>
  <si>
    <t>JC267</t>
  </si>
  <si>
    <t>JC441</t>
  </si>
  <si>
    <t>JC654</t>
  </si>
  <si>
    <t>JC575</t>
  </si>
  <si>
    <t>JC379</t>
  </si>
  <si>
    <t>JC742</t>
  </si>
  <si>
    <t>JC153</t>
  </si>
  <si>
    <t>JC191</t>
  </si>
  <si>
    <t>JC934</t>
  </si>
  <si>
    <t>JC310</t>
  </si>
  <si>
    <t>JC611</t>
  </si>
  <si>
    <t>JC618</t>
  </si>
  <si>
    <t>JC144</t>
  </si>
  <si>
    <t>JC459</t>
  </si>
  <si>
    <t>JC320</t>
  </si>
  <si>
    <t>JC528</t>
  </si>
  <si>
    <t>JC808</t>
  </si>
  <si>
    <t>JC516</t>
  </si>
  <si>
    <t>JC146</t>
  </si>
  <si>
    <t>JC467</t>
  </si>
  <si>
    <t>JC548</t>
  </si>
  <si>
    <t>JC551</t>
  </si>
  <si>
    <t>JC714</t>
  </si>
  <si>
    <t>JC671</t>
  </si>
  <si>
    <t>JC168</t>
  </si>
  <si>
    <t>JC662</t>
  </si>
  <si>
    <t>JC468</t>
  </si>
  <si>
    <t>JC707</t>
  </si>
  <si>
    <t>JC681</t>
  </si>
  <si>
    <t>JC769</t>
  </si>
  <si>
    <t>JC287</t>
  </si>
  <si>
    <t>JC209</t>
  </si>
  <si>
    <t>JC332</t>
  </si>
  <si>
    <t>JC920</t>
  </si>
  <si>
    <t>JC114</t>
  </si>
  <si>
    <t>JC184</t>
  </si>
  <si>
    <t>JC352</t>
  </si>
  <si>
    <t>JC881</t>
  </si>
  <si>
    <t>JC327</t>
  </si>
  <si>
    <t>JC485</t>
  </si>
  <si>
    <t>JC819</t>
  </si>
  <si>
    <t>JC735</t>
  </si>
  <si>
    <t>JC429</t>
  </si>
  <si>
    <t>JC567</t>
  </si>
  <si>
    <t>JC410</t>
  </si>
  <si>
    <t>JC751</t>
  </si>
  <si>
    <t>JC761</t>
  </si>
  <si>
    <t>JC417</t>
  </si>
  <si>
    <t>JC131</t>
  </si>
  <si>
    <t>JC637</t>
  </si>
  <si>
    <t>JC625</t>
  </si>
  <si>
    <t>JC472</t>
  </si>
  <si>
    <t>JC843</t>
  </si>
  <si>
    <t>JC219</t>
  </si>
  <si>
    <t>JC921</t>
  </si>
  <si>
    <t>JC725</t>
  </si>
  <si>
    <t>JC956</t>
  </si>
  <si>
    <t>JC857</t>
  </si>
  <si>
    <t>JC619</t>
  </si>
  <si>
    <t>JC686</t>
  </si>
  <si>
    <t>JC679</t>
  </si>
  <si>
    <t>JC283</t>
  </si>
  <si>
    <t>JC442</t>
  </si>
  <si>
    <t>JC825</t>
  </si>
  <si>
    <t>JC641</t>
  </si>
  <si>
    <t>JC752</t>
  </si>
  <si>
    <t>JC868</t>
  </si>
  <si>
    <t>JC719</t>
  </si>
  <si>
    <t>JC601</t>
  </si>
  <si>
    <t>JC889</t>
  </si>
  <si>
    <t>JC896</t>
  </si>
  <si>
    <t>JC732</t>
  </si>
  <si>
    <t>JC407</t>
  </si>
  <si>
    <t>JC338</t>
  </si>
  <si>
    <t>JC366</t>
  </si>
  <si>
    <t>JC268</t>
  </si>
  <si>
    <t>JC221</t>
  </si>
  <si>
    <t>JC243</t>
  </si>
  <si>
    <t>JC173</t>
  </si>
  <si>
    <t>JC949</t>
  </si>
  <si>
    <t>JC132</t>
  </si>
  <si>
    <t>JC164</t>
  </si>
  <si>
    <t>JC792</t>
  </si>
  <si>
    <t>JC228</t>
  </si>
  <si>
    <t>JC369</t>
  </si>
  <si>
    <t>JC851</t>
  </si>
  <si>
    <t>JC683</t>
  </si>
  <si>
    <t>JC306</t>
  </si>
  <si>
    <t>JC795</t>
  </si>
  <si>
    <t>JC862</t>
  </si>
  <si>
    <t>JC188</t>
  </si>
  <si>
    <t>JC623</t>
  </si>
  <si>
    <t>JC166</t>
  </si>
  <si>
    <t>JC249</t>
  </si>
  <si>
    <t>JC579</t>
  </si>
  <si>
    <t>JC670</t>
  </si>
  <si>
    <t>JC876</t>
  </si>
  <si>
    <t>JC722</t>
  </si>
  <si>
    <t>JC322</t>
  </si>
  <si>
    <t>JC434</t>
  </si>
  <si>
    <t>JC643</t>
  </si>
  <si>
    <t>JC543</t>
  </si>
  <si>
    <t>JC602</t>
  </si>
  <si>
    <t>JC878</t>
  </si>
  <si>
    <t>JC315</t>
  </si>
  <si>
    <t>JC297</t>
  </si>
  <si>
    <t>JC393</t>
  </si>
  <si>
    <t>JC321</t>
  </si>
  <si>
    <t>JC616</t>
  </si>
  <si>
    <t>JC381</t>
  </si>
  <si>
    <t>JC237</t>
  </si>
  <si>
    <t>JC858</t>
  </si>
  <si>
    <t>JC421</t>
  </si>
  <si>
    <t>JC524</t>
  </si>
  <si>
    <t>JC330</t>
  </si>
  <si>
    <t>JC448</t>
  </si>
  <si>
    <t>JC559</t>
  </si>
  <si>
    <t>JC238</t>
  </si>
  <si>
    <t>JC817</t>
  </si>
  <si>
    <t>JC492</t>
  </si>
  <si>
    <t>JC145</t>
  </si>
  <si>
    <t>JC799</t>
  </si>
  <si>
    <t>JC522</t>
  </si>
  <si>
    <t>JC446</t>
  </si>
  <si>
    <t>JC895</t>
  </si>
  <si>
    <t>JC502</t>
  </si>
  <si>
    <t>JC216</t>
  </si>
  <si>
    <t>JC925</t>
  </si>
  <si>
    <t>JC192</t>
  </si>
  <si>
    <t>JC348</t>
  </si>
  <si>
    <t>JC370</t>
  </si>
  <si>
    <t>JC264</t>
  </si>
  <si>
    <t>JC471</t>
  </si>
  <si>
    <t>JC284</t>
  </si>
  <si>
    <t>JC444</t>
  </si>
  <si>
    <t>JC215</t>
  </si>
  <si>
    <t>JC964</t>
  </si>
  <si>
    <t>JC217</t>
  </si>
  <si>
    <t>JC779</t>
  </si>
  <si>
    <t>JC632</t>
  </si>
  <si>
    <t>JC335</t>
  </si>
  <si>
    <t>JC511</t>
  </si>
  <si>
    <t>JC460</t>
  </si>
  <si>
    <t>JC373</t>
  </si>
  <si>
    <t>JC110</t>
  </si>
  <si>
    <t>JC540</t>
  </si>
  <si>
    <t>JC733</t>
  </si>
  <si>
    <t>JC382</t>
  </si>
  <si>
    <t>JC699</t>
  </si>
  <si>
    <t>JC685</t>
  </si>
  <si>
    <t>JC234</t>
  </si>
  <si>
    <t>JC178</t>
  </si>
  <si>
    <t>JC535</t>
  </si>
  <si>
    <t>JC211</t>
  </si>
  <si>
    <t>JC847</t>
  </si>
  <si>
    <t>JC831</t>
  </si>
  <si>
    <t>JC614</t>
  </si>
  <si>
    <t>JC479</t>
  </si>
  <si>
    <t>JC823</t>
  </si>
  <si>
    <t>JC630</t>
  </si>
  <si>
    <t>JC126</t>
  </si>
  <si>
    <t>JC397</t>
  </si>
  <si>
    <t>JC141</t>
  </si>
  <si>
    <t>JC680</t>
  </si>
  <si>
    <t>JC596</t>
  </si>
  <si>
    <t>JC912</t>
  </si>
  <si>
    <t>JC280</t>
  </si>
  <si>
    <t>JC231</t>
  </si>
  <si>
    <t>JC922</t>
  </si>
  <si>
    <t>JC672</t>
  </si>
  <si>
    <t>JC328</t>
  </si>
  <si>
    <t>JC745</t>
  </si>
  <si>
    <t>JC453</t>
  </si>
  <si>
    <t>JC891</t>
  </si>
  <si>
    <t>JC152</t>
  </si>
  <si>
    <t>JC577</t>
  </si>
  <si>
    <t>JC930</t>
  </si>
  <si>
    <t>JC695</t>
  </si>
  <si>
    <t>JC620</t>
  </si>
  <si>
    <t>JC836</t>
  </si>
  <si>
    <t>JC154</t>
  </si>
  <si>
    <t>JC220</t>
  </si>
  <si>
    <t>JC840</t>
  </si>
  <si>
    <t>JC609</t>
  </si>
  <si>
    <t>JC740</t>
  </si>
  <si>
    <t>JC431</t>
  </si>
  <si>
    <t>JC278</t>
  </si>
  <si>
    <t>JC507</t>
  </si>
  <si>
    <t>JC855</t>
  </si>
  <si>
    <t>JC425</t>
  </si>
  <si>
    <t>JC501</t>
  </si>
  <si>
    <t>JC913</t>
  </si>
  <si>
    <t>JC694</t>
  </si>
  <si>
    <t>JC232</t>
  </si>
  <si>
    <t>JC908</t>
  </si>
  <si>
    <t>JC385</t>
  </si>
  <si>
    <t>JC691</t>
  </si>
  <si>
    <t>JC329</t>
  </si>
  <si>
    <t>JC852</t>
  </si>
  <si>
    <t>JC713</t>
  </si>
  <si>
    <t>JC107</t>
  </si>
  <si>
    <t>JC404</t>
  </si>
  <si>
    <t>JC565</t>
  </si>
  <si>
    <t>JC167</t>
  </si>
  <si>
    <t>JC731</t>
  </si>
  <si>
    <t>JC213</t>
  </si>
  <si>
    <t>JC936</t>
  </si>
  <si>
    <t>JC202</t>
  </si>
  <si>
    <t>JC276</t>
  </si>
  <si>
    <t>JC344</t>
  </si>
  <si>
    <t>JC705</t>
  </si>
  <si>
    <t>JC170</t>
  </si>
  <si>
    <t>JC875</t>
  </si>
  <si>
    <t>JC392</t>
  </si>
  <si>
    <t>JC128</t>
  </si>
  <si>
    <t>JC142</t>
  </si>
  <si>
    <t>JC927</t>
  </si>
  <si>
    <t>JC343</t>
  </si>
  <si>
    <t>JC783</t>
  </si>
  <si>
    <t>JC304</t>
  </si>
  <si>
    <t>JC298</t>
  </si>
  <si>
    <t>JC897</t>
  </si>
  <si>
    <t>JC438</t>
  </si>
  <si>
    <t>JC193</t>
  </si>
  <si>
    <t>JC347</t>
  </si>
  <si>
    <t>JC361</t>
  </si>
  <si>
    <t>Consultant</t>
  </si>
  <si>
    <t>Assistant</t>
  </si>
  <si>
    <t>Lead</t>
  </si>
  <si>
    <t>Manager</t>
  </si>
  <si>
    <t>Analyst</t>
  </si>
  <si>
    <t>Executive</t>
  </si>
  <si>
    <t>Engineer</t>
  </si>
  <si>
    <t>SALAERY</t>
  </si>
  <si>
    <t>LOCATION</t>
  </si>
  <si>
    <t>SUMIFS</t>
  </si>
  <si>
    <t>COUNTIFS</t>
  </si>
  <si>
    <t>EMPLOYEES WORKING</t>
  </si>
  <si>
    <t>DEPARTMENT</t>
  </si>
  <si>
    <t>GENDER</t>
  </si>
  <si>
    <t>Employee NAME</t>
  </si>
  <si>
    <t>VLOOKUP</t>
  </si>
  <si>
    <t>XLOOKUP</t>
  </si>
  <si>
    <t>Row Labels</t>
  </si>
  <si>
    <t>Grand Total</t>
  </si>
  <si>
    <t>Sum of Salary</t>
  </si>
  <si>
    <t>Column Labels</t>
  </si>
  <si>
    <t>Count of Department</t>
  </si>
  <si>
    <t>Sum of Working Experience</t>
  </si>
  <si>
    <t>Count of Location</t>
  </si>
  <si>
    <t>Count of Job Code</t>
  </si>
  <si>
    <t>EMPLOYEE DISTRIBUTION BY LOCATION</t>
  </si>
  <si>
    <t>TOTAL WORKING  EXPERIENCE BY DEPARTMENT AND GENDER</t>
  </si>
  <si>
    <t>GENDER -WISE EMPLOYEE COUNT BY LOCATION</t>
  </si>
  <si>
    <t>DEPARTMENT WISE SALARY DISTRIBUTION</t>
  </si>
  <si>
    <t>GENDER WISE EMPLOYEE COUNT BY DESIGNATION  IN PERCENTAGE FORMATE</t>
  </si>
  <si>
    <t>$JC767</t>
  </si>
  <si>
    <t>*EMP1076</t>
  </si>
  <si>
    <t>^EMP1078</t>
  </si>
  <si>
    <t>#EMP1183</t>
  </si>
  <si>
    <t>Length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</si>
</sst>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6" x14ac:knownFonts="1">
    <font>
      <sz val="11"/>
      <color theme="1"/>
      <name val="Corbel"/>
      <family val="2"/>
      <scheme val="minor"/>
    </font>
    <font>
      <b/>
      <sz val="11"/>
      <color theme="1"/>
      <name val="Corbel"/>
      <family val="2"/>
      <scheme val="minor"/>
    </font>
    <font>
      <b/>
      <sz val="11"/>
      <color rgb="FFFF0000"/>
      <name val="Corbel"/>
      <family val="2"/>
      <scheme val="minor"/>
    </font>
    <font>
      <b/>
      <sz val="11"/>
      <color theme="1"/>
      <name val="Arial"/>
      <family val="2"/>
    </font>
    <font>
      <sz val="11"/>
      <color theme="1"/>
      <name val="Arial"/>
      <family val="2"/>
    </font>
    <font>
      <b/>
      <sz val="11"/>
      <color theme="7" tint="-0.249977111117893"/>
      <name val="Arial"/>
      <family val="2"/>
    </font>
  </fonts>
  <fills count="7">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rgb="FFFFCC66"/>
        <bgColor indexed="64"/>
      </patternFill>
    </fill>
    <fill>
      <patternFill patternType="solid">
        <fgColor theme="4" tint="0.39997558519241921"/>
        <bgColor indexed="64"/>
      </patternFill>
    </fill>
    <fill>
      <patternFill patternType="solid">
        <fgColor rgb="FF92D050"/>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indexed="64"/>
      </bottom>
      <diagonal/>
    </border>
    <border>
      <left style="medium">
        <color indexed="64"/>
      </left>
      <right style="thin">
        <color auto="1"/>
      </right>
      <top style="medium">
        <color indexed="64"/>
      </top>
      <bottom style="thin">
        <color auto="1"/>
      </bottom>
      <diagonal/>
    </border>
    <border>
      <left/>
      <right/>
      <top style="medium">
        <color indexed="64"/>
      </top>
      <bottom/>
      <diagonal/>
    </border>
    <border>
      <left/>
      <right style="medium">
        <color indexed="64"/>
      </right>
      <top style="medium">
        <color indexed="64"/>
      </top>
      <bottom/>
      <diagonal/>
    </border>
    <border>
      <left style="medium">
        <color indexed="64"/>
      </left>
      <right style="thin">
        <color auto="1"/>
      </right>
      <top style="thin">
        <color auto="1"/>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style="thin">
        <color auto="1"/>
      </right>
      <top/>
      <bottom style="thin">
        <color auto="1"/>
      </bottom>
      <diagonal/>
    </border>
  </borders>
  <cellStyleXfs count="1">
    <xf numFmtId="0" fontId="0" fillId="0" borderId="0"/>
  </cellStyleXfs>
  <cellXfs count="48">
    <xf numFmtId="0" fontId="0" fillId="0" borderId="0" xfId="0"/>
    <xf numFmtId="14" fontId="0" fillId="0" borderId="0" xfId="0" applyNumberFormat="1"/>
    <xf numFmtId="0" fontId="1" fillId="0" borderId="0" xfId="0" applyFont="1"/>
    <xf numFmtId="0" fontId="2" fillId="0" borderId="0" xfId="0" applyFont="1"/>
    <xf numFmtId="0" fontId="3" fillId="0" borderId="1" xfId="0" applyFont="1" applyBorder="1" applyAlignment="1">
      <alignment horizontal="center" vertical="top"/>
    </xf>
    <xf numFmtId="14" fontId="3" fillId="0" borderId="1" xfId="0" applyNumberFormat="1" applyFont="1" applyBorder="1" applyAlignment="1">
      <alignment horizontal="center" vertical="top"/>
    </xf>
    <xf numFmtId="0" fontId="4" fillId="0" borderId="0" xfId="0" applyFont="1"/>
    <xf numFmtId="164" fontId="4" fillId="0" borderId="0" xfId="0" applyNumberFormat="1" applyFont="1"/>
    <xf numFmtId="14" fontId="4" fillId="0" borderId="0" xfId="0" applyNumberFormat="1" applyFont="1"/>
    <xf numFmtId="0" fontId="5" fillId="0" borderId="0" xfId="0" applyFont="1"/>
    <xf numFmtId="0" fontId="4" fillId="0" borderId="1" xfId="0" applyFont="1" applyBorder="1"/>
    <xf numFmtId="0" fontId="4" fillId="0" borderId="0" xfId="0" applyFont="1" applyAlignment="1">
      <alignment horizontal="center" vertical="top"/>
    </xf>
    <xf numFmtId="0" fontId="3" fillId="0" borderId="0" xfId="0" applyFont="1" applyAlignment="1">
      <alignment horizontal="center" vertical="top"/>
    </xf>
    <xf numFmtId="0" fontId="3" fillId="0" borderId="0" xfId="0" applyFont="1" applyAlignment="1">
      <alignment horizontal="left" indent="3"/>
    </xf>
    <xf numFmtId="14" fontId="3" fillId="0" borderId="0" xfId="0" applyNumberFormat="1" applyFont="1" applyAlignment="1">
      <alignment horizontal="center" vertical="top"/>
    </xf>
    <xf numFmtId="0" fontId="3" fillId="0" borderId="2" xfId="0" applyFont="1" applyBorder="1" applyAlignment="1">
      <alignment horizontal="center" vertical="top"/>
    </xf>
    <xf numFmtId="14" fontId="3" fillId="0" borderId="2" xfId="0" applyNumberFormat="1" applyFont="1" applyBorder="1" applyAlignment="1">
      <alignment horizontal="center" vertical="top"/>
    </xf>
    <xf numFmtId="0" fontId="4" fillId="6" borderId="0" xfId="0" applyFont="1" applyFill="1"/>
    <xf numFmtId="0" fontId="4" fillId="0" borderId="0" xfId="0" pivotButton="1" applyFont="1"/>
    <xf numFmtId="0" fontId="4" fillId="0" borderId="0" xfId="0" applyFont="1" applyAlignment="1">
      <alignment horizontal="left"/>
    </xf>
    <xf numFmtId="10" fontId="4" fillId="0" borderId="0" xfId="0" applyNumberFormat="1" applyFont="1"/>
    <xf numFmtId="0" fontId="4" fillId="6" borderId="0" xfId="0" applyFont="1" applyFill="1" applyAlignment="1">
      <alignment horizontal="left"/>
    </xf>
    <xf numFmtId="0" fontId="4" fillId="0" borderId="1" xfId="0" applyFont="1" applyBorder="1" applyAlignment="1">
      <alignment horizontal="left" indent="6"/>
    </xf>
    <xf numFmtId="0" fontId="3" fillId="2" borderId="4" xfId="0" applyFont="1" applyFill="1" applyBorder="1" applyAlignment="1">
      <alignment horizontal="center" vertical="top"/>
    </xf>
    <xf numFmtId="0" fontId="4" fillId="3" borderId="5" xfId="0" applyFont="1" applyFill="1" applyBorder="1"/>
    <xf numFmtId="0" fontId="4" fillId="3" borderId="6" xfId="0" applyFont="1" applyFill="1" applyBorder="1"/>
    <xf numFmtId="0" fontId="3" fillId="2" borderId="7" xfId="0" applyFont="1" applyFill="1" applyBorder="1" applyAlignment="1">
      <alignment horizontal="center" vertical="top"/>
    </xf>
    <xf numFmtId="0" fontId="4" fillId="0" borderId="8" xfId="0" applyFont="1" applyBorder="1" applyAlignment="1">
      <alignment horizontal="left" indent="2"/>
    </xf>
    <xf numFmtId="0" fontId="4" fillId="0" borderId="9" xfId="0" applyFont="1" applyBorder="1" applyAlignment="1">
      <alignment horizontal="left" indent="2"/>
    </xf>
    <xf numFmtId="0" fontId="3" fillId="3" borderId="4" xfId="0" applyFont="1" applyFill="1" applyBorder="1" applyAlignment="1">
      <alignment horizontal="center" vertical="top"/>
    </xf>
    <xf numFmtId="0" fontId="3" fillId="3" borderId="10" xfId="0" applyFont="1" applyFill="1" applyBorder="1" applyAlignment="1">
      <alignment horizontal="center" vertical="top"/>
    </xf>
    <xf numFmtId="0" fontId="3" fillId="3" borderId="10" xfId="0" applyFont="1" applyFill="1" applyBorder="1"/>
    <xf numFmtId="0" fontId="3" fillId="3" borderId="11" xfId="0" applyFont="1" applyFill="1" applyBorder="1"/>
    <xf numFmtId="0" fontId="3" fillId="4" borderId="12" xfId="0" applyFont="1" applyFill="1" applyBorder="1"/>
    <xf numFmtId="0" fontId="4" fillId="0" borderId="13" xfId="0" applyFont="1" applyBorder="1"/>
    <xf numFmtId="0" fontId="3" fillId="4" borderId="7" xfId="0" applyFont="1" applyFill="1" applyBorder="1"/>
    <xf numFmtId="0" fontId="4" fillId="0" borderId="14" xfId="0" applyFont="1" applyBorder="1"/>
    <xf numFmtId="0" fontId="4" fillId="0" borderId="15" xfId="0" applyFont="1" applyBorder="1"/>
    <xf numFmtId="0" fontId="3" fillId="5" borderId="4" xfId="0" applyFont="1" applyFill="1" applyBorder="1" applyAlignment="1">
      <alignment horizontal="center" vertical="top"/>
    </xf>
    <xf numFmtId="0" fontId="3" fillId="5" borderId="11" xfId="0" applyFont="1" applyFill="1" applyBorder="1"/>
    <xf numFmtId="0" fontId="4" fillId="0" borderId="12" xfId="0" applyFont="1" applyBorder="1"/>
    <xf numFmtId="0" fontId="4" fillId="0" borderId="7" xfId="0" applyFont="1" applyBorder="1"/>
    <xf numFmtId="0" fontId="3" fillId="5" borderId="10" xfId="0" applyFont="1" applyFill="1" applyBorder="1" applyAlignment="1">
      <alignment horizontal="center" vertical="top"/>
    </xf>
    <xf numFmtId="0" fontId="4" fillId="0" borderId="14" xfId="0" applyFont="1" applyBorder="1" applyAlignment="1">
      <alignment horizontal="left" indent="6"/>
    </xf>
    <xf numFmtId="0" fontId="3" fillId="0" borderId="16" xfId="0" applyFont="1" applyBorder="1" applyAlignment="1">
      <alignment horizontal="center" vertical="top"/>
    </xf>
    <xf numFmtId="0" fontId="3" fillId="0" borderId="3" xfId="0" applyFont="1" applyBorder="1" applyAlignment="1">
      <alignment horizontal="center" vertical="top"/>
    </xf>
    <xf numFmtId="0" fontId="4" fillId="0" borderId="0" xfId="0" applyFont="1" applyBorder="1"/>
    <xf numFmtId="14" fontId="4" fillId="0" borderId="0" xfId="0" applyNumberFormat="1" applyFont="1" applyBorder="1"/>
  </cellXfs>
  <cellStyles count="1">
    <cellStyle name="Normal" xfId="0" builtinId="0"/>
  </cellStyles>
  <dxfs count="66">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numFmt numFmtId="19" formatCode="dd/mm/yyyy"/>
    </dxf>
    <dxf>
      <font>
        <b val="0"/>
        <i val="0"/>
        <strike val="0"/>
        <condense val="0"/>
        <extend val="0"/>
        <outline val="0"/>
        <shadow val="0"/>
        <u val="none"/>
        <vertAlign val="baseline"/>
        <sz val="11"/>
        <color theme="1"/>
        <name val="Arial"/>
        <family val="2"/>
        <scheme val="none"/>
      </font>
      <numFmt numFmtId="19" formatCode="dd/mm/yyyy"/>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numFmt numFmtId="0" formatCode="General"/>
    </dxf>
    <dxf>
      <font>
        <b val="0"/>
        <i val="0"/>
        <strike val="0"/>
        <condense val="0"/>
        <extend val="0"/>
        <outline val="0"/>
        <shadow val="0"/>
        <u val="none"/>
        <vertAlign val="baseline"/>
        <sz val="11"/>
        <color theme="1"/>
        <name val="Arial"/>
        <family val="2"/>
        <scheme val="none"/>
      </font>
    </dxf>
    <dxf>
      <border diagonalUp="0" diagonalDown="0">
        <left style="medium">
          <color indexed="64"/>
        </left>
        <right style="medium">
          <color indexed="64"/>
        </right>
        <top style="medium">
          <color indexed="64"/>
        </top>
        <bottom style="medium">
          <color indexed="64"/>
        </bottom>
      </border>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b val="0"/>
        <i val="0"/>
        <strike val="0"/>
        <condense val="0"/>
        <extend val="0"/>
        <outline val="0"/>
        <shadow val="0"/>
        <u val="none"/>
        <vertAlign val="baseline"/>
        <sz val="11"/>
        <color theme="1"/>
        <name val="Arial"/>
        <family val="2"/>
        <scheme val="none"/>
      </font>
    </dxf>
    <dxf>
      <border outline="0">
        <bottom style="thin">
          <color auto="1"/>
        </bottom>
      </border>
    </dxf>
    <dxf>
      <font>
        <b/>
        <i val="0"/>
        <strike val="0"/>
        <condense val="0"/>
        <extend val="0"/>
        <outline val="0"/>
        <shadow val="0"/>
        <u val="none"/>
        <vertAlign val="baseline"/>
        <sz val="11"/>
        <color theme="1"/>
        <name val="Arial"/>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EEBF80"/>
      <color rgb="FF5AC1C6"/>
      <color rgb="FF8EA878"/>
      <color rgb="FFFFCC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Analytics Dashboard using excal.xlsx]pivot table!PivotTable1</c:name>
    <c:fmtId val="1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Arial" panose="020B0604020202020204" pitchFamily="34" charset="0"/>
                <a:ea typeface="+mn-ea"/>
                <a:cs typeface="Arial" panose="020B0604020202020204" pitchFamily="34" charset="0"/>
              </a:defRPr>
            </a:pPr>
            <a:r>
              <a:rPr lang="en-IN" sz="1000"/>
              <a:t>GENDER WISE EMPLOYEE COUNT BY DESIGNATION  IN PERCENTAGE FORMATE</a:t>
            </a:r>
          </a:p>
        </c:rich>
      </c:tx>
      <c:layout>
        <c:manualLayout>
          <c:xMode val="edge"/>
          <c:yMode val="edge"/>
          <c:x val="0.20098970836731475"/>
          <c:y val="0.1087764985133278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Arial" panose="020B0604020202020204" pitchFamily="34" charset="0"/>
              <a:ea typeface="+mn-ea"/>
              <a:cs typeface="Arial" panose="020B0604020202020204" pitchFamily="34"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table'!$B$5:$B$6</c:f>
              <c:strCache>
                <c:ptCount val="1"/>
                <c:pt idx="0">
                  <c:v>Female</c:v>
                </c:pt>
              </c:strCache>
            </c:strRef>
          </c:tx>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invertIfNegative val="0"/>
          <c:cat>
            <c:strRef>
              <c:f>'pivot table'!$A$7:$A$14</c:f>
              <c:strCache>
                <c:ptCount val="7"/>
                <c:pt idx="0">
                  <c:v>Analyst</c:v>
                </c:pt>
                <c:pt idx="1">
                  <c:v>Assistant</c:v>
                </c:pt>
                <c:pt idx="2">
                  <c:v>Consultant</c:v>
                </c:pt>
                <c:pt idx="3">
                  <c:v>Engineer</c:v>
                </c:pt>
                <c:pt idx="4">
                  <c:v>Executive</c:v>
                </c:pt>
                <c:pt idx="5">
                  <c:v>Lead</c:v>
                </c:pt>
                <c:pt idx="6">
                  <c:v>Manager</c:v>
                </c:pt>
              </c:strCache>
            </c:strRef>
          </c:cat>
          <c:val>
            <c:numRef>
              <c:f>'pivot table'!$B$7:$B$14</c:f>
              <c:numCache>
                <c:formatCode>0.00%</c:formatCode>
                <c:ptCount val="7"/>
                <c:pt idx="0">
                  <c:v>6.939090208172706E-2</c:v>
                </c:pt>
                <c:pt idx="1">
                  <c:v>8.7124132613723981E-2</c:v>
                </c:pt>
                <c:pt idx="2">
                  <c:v>6.3993831919814961E-2</c:v>
                </c:pt>
                <c:pt idx="3">
                  <c:v>6.939090208172706E-2</c:v>
                </c:pt>
                <c:pt idx="4">
                  <c:v>6.0138781804163453E-2</c:v>
                </c:pt>
                <c:pt idx="5">
                  <c:v>8.326908249807248E-2</c:v>
                </c:pt>
                <c:pt idx="6">
                  <c:v>6.7848882035466462E-2</c:v>
                </c:pt>
              </c:numCache>
            </c:numRef>
          </c:val>
          <c:extLst>
            <c:ext xmlns:c16="http://schemas.microsoft.com/office/drawing/2014/chart" uri="{C3380CC4-5D6E-409C-BE32-E72D297353CC}">
              <c16:uniqueId val="{00000000-AB80-4864-B69B-C3183A4342CD}"/>
            </c:ext>
          </c:extLst>
        </c:ser>
        <c:ser>
          <c:idx val="1"/>
          <c:order val="1"/>
          <c:tx>
            <c:strRef>
              <c:f>'pivot table'!$C$5:$C$6</c:f>
              <c:strCache>
                <c:ptCount val="1"/>
                <c:pt idx="0">
                  <c:v>Male</c:v>
                </c:pt>
              </c:strCache>
            </c:strRef>
          </c:tx>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invertIfNegative val="0"/>
          <c:cat>
            <c:strRef>
              <c:f>'pivot table'!$A$7:$A$14</c:f>
              <c:strCache>
                <c:ptCount val="7"/>
                <c:pt idx="0">
                  <c:v>Analyst</c:v>
                </c:pt>
                <c:pt idx="1">
                  <c:v>Assistant</c:v>
                </c:pt>
                <c:pt idx="2">
                  <c:v>Consultant</c:v>
                </c:pt>
                <c:pt idx="3">
                  <c:v>Engineer</c:v>
                </c:pt>
                <c:pt idx="4">
                  <c:v>Executive</c:v>
                </c:pt>
                <c:pt idx="5">
                  <c:v>Lead</c:v>
                </c:pt>
                <c:pt idx="6">
                  <c:v>Manager</c:v>
                </c:pt>
              </c:strCache>
            </c:strRef>
          </c:cat>
          <c:val>
            <c:numRef>
              <c:f>'pivot table'!$C$7:$C$14</c:f>
              <c:numCache>
                <c:formatCode>0.00%</c:formatCode>
                <c:ptCount val="7"/>
                <c:pt idx="0">
                  <c:v>7.7101002313030076E-2</c:v>
                </c:pt>
                <c:pt idx="1">
                  <c:v>6.3222821896684656E-2</c:v>
                </c:pt>
                <c:pt idx="2">
                  <c:v>6.7848882035466462E-2</c:v>
                </c:pt>
                <c:pt idx="3">
                  <c:v>7.4016962220508867E-2</c:v>
                </c:pt>
                <c:pt idx="4">
                  <c:v>7.7872012336160368E-2</c:v>
                </c:pt>
                <c:pt idx="5">
                  <c:v>6.7077872012336157E-2</c:v>
                </c:pt>
                <c:pt idx="6">
                  <c:v>7.1703932151117963E-2</c:v>
                </c:pt>
              </c:numCache>
            </c:numRef>
          </c:val>
          <c:extLst>
            <c:ext xmlns:c16="http://schemas.microsoft.com/office/drawing/2014/chart" uri="{C3380CC4-5D6E-409C-BE32-E72D297353CC}">
              <c16:uniqueId val="{00000001-793B-4321-A3D7-D91D625F3407}"/>
            </c:ext>
          </c:extLst>
        </c:ser>
        <c:dLbls>
          <c:showLegendKey val="0"/>
          <c:showVal val="0"/>
          <c:showCatName val="0"/>
          <c:showSerName val="0"/>
          <c:showPercent val="0"/>
          <c:showBubbleSize val="0"/>
        </c:dLbls>
        <c:gapWidth val="65"/>
        <c:shape val="box"/>
        <c:axId val="1392616512"/>
        <c:axId val="1392633312"/>
        <c:axId val="0"/>
      </c:bar3DChart>
      <c:catAx>
        <c:axId val="139261651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Arial" panose="020B0604020202020204" pitchFamily="34" charset="0"/>
                <a:ea typeface="+mn-ea"/>
                <a:cs typeface="Arial" panose="020B0604020202020204" pitchFamily="34" charset="0"/>
              </a:defRPr>
            </a:pPr>
            <a:endParaRPr lang="en-US"/>
          </a:p>
        </c:txPr>
        <c:crossAx val="1392633312"/>
        <c:crosses val="autoZero"/>
        <c:auto val="1"/>
        <c:lblAlgn val="ctr"/>
        <c:lblOffset val="100"/>
        <c:noMultiLvlLbl val="0"/>
      </c:catAx>
      <c:valAx>
        <c:axId val="1392633312"/>
        <c:scaling>
          <c:orientation val="minMax"/>
        </c:scaling>
        <c:delete val="0"/>
        <c:axPos val="l"/>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Arial" panose="020B0604020202020204" pitchFamily="34" charset="0"/>
                <a:ea typeface="+mn-ea"/>
                <a:cs typeface="Arial" panose="020B0604020202020204" pitchFamily="34" charset="0"/>
              </a:defRPr>
            </a:pPr>
            <a:endParaRPr lang="en-US"/>
          </a:p>
        </c:txPr>
        <c:crossAx val="139261651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Analytics Dashboard using excal.xlsx]pivot table!PivotTable2</c:name>
    <c:fmtId val="2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Arial" panose="020B0604020202020204" pitchFamily="34" charset="0"/>
                <a:ea typeface="+mn-ea"/>
                <a:cs typeface="Arial" panose="020B0604020202020204" pitchFamily="34" charset="0"/>
              </a:defRPr>
            </a:pPr>
            <a:r>
              <a:rPr lang="en-IN"/>
              <a:t>EMPLOYEE DISTRIBUTION BY LOCATION</a:t>
            </a:r>
          </a:p>
        </c:rich>
      </c:tx>
      <c:layout>
        <c:manualLayout>
          <c:xMode val="edge"/>
          <c:yMode val="edge"/>
          <c:x val="0.125750359834053"/>
          <c:y val="0.13552560665002258"/>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Arial" panose="020B0604020202020204" pitchFamily="34" charset="0"/>
              <a:ea typeface="+mn-ea"/>
              <a:cs typeface="Arial" panose="020B0604020202020204" pitchFamily="34"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ln w="31750" cap="rnd">
            <a:solidFill>
              <a:schemeClr val="accent6"/>
            </a:solidFill>
            <a:round/>
          </a:ln>
          <a:effectLst/>
        </c:spPr>
        <c:marker>
          <c:symbol val="circle"/>
          <c:size val="17"/>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ln w="31750" cap="rnd">
            <a:solidFill>
              <a:schemeClr val="accent6"/>
            </a:solidFill>
            <a:round/>
          </a:ln>
          <a:effectLst/>
        </c:spPr>
        <c:marker>
          <c:symbol val="circle"/>
          <c:size val="17"/>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ln w="31750" cap="rnd">
            <a:solidFill>
              <a:schemeClr val="accent6"/>
            </a:solidFill>
            <a:round/>
          </a:ln>
          <a:effectLst/>
        </c:spPr>
        <c:marker>
          <c:symbol val="circle"/>
          <c:size val="17"/>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ln w="31750" cap="rnd">
            <a:solidFill>
              <a:schemeClr val="accent6"/>
            </a:solidFill>
            <a:round/>
          </a:ln>
          <a:effectLst/>
        </c:spPr>
        <c:marker>
          <c:symbol val="circle"/>
          <c:size val="17"/>
          <c:spPr>
            <a:solidFill>
              <a:schemeClr val="accent6">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ln w="31750" cap="rnd">
            <a:solidFill>
              <a:schemeClr val="accent6"/>
            </a:solidFill>
            <a:round/>
          </a:ln>
          <a:effectLst/>
        </c:spPr>
        <c:marker>
          <c:symbol val="circle"/>
          <c:size val="17"/>
          <c:spPr>
            <a:solidFill>
              <a:schemeClr val="accent5">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ln w="31750" cap="rnd">
            <a:solidFill>
              <a:schemeClr val="accent6"/>
            </a:solidFill>
            <a:round/>
          </a:ln>
          <a:effectLst/>
        </c:spPr>
        <c:marker>
          <c:symbol val="circle"/>
          <c:size val="17"/>
          <c:spPr>
            <a:solidFill>
              <a:schemeClr val="accent4">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ln w="31750" cap="rnd">
            <a:solidFill>
              <a:schemeClr val="accent6"/>
            </a:solidFill>
            <a:round/>
          </a:ln>
          <a:effectLst/>
        </c:spPr>
        <c:marker>
          <c:symbol val="circle"/>
          <c:size val="17"/>
          <c:spPr>
            <a:solidFill>
              <a:schemeClr val="accent6">
                <a:lumMod val="80000"/>
                <a:lumOff val="2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table'!$B$18:$B$19</c:f>
              <c:strCache>
                <c:ptCount val="1"/>
                <c:pt idx="0">
                  <c:v>Analyst</c:v>
                </c:pt>
              </c:strCache>
            </c:strRef>
          </c:tx>
          <c:spPr>
            <a:ln w="31750" cap="rnd">
              <a:solidFill>
                <a:schemeClr val="accent6"/>
              </a:solidFill>
              <a:round/>
            </a:ln>
            <a:effectLst/>
          </c:spPr>
          <c:marker>
            <c:symbol val="circle"/>
            <c:size val="17"/>
            <c:spPr>
              <a:solidFill>
                <a:schemeClr val="accent6"/>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table'!$A$20:$A$30</c:f>
              <c:strCache>
                <c:ptCount val="10"/>
                <c:pt idx="0">
                  <c:v>Ahmedabad</c:v>
                </c:pt>
                <c:pt idx="1">
                  <c:v>Bangalore</c:v>
                </c:pt>
                <c:pt idx="2">
                  <c:v>Chennai</c:v>
                </c:pt>
                <c:pt idx="3">
                  <c:v>Delhi</c:v>
                </c:pt>
                <c:pt idx="4">
                  <c:v>Hyderabad</c:v>
                </c:pt>
                <c:pt idx="5">
                  <c:v>Jaipur</c:v>
                </c:pt>
                <c:pt idx="6">
                  <c:v>Kolkata</c:v>
                </c:pt>
                <c:pt idx="7">
                  <c:v>Lucknow</c:v>
                </c:pt>
                <c:pt idx="8">
                  <c:v>Mumbai</c:v>
                </c:pt>
                <c:pt idx="9">
                  <c:v>Pune</c:v>
                </c:pt>
              </c:strCache>
            </c:strRef>
          </c:cat>
          <c:val>
            <c:numRef>
              <c:f>'pivot table'!$B$20:$B$30</c:f>
              <c:numCache>
                <c:formatCode>General</c:formatCode>
                <c:ptCount val="10"/>
                <c:pt idx="0">
                  <c:v>25</c:v>
                </c:pt>
                <c:pt idx="1">
                  <c:v>17</c:v>
                </c:pt>
                <c:pt idx="2">
                  <c:v>16</c:v>
                </c:pt>
                <c:pt idx="3">
                  <c:v>15</c:v>
                </c:pt>
                <c:pt idx="4">
                  <c:v>17</c:v>
                </c:pt>
                <c:pt idx="5">
                  <c:v>19</c:v>
                </c:pt>
                <c:pt idx="6">
                  <c:v>28</c:v>
                </c:pt>
                <c:pt idx="7">
                  <c:v>16</c:v>
                </c:pt>
                <c:pt idx="8">
                  <c:v>21</c:v>
                </c:pt>
                <c:pt idx="9">
                  <c:v>16</c:v>
                </c:pt>
              </c:numCache>
            </c:numRef>
          </c:val>
          <c:smooth val="0"/>
          <c:extLst>
            <c:ext xmlns:c16="http://schemas.microsoft.com/office/drawing/2014/chart" uri="{C3380CC4-5D6E-409C-BE32-E72D297353CC}">
              <c16:uniqueId val="{00000008-FC42-4635-B746-79685FE715A4}"/>
            </c:ext>
          </c:extLst>
        </c:ser>
        <c:ser>
          <c:idx val="1"/>
          <c:order val="1"/>
          <c:tx>
            <c:strRef>
              <c:f>'pivot table'!$C$18:$C$19</c:f>
              <c:strCache>
                <c:ptCount val="1"/>
                <c:pt idx="0">
                  <c:v>Assistant</c:v>
                </c:pt>
              </c:strCache>
            </c:strRef>
          </c:tx>
          <c:spPr>
            <a:ln w="31750" cap="rnd">
              <a:solidFill>
                <a:schemeClr val="accent5"/>
              </a:solidFill>
              <a:round/>
            </a:ln>
            <a:effectLst/>
          </c:spPr>
          <c:marker>
            <c:symbol val="circle"/>
            <c:size val="17"/>
            <c:spPr>
              <a:solidFill>
                <a:schemeClr val="accent5"/>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table'!$A$20:$A$30</c:f>
              <c:strCache>
                <c:ptCount val="10"/>
                <c:pt idx="0">
                  <c:v>Ahmedabad</c:v>
                </c:pt>
                <c:pt idx="1">
                  <c:v>Bangalore</c:v>
                </c:pt>
                <c:pt idx="2">
                  <c:v>Chennai</c:v>
                </c:pt>
                <c:pt idx="3">
                  <c:v>Delhi</c:v>
                </c:pt>
                <c:pt idx="4">
                  <c:v>Hyderabad</c:v>
                </c:pt>
                <c:pt idx="5">
                  <c:v>Jaipur</c:v>
                </c:pt>
                <c:pt idx="6">
                  <c:v>Kolkata</c:v>
                </c:pt>
                <c:pt idx="7">
                  <c:v>Lucknow</c:v>
                </c:pt>
                <c:pt idx="8">
                  <c:v>Mumbai</c:v>
                </c:pt>
                <c:pt idx="9">
                  <c:v>Pune</c:v>
                </c:pt>
              </c:strCache>
            </c:strRef>
          </c:cat>
          <c:val>
            <c:numRef>
              <c:f>'pivot table'!$C$20:$C$30</c:f>
              <c:numCache>
                <c:formatCode>General</c:formatCode>
                <c:ptCount val="10"/>
                <c:pt idx="0">
                  <c:v>17</c:v>
                </c:pt>
                <c:pt idx="1">
                  <c:v>13</c:v>
                </c:pt>
                <c:pt idx="2">
                  <c:v>16</c:v>
                </c:pt>
                <c:pt idx="3">
                  <c:v>23</c:v>
                </c:pt>
                <c:pt idx="4">
                  <c:v>18</c:v>
                </c:pt>
                <c:pt idx="5">
                  <c:v>17</c:v>
                </c:pt>
                <c:pt idx="6">
                  <c:v>18</c:v>
                </c:pt>
                <c:pt idx="7">
                  <c:v>22</c:v>
                </c:pt>
                <c:pt idx="8">
                  <c:v>28</c:v>
                </c:pt>
                <c:pt idx="9">
                  <c:v>23</c:v>
                </c:pt>
              </c:numCache>
            </c:numRef>
          </c:val>
          <c:smooth val="0"/>
          <c:extLst>
            <c:ext xmlns:c16="http://schemas.microsoft.com/office/drawing/2014/chart" uri="{C3380CC4-5D6E-409C-BE32-E72D297353CC}">
              <c16:uniqueId val="{0000000A-FC42-4635-B746-79685FE715A4}"/>
            </c:ext>
          </c:extLst>
        </c:ser>
        <c:ser>
          <c:idx val="2"/>
          <c:order val="2"/>
          <c:tx>
            <c:strRef>
              <c:f>'pivot table'!$D$18:$D$19</c:f>
              <c:strCache>
                <c:ptCount val="1"/>
                <c:pt idx="0">
                  <c:v>Consultant</c:v>
                </c:pt>
              </c:strCache>
            </c:strRef>
          </c:tx>
          <c:spPr>
            <a:ln w="31750" cap="rnd">
              <a:solidFill>
                <a:schemeClr val="accent4"/>
              </a:solidFill>
              <a:round/>
            </a:ln>
            <a:effectLst/>
          </c:spPr>
          <c:marker>
            <c:symbol val="circle"/>
            <c:size val="17"/>
            <c:spPr>
              <a:solidFill>
                <a:schemeClr val="accent4"/>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table'!$A$20:$A$30</c:f>
              <c:strCache>
                <c:ptCount val="10"/>
                <c:pt idx="0">
                  <c:v>Ahmedabad</c:v>
                </c:pt>
                <c:pt idx="1">
                  <c:v>Bangalore</c:v>
                </c:pt>
                <c:pt idx="2">
                  <c:v>Chennai</c:v>
                </c:pt>
                <c:pt idx="3">
                  <c:v>Delhi</c:v>
                </c:pt>
                <c:pt idx="4">
                  <c:v>Hyderabad</c:v>
                </c:pt>
                <c:pt idx="5">
                  <c:v>Jaipur</c:v>
                </c:pt>
                <c:pt idx="6">
                  <c:v>Kolkata</c:v>
                </c:pt>
                <c:pt idx="7">
                  <c:v>Lucknow</c:v>
                </c:pt>
                <c:pt idx="8">
                  <c:v>Mumbai</c:v>
                </c:pt>
                <c:pt idx="9">
                  <c:v>Pune</c:v>
                </c:pt>
              </c:strCache>
            </c:strRef>
          </c:cat>
          <c:val>
            <c:numRef>
              <c:f>'pivot table'!$D$20:$D$30</c:f>
              <c:numCache>
                <c:formatCode>General</c:formatCode>
                <c:ptCount val="10"/>
                <c:pt idx="0">
                  <c:v>17</c:v>
                </c:pt>
                <c:pt idx="1">
                  <c:v>25</c:v>
                </c:pt>
                <c:pt idx="2">
                  <c:v>12</c:v>
                </c:pt>
                <c:pt idx="3">
                  <c:v>18</c:v>
                </c:pt>
                <c:pt idx="4">
                  <c:v>21</c:v>
                </c:pt>
                <c:pt idx="5">
                  <c:v>12</c:v>
                </c:pt>
                <c:pt idx="6">
                  <c:v>22</c:v>
                </c:pt>
                <c:pt idx="7">
                  <c:v>17</c:v>
                </c:pt>
                <c:pt idx="8">
                  <c:v>17</c:v>
                </c:pt>
                <c:pt idx="9">
                  <c:v>10</c:v>
                </c:pt>
              </c:numCache>
            </c:numRef>
          </c:val>
          <c:smooth val="0"/>
          <c:extLst>
            <c:ext xmlns:c16="http://schemas.microsoft.com/office/drawing/2014/chart" uri="{C3380CC4-5D6E-409C-BE32-E72D297353CC}">
              <c16:uniqueId val="{0000000C-FC42-4635-B746-79685FE715A4}"/>
            </c:ext>
          </c:extLst>
        </c:ser>
        <c:ser>
          <c:idx val="3"/>
          <c:order val="3"/>
          <c:tx>
            <c:strRef>
              <c:f>'pivot table'!$E$18:$E$19</c:f>
              <c:strCache>
                <c:ptCount val="1"/>
                <c:pt idx="0">
                  <c:v>Engineer</c:v>
                </c:pt>
              </c:strCache>
            </c:strRef>
          </c:tx>
          <c:spPr>
            <a:ln w="31750" cap="rnd">
              <a:solidFill>
                <a:schemeClr val="accent6">
                  <a:lumMod val="60000"/>
                </a:schemeClr>
              </a:solidFill>
              <a:round/>
            </a:ln>
            <a:effectLst/>
          </c:spPr>
          <c:marker>
            <c:symbol val="circle"/>
            <c:size val="17"/>
            <c:spPr>
              <a:solidFill>
                <a:schemeClr val="accent6">
                  <a:lumMod val="60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table'!$A$20:$A$30</c:f>
              <c:strCache>
                <c:ptCount val="10"/>
                <c:pt idx="0">
                  <c:v>Ahmedabad</c:v>
                </c:pt>
                <c:pt idx="1">
                  <c:v>Bangalore</c:v>
                </c:pt>
                <c:pt idx="2">
                  <c:v>Chennai</c:v>
                </c:pt>
                <c:pt idx="3">
                  <c:v>Delhi</c:v>
                </c:pt>
                <c:pt idx="4">
                  <c:v>Hyderabad</c:v>
                </c:pt>
                <c:pt idx="5">
                  <c:v>Jaipur</c:v>
                </c:pt>
                <c:pt idx="6">
                  <c:v>Kolkata</c:v>
                </c:pt>
                <c:pt idx="7">
                  <c:v>Lucknow</c:v>
                </c:pt>
                <c:pt idx="8">
                  <c:v>Mumbai</c:v>
                </c:pt>
                <c:pt idx="9">
                  <c:v>Pune</c:v>
                </c:pt>
              </c:strCache>
            </c:strRef>
          </c:cat>
          <c:val>
            <c:numRef>
              <c:f>'pivot table'!$E$20:$E$30</c:f>
              <c:numCache>
                <c:formatCode>General</c:formatCode>
                <c:ptCount val="10"/>
                <c:pt idx="0">
                  <c:v>21</c:v>
                </c:pt>
                <c:pt idx="1">
                  <c:v>14</c:v>
                </c:pt>
                <c:pt idx="2">
                  <c:v>18</c:v>
                </c:pt>
                <c:pt idx="3">
                  <c:v>20</c:v>
                </c:pt>
                <c:pt idx="4">
                  <c:v>22</c:v>
                </c:pt>
                <c:pt idx="5">
                  <c:v>17</c:v>
                </c:pt>
                <c:pt idx="6">
                  <c:v>14</c:v>
                </c:pt>
                <c:pt idx="7">
                  <c:v>24</c:v>
                </c:pt>
                <c:pt idx="8">
                  <c:v>19</c:v>
                </c:pt>
                <c:pt idx="9">
                  <c:v>17</c:v>
                </c:pt>
              </c:numCache>
            </c:numRef>
          </c:val>
          <c:smooth val="0"/>
          <c:extLst>
            <c:ext xmlns:c16="http://schemas.microsoft.com/office/drawing/2014/chart" uri="{C3380CC4-5D6E-409C-BE32-E72D297353CC}">
              <c16:uniqueId val="{0000000E-FC42-4635-B746-79685FE715A4}"/>
            </c:ext>
          </c:extLst>
        </c:ser>
        <c:ser>
          <c:idx val="4"/>
          <c:order val="4"/>
          <c:tx>
            <c:strRef>
              <c:f>'pivot table'!$F$18:$F$19</c:f>
              <c:strCache>
                <c:ptCount val="1"/>
                <c:pt idx="0">
                  <c:v>Executive</c:v>
                </c:pt>
              </c:strCache>
            </c:strRef>
          </c:tx>
          <c:spPr>
            <a:ln w="31750" cap="rnd">
              <a:solidFill>
                <a:schemeClr val="accent5">
                  <a:lumMod val="60000"/>
                </a:schemeClr>
              </a:solidFill>
              <a:round/>
            </a:ln>
            <a:effectLst/>
          </c:spPr>
          <c:marker>
            <c:symbol val="circle"/>
            <c:size val="17"/>
            <c:spPr>
              <a:solidFill>
                <a:schemeClr val="accent5">
                  <a:lumMod val="60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table'!$A$20:$A$30</c:f>
              <c:strCache>
                <c:ptCount val="10"/>
                <c:pt idx="0">
                  <c:v>Ahmedabad</c:v>
                </c:pt>
                <c:pt idx="1">
                  <c:v>Bangalore</c:v>
                </c:pt>
                <c:pt idx="2">
                  <c:v>Chennai</c:v>
                </c:pt>
                <c:pt idx="3">
                  <c:v>Delhi</c:v>
                </c:pt>
                <c:pt idx="4">
                  <c:v>Hyderabad</c:v>
                </c:pt>
                <c:pt idx="5">
                  <c:v>Jaipur</c:v>
                </c:pt>
                <c:pt idx="6">
                  <c:v>Kolkata</c:v>
                </c:pt>
                <c:pt idx="7">
                  <c:v>Lucknow</c:v>
                </c:pt>
                <c:pt idx="8">
                  <c:v>Mumbai</c:v>
                </c:pt>
                <c:pt idx="9">
                  <c:v>Pune</c:v>
                </c:pt>
              </c:strCache>
            </c:strRef>
          </c:cat>
          <c:val>
            <c:numRef>
              <c:f>'pivot table'!$F$20:$F$30</c:f>
              <c:numCache>
                <c:formatCode>General</c:formatCode>
                <c:ptCount val="10"/>
                <c:pt idx="0">
                  <c:v>17</c:v>
                </c:pt>
                <c:pt idx="1">
                  <c:v>21</c:v>
                </c:pt>
                <c:pt idx="2">
                  <c:v>19</c:v>
                </c:pt>
                <c:pt idx="3">
                  <c:v>25</c:v>
                </c:pt>
                <c:pt idx="4">
                  <c:v>17</c:v>
                </c:pt>
                <c:pt idx="5">
                  <c:v>20</c:v>
                </c:pt>
                <c:pt idx="6">
                  <c:v>16</c:v>
                </c:pt>
                <c:pt idx="7">
                  <c:v>12</c:v>
                </c:pt>
                <c:pt idx="8">
                  <c:v>16</c:v>
                </c:pt>
                <c:pt idx="9">
                  <c:v>16</c:v>
                </c:pt>
              </c:numCache>
            </c:numRef>
          </c:val>
          <c:smooth val="0"/>
          <c:extLst>
            <c:ext xmlns:c16="http://schemas.microsoft.com/office/drawing/2014/chart" uri="{C3380CC4-5D6E-409C-BE32-E72D297353CC}">
              <c16:uniqueId val="{00000010-FC42-4635-B746-79685FE715A4}"/>
            </c:ext>
          </c:extLst>
        </c:ser>
        <c:ser>
          <c:idx val="5"/>
          <c:order val="5"/>
          <c:tx>
            <c:strRef>
              <c:f>'pivot table'!$G$18:$G$19</c:f>
              <c:strCache>
                <c:ptCount val="1"/>
                <c:pt idx="0">
                  <c:v>Lead</c:v>
                </c:pt>
              </c:strCache>
            </c:strRef>
          </c:tx>
          <c:spPr>
            <a:ln w="31750" cap="rnd">
              <a:solidFill>
                <a:schemeClr val="accent4">
                  <a:lumMod val="60000"/>
                </a:schemeClr>
              </a:solidFill>
              <a:round/>
            </a:ln>
            <a:effectLst/>
          </c:spPr>
          <c:marker>
            <c:symbol val="circle"/>
            <c:size val="17"/>
            <c:spPr>
              <a:solidFill>
                <a:schemeClr val="accent4">
                  <a:lumMod val="60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table'!$A$20:$A$30</c:f>
              <c:strCache>
                <c:ptCount val="10"/>
                <c:pt idx="0">
                  <c:v>Ahmedabad</c:v>
                </c:pt>
                <c:pt idx="1">
                  <c:v>Bangalore</c:v>
                </c:pt>
                <c:pt idx="2">
                  <c:v>Chennai</c:v>
                </c:pt>
                <c:pt idx="3">
                  <c:v>Delhi</c:v>
                </c:pt>
                <c:pt idx="4">
                  <c:v>Hyderabad</c:v>
                </c:pt>
                <c:pt idx="5">
                  <c:v>Jaipur</c:v>
                </c:pt>
                <c:pt idx="6">
                  <c:v>Kolkata</c:v>
                </c:pt>
                <c:pt idx="7">
                  <c:v>Lucknow</c:v>
                </c:pt>
                <c:pt idx="8">
                  <c:v>Mumbai</c:v>
                </c:pt>
                <c:pt idx="9">
                  <c:v>Pune</c:v>
                </c:pt>
              </c:strCache>
            </c:strRef>
          </c:cat>
          <c:val>
            <c:numRef>
              <c:f>'pivot table'!$G$20:$G$30</c:f>
              <c:numCache>
                <c:formatCode>General</c:formatCode>
                <c:ptCount val="10"/>
                <c:pt idx="0">
                  <c:v>26</c:v>
                </c:pt>
                <c:pt idx="1">
                  <c:v>17</c:v>
                </c:pt>
                <c:pt idx="2">
                  <c:v>17</c:v>
                </c:pt>
                <c:pt idx="3">
                  <c:v>22</c:v>
                </c:pt>
                <c:pt idx="4">
                  <c:v>24</c:v>
                </c:pt>
                <c:pt idx="5">
                  <c:v>17</c:v>
                </c:pt>
                <c:pt idx="6">
                  <c:v>20</c:v>
                </c:pt>
                <c:pt idx="7">
                  <c:v>12</c:v>
                </c:pt>
                <c:pt idx="8">
                  <c:v>20</c:v>
                </c:pt>
                <c:pt idx="9">
                  <c:v>20</c:v>
                </c:pt>
              </c:numCache>
            </c:numRef>
          </c:val>
          <c:smooth val="0"/>
          <c:extLst>
            <c:ext xmlns:c16="http://schemas.microsoft.com/office/drawing/2014/chart" uri="{C3380CC4-5D6E-409C-BE32-E72D297353CC}">
              <c16:uniqueId val="{00000012-FC42-4635-B746-79685FE715A4}"/>
            </c:ext>
          </c:extLst>
        </c:ser>
        <c:ser>
          <c:idx val="6"/>
          <c:order val="6"/>
          <c:tx>
            <c:strRef>
              <c:f>'pivot table'!$H$18:$H$19</c:f>
              <c:strCache>
                <c:ptCount val="1"/>
                <c:pt idx="0">
                  <c:v>Manager</c:v>
                </c:pt>
              </c:strCache>
            </c:strRef>
          </c:tx>
          <c:spPr>
            <a:ln w="31750" cap="rnd">
              <a:solidFill>
                <a:schemeClr val="accent6">
                  <a:lumMod val="80000"/>
                  <a:lumOff val="20000"/>
                </a:schemeClr>
              </a:solidFill>
              <a:round/>
            </a:ln>
            <a:effectLst/>
          </c:spPr>
          <c:marker>
            <c:symbol val="circle"/>
            <c:size val="17"/>
            <c:spPr>
              <a:solidFill>
                <a:schemeClr val="accent6">
                  <a:lumMod val="80000"/>
                  <a:lumOff val="20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table'!$A$20:$A$30</c:f>
              <c:strCache>
                <c:ptCount val="10"/>
                <c:pt idx="0">
                  <c:v>Ahmedabad</c:v>
                </c:pt>
                <c:pt idx="1">
                  <c:v>Bangalore</c:v>
                </c:pt>
                <c:pt idx="2">
                  <c:v>Chennai</c:v>
                </c:pt>
                <c:pt idx="3">
                  <c:v>Delhi</c:v>
                </c:pt>
                <c:pt idx="4">
                  <c:v>Hyderabad</c:v>
                </c:pt>
                <c:pt idx="5">
                  <c:v>Jaipur</c:v>
                </c:pt>
                <c:pt idx="6">
                  <c:v>Kolkata</c:v>
                </c:pt>
                <c:pt idx="7">
                  <c:v>Lucknow</c:v>
                </c:pt>
                <c:pt idx="8">
                  <c:v>Mumbai</c:v>
                </c:pt>
                <c:pt idx="9">
                  <c:v>Pune</c:v>
                </c:pt>
              </c:strCache>
            </c:strRef>
          </c:cat>
          <c:val>
            <c:numRef>
              <c:f>'pivot table'!$H$20:$H$30</c:f>
              <c:numCache>
                <c:formatCode>General</c:formatCode>
                <c:ptCount val="10"/>
                <c:pt idx="0">
                  <c:v>17</c:v>
                </c:pt>
                <c:pt idx="1">
                  <c:v>24</c:v>
                </c:pt>
                <c:pt idx="2">
                  <c:v>24</c:v>
                </c:pt>
                <c:pt idx="3">
                  <c:v>17</c:v>
                </c:pt>
                <c:pt idx="4">
                  <c:v>10</c:v>
                </c:pt>
                <c:pt idx="5">
                  <c:v>22</c:v>
                </c:pt>
                <c:pt idx="6">
                  <c:v>15</c:v>
                </c:pt>
                <c:pt idx="7">
                  <c:v>12</c:v>
                </c:pt>
                <c:pt idx="8">
                  <c:v>18</c:v>
                </c:pt>
                <c:pt idx="9">
                  <c:v>22</c:v>
                </c:pt>
              </c:numCache>
            </c:numRef>
          </c:val>
          <c:smooth val="0"/>
          <c:extLst>
            <c:ext xmlns:c16="http://schemas.microsoft.com/office/drawing/2014/chart" uri="{C3380CC4-5D6E-409C-BE32-E72D297353CC}">
              <c16:uniqueId val="{00000014-FC42-4635-B746-79685FE715A4}"/>
            </c:ext>
          </c:extLst>
        </c:ser>
        <c:dLbls>
          <c:dLblPos val="ctr"/>
          <c:showLegendKey val="0"/>
          <c:showVal val="1"/>
          <c:showCatName val="0"/>
          <c:showSerName val="0"/>
          <c:showPercent val="0"/>
          <c:showBubbleSize val="0"/>
        </c:dLbls>
        <c:marker val="1"/>
        <c:smooth val="0"/>
        <c:axId val="1392660672"/>
        <c:axId val="1392656352"/>
      </c:lineChart>
      <c:catAx>
        <c:axId val="13926606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Arial" panose="020B0604020202020204" pitchFamily="34" charset="0"/>
                <a:ea typeface="+mn-ea"/>
                <a:cs typeface="Arial" panose="020B0604020202020204" pitchFamily="34" charset="0"/>
              </a:defRPr>
            </a:pPr>
            <a:endParaRPr lang="en-US"/>
          </a:p>
        </c:txPr>
        <c:crossAx val="1392656352"/>
        <c:crosses val="autoZero"/>
        <c:auto val="1"/>
        <c:lblAlgn val="ctr"/>
        <c:lblOffset val="100"/>
        <c:noMultiLvlLbl val="0"/>
      </c:catAx>
      <c:valAx>
        <c:axId val="139265635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39266067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Arial" panose="020B0604020202020204" pitchFamily="34" charset="0"/>
              <a:ea typeface="+mn-ea"/>
              <a:cs typeface="Arial" panose="020B0604020202020204" pitchFamily="34" charset="0"/>
            </a:defRPr>
          </a:pPr>
          <a:endParaRPr lang="en-US"/>
        </a:p>
      </c:txPr>
    </c:legend>
    <c:plotVisOnly val="1"/>
    <c:dispBlanksAs val="zero"/>
    <c:showDLblsOverMax val="0"/>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Analytics Dashboard using excal.xlsx]pivot table!PivotTable3</c:name>
    <c:fmtId val="1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Arial" panose="020B0604020202020204" pitchFamily="34" charset="0"/>
                <a:ea typeface="+mn-ea"/>
                <a:cs typeface="Arial" panose="020B0604020202020204" pitchFamily="34" charset="0"/>
              </a:defRPr>
            </a:pPr>
            <a:r>
              <a:rPr lang="en-IN"/>
              <a:t>TOTAL WORKING  EXPERIENCE BY DEPARTMENT AND GENDER</a:t>
            </a:r>
          </a:p>
        </c:rich>
      </c:tx>
      <c:layout>
        <c:manualLayout>
          <c:xMode val="edge"/>
          <c:yMode val="edge"/>
          <c:x val="0.13143217449891367"/>
          <c:y val="0.11946103566198603"/>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Arial" panose="020B0604020202020204" pitchFamily="34" charset="0"/>
              <a:ea typeface="+mn-ea"/>
              <a:cs typeface="Arial" panose="020B0604020202020204" pitchFamily="34"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749590721547279E-2"/>
          <c:y val="0.34857124706565662"/>
          <c:w val="0.82567483192323987"/>
          <c:h val="0.51320666247186664"/>
        </c:manualLayout>
      </c:layout>
      <c:barChart>
        <c:barDir val="col"/>
        <c:grouping val="clustered"/>
        <c:varyColors val="0"/>
        <c:ser>
          <c:idx val="0"/>
          <c:order val="0"/>
          <c:tx>
            <c:strRef>
              <c:f>'pivot table'!$B$34:$B$35</c:f>
              <c:strCache>
                <c:ptCount val="1"/>
                <c:pt idx="0">
                  <c:v>Finance</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table'!$A$36:$A$38</c:f>
              <c:strCache>
                <c:ptCount val="2"/>
                <c:pt idx="0">
                  <c:v>Female</c:v>
                </c:pt>
                <c:pt idx="1">
                  <c:v>Male</c:v>
                </c:pt>
              </c:strCache>
            </c:strRef>
          </c:cat>
          <c:val>
            <c:numRef>
              <c:f>'pivot table'!$B$36:$B$38</c:f>
              <c:numCache>
                <c:formatCode>General</c:formatCode>
                <c:ptCount val="2"/>
                <c:pt idx="0">
                  <c:v>2963</c:v>
                </c:pt>
                <c:pt idx="1">
                  <c:v>3252</c:v>
                </c:pt>
              </c:numCache>
            </c:numRef>
          </c:val>
          <c:extLst>
            <c:ext xmlns:c16="http://schemas.microsoft.com/office/drawing/2014/chart" uri="{C3380CC4-5D6E-409C-BE32-E72D297353CC}">
              <c16:uniqueId val="{00000000-0720-471B-9BA9-44028197E4B3}"/>
            </c:ext>
          </c:extLst>
        </c:ser>
        <c:ser>
          <c:idx val="1"/>
          <c:order val="1"/>
          <c:tx>
            <c:strRef>
              <c:f>'pivot table'!$C$34:$C$35</c:f>
              <c:strCache>
                <c:ptCount val="1"/>
                <c:pt idx="0">
                  <c:v>HR</c:v>
                </c:pt>
              </c:strCache>
            </c:strRef>
          </c:tx>
          <c:spPr>
            <a:solidFill>
              <a:schemeClr val="accent5">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table'!$A$36:$A$38</c:f>
              <c:strCache>
                <c:ptCount val="2"/>
                <c:pt idx="0">
                  <c:v>Female</c:v>
                </c:pt>
                <c:pt idx="1">
                  <c:v>Male</c:v>
                </c:pt>
              </c:strCache>
            </c:strRef>
          </c:cat>
          <c:val>
            <c:numRef>
              <c:f>'pivot table'!$C$36:$C$38</c:f>
              <c:numCache>
                <c:formatCode>General</c:formatCode>
                <c:ptCount val="2"/>
                <c:pt idx="0">
                  <c:v>3062</c:v>
                </c:pt>
                <c:pt idx="1">
                  <c:v>2310</c:v>
                </c:pt>
              </c:numCache>
            </c:numRef>
          </c:val>
          <c:extLst>
            <c:ext xmlns:c16="http://schemas.microsoft.com/office/drawing/2014/chart" uri="{C3380CC4-5D6E-409C-BE32-E72D297353CC}">
              <c16:uniqueId val="{0000000D-FF89-4798-B054-01A18CB1C666}"/>
            </c:ext>
          </c:extLst>
        </c:ser>
        <c:ser>
          <c:idx val="2"/>
          <c:order val="2"/>
          <c:tx>
            <c:strRef>
              <c:f>'pivot table'!$D$34:$D$35</c:f>
              <c:strCache>
                <c:ptCount val="1"/>
                <c:pt idx="0">
                  <c:v>IT</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table'!$A$36:$A$38</c:f>
              <c:strCache>
                <c:ptCount val="2"/>
                <c:pt idx="0">
                  <c:v>Female</c:v>
                </c:pt>
                <c:pt idx="1">
                  <c:v>Male</c:v>
                </c:pt>
              </c:strCache>
            </c:strRef>
          </c:cat>
          <c:val>
            <c:numRef>
              <c:f>'pivot table'!$D$36:$D$38</c:f>
              <c:numCache>
                <c:formatCode>General</c:formatCode>
                <c:ptCount val="2"/>
                <c:pt idx="0">
                  <c:v>2490</c:v>
                </c:pt>
                <c:pt idx="1">
                  <c:v>2330</c:v>
                </c:pt>
              </c:numCache>
            </c:numRef>
          </c:val>
          <c:extLst>
            <c:ext xmlns:c16="http://schemas.microsoft.com/office/drawing/2014/chart" uri="{C3380CC4-5D6E-409C-BE32-E72D297353CC}">
              <c16:uniqueId val="{0000000E-FF89-4798-B054-01A18CB1C666}"/>
            </c:ext>
          </c:extLst>
        </c:ser>
        <c:ser>
          <c:idx val="3"/>
          <c:order val="3"/>
          <c:tx>
            <c:strRef>
              <c:f>'pivot table'!$E$34:$E$35</c:f>
              <c:strCache>
                <c:ptCount val="1"/>
                <c:pt idx="0">
                  <c:v>Marketing</c:v>
                </c:pt>
              </c:strCache>
            </c:strRef>
          </c:tx>
          <c:spPr>
            <a:solidFill>
              <a:schemeClr val="accent6">
                <a:lumMod val="6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table'!$A$36:$A$38</c:f>
              <c:strCache>
                <c:ptCount val="2"/>
                <c:pt idx="0">
                  <c:v>Female</c:v>
                </c:pt>
                <c:pt idx="1">
                  <c:v>Male</c:v>
                </c:pt>
              </c:strCache>
            </c:strRef>
          </c:cat>
          <c:val>
            <c:numRef>
              <c:f>'pivot table'!$E$36:$E$38</c:f>
              <c:numCache>
                <c:formatCode>General</c:formatCode>
                <c:ptCount val="2"/>
                <c:pt idx="0">
                  <c:v>2805</c:v>
                </c:pt>
                <c:pt idx="1">
                  <c:v>2624</c:v>
                </c:pt>
              </c:numCache>
            </c:numRef>
          </c:val>
          <c:extLst>
            <c:ext xmlns:c16="http://schemas.microsoft.com/office/drawing/2014/chart" uri="{C3380CC4-5D6E-409C-BE32-E72D297353CC}">
              <c16:uniqueId val="{0000000F-FF89-4798-B054-01A18CB1C666}"/>
            </c:ext>
          </c:extLst>
        </c:ser>
        <c:ser>
          <c:idx val="4"/>
          <c:order val="4"/>
          <c:tx>
            <c:strRef>
              <c:f>'pivot table'!$F$34:$F$35</c:f>
              <c:strCache>
                <c:ptCount val="1"/>
                <c:pt idx="0">
                  <c:v>Operations</c:v>
                </c:pt>
              </c:strCache>
            </c:strRef>
          </c:tx>
          <c:spPr>
            <a:solidFill>
              <a:schemeClr val="accent5">
                <a:lumMod val="6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table'!$A$36:$A$38</c:f>
              <c:strCache>
                <c:ptCount val="2"/>
                <c:pt idx="0">
                  <c:v>Female</c:v>
                </c:pt>
                <c:pt idx="1">
                  <c:v>Male</c:v>
                </c:pt>
              </c:strCache>
            </c:strRef>
          </c:cat>
          <c:val>
            <c:numRef>
              <c:f>'pivot table'!$F$36:$F$38</c:f>
              <c:numCache>
                <c:formatCode>General</c:formatCode>
                <c:ptCount val="2"/>
                <c:pt idx="0">
                  <c:v>3025</c:v>
                </c:pt>
                <c:pt idx="1">
                  <c:v>2668</c:v>
                </c:pt>
              </c:numCache>
            </c:numRef>
          </c:val>
          <c:extLst>
            <c:ext xmlns:c16="http://schemas.microsoft.com/office/drawing/2014/chart" uri="{C3380CC4-5D6E-409C-BE32-E72D297353CC}">
              <c16:uniqueId val="{00000010-FF89-4798-B054-01A18CB1C666}"/>
            </c:ext>
          </c:extLst>
        </c:ser>
        <c:ser>
          <c:idx val="5"/>
          <c:order val="5"/>
          <c:tx>
            <c:strRef>
              <c:f>'pivot table'!$G$34:$G$35</c:f>
              <c:strCache>
                <c:ptCount val="1"/>
                <c:pt idx="0">
                  <c:v>Sales</c:v>
                </c:pt>
              </c:strCache>
            </c:strRef>
          </c:tx>
          <c:spPr>
            <a:solidFill>
              <a:schemeClr val="accent4">
                <a:lumMod val="6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table'!$A$36:$A$38</c:f>
              <c:strCache>
                <c:ptCount val="2"/>
                <c:pt idx="0">
                  <c:v>Female</c:v>
                </c:pt>
                <c:pt idx="1">
                  <c:v>Male</c:v>
                </c:pt>
              </c:strCache>
            </c:strRef>
          </c:cat>
          <c:val>
            <c:numRef>
              <c:f>'pivot table'!$G$36:$G$38</c:f>
              <c:numCache>
                <c:formatCode>General</c:formatCode>
                <c:ptCount val="2"/>
                <c:pt idx="0">
                  <c:v>2286</c:v>
                </c:pt>
                <c:pt idx="1">
                  <c:v>2876</c:v>
                </c:pt>
              </c:numCache>
            </c:numRef>
          </c:val>
          <c:extLst>
            <c:ext xmlns:c16="http://schemas.microsoft.com/office/drawing/2014/chart" uri="{C3380CC4-5D6E-409C-BE32-E72D297353CC}">
              <c16:uniqueId val="{00000011-FF89-4798-B054-01A18CB1C666}"/>
            </c:ext>
          </c:extLst>
        </c:ser>
        <c:ser>
          <c:idx val="6"/>
          <c:order val="6"/>
          <c:tx>
            <c:strRef>
              <c:f>'pivot table'!$H$34:$H$35</c:f>
              <c:strCache>
                <c:ptCount val="1"/>
                <c:pt idx="0">
                  <c:v>Support</c:v>
                </c:pt>
              </c:strCache>
            </c:strRef>
          </c:tx>
          <c:spPr>
            <a:solidFill>
              <a:schemeClr val="accent6">
                <a:lumMod val="80000"/>
                <a:lumOff val="2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table'!$A$36:$A$38</c:f>
              <c:strCache>
                <c:ptCount val="2"/>
                <c:pt idx="0">
                  <c:v>Female</c:v>
                </c:pt>
                <c:pt idx="1">
                  <c:v>Male</c:v>
                </c:pt>
              </c:strCache>
            </c:strRef>
          </c:cat>
          <c:val>
            <c:numRef>
              <c:f>'pivot table'!$H$36:$H$38</c:f>
              <c:numCache>
                <c:formatCode>General</c:formatCode>
                <c:ptCount val="2"/>
                <c:pt idx="0">
                  <c:v>2606</c:v>
                </c:pt>
                <c:pt idx="1">
                  <c:v>2516</c:v>
                </c:pt>
              </c:numCache>
            </c:numRef>
          </c:val>
          <c:extLst>
            <c:ext xmlns:c16="http://schemas.microsoft.com/office/drawing/2014/chart" uri="{C3380CC4-5D6E-409C-BE32-E72D297353CC}">
              <c16:uniqueId val="{00000001-1880-4A12-8B63-93E9A4880465}"/>
            </c:ext>
          </c:extLst>
        </c:ser>
        <c:dLbls>
          <c:dLblPos val="inEnd"/>
          <c:showLegendKey val="0"/>
          <c:showVal val="1"/>
          <c:showCatName val="0"/>
          <c:showSerName val="0"/>
          <c:showPercent val="0"/>
          <c:showBubbleSize val="0"/>
        </c:dLbls>
        <c:gapWidth val="65"/>
        <c:axId val="1497512288"/>
        <c:axId val="1497514688"/>
      </c:barChart>
      <c:catAx>
        <c:axId val="149751228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Arial" panose="020B0604020202020204" pitchFamily="34" charset="0"/>
                <a:ea typeface="+mn-ea"/>
                <a:cs typeface="Arial" panose="020B0604020202020204" pitchFamily="34" charset="0"/>
              </a:defRPr>
            </a:pPr>
            <a:endParaRPr lang="en-US"/>
          </a:p>
        </c:txPr>
        <c:crossAx val="1497514688"/>
        <c:crosses val="autoZero"/>
        <c:auto val="1"/>
        <c:lblAlgn val="ctr"/>
        <c:lblOffset val="100"/>
        <c:noMultiLvlLbl val="0"/>
      </c:catAx>
      <c:valAx>
        <c:axId val="149751468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49751228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Analytics Dashboard using excal.xlsx]pivot table!PivotTable7</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Arial" panose="020B0604020202020204" pitchFamily="34" charset="0"/>
                <a:ea typeface="+mn-ea"/>
                <a:cs typeface="Arial" panose="020B0604020202020204" pitchFamily="34" charset="0"/>
              </a:defRPr>
            </a:pPr>
            <a:r>
              <a:rPr lang="en-IN" sz="1200">
                <a:latin typeface="Arial" panose="020B0604020202020204" pitchFamily="34" charset="0"/>
                <a:cs typeface="Arial" panose="020B0604020202020204" pitchFamily="34" charset="0"/>
              </a:rPr>
              <a:t>GENDER -WISE EMPLOYEE COUNT BY LOCATION</a:t>
            </a:r>
          </a:p>
        </c:rich>
      </c:tx>
      <c:layout>
        <c:manualLayout>
          <c:xMode val="edge"/>
          <c:yMode val="edge"/>
          <c:x val="0.10527915618241557"/>
          <c:y val="0.1213189414578088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Arial" panose="020B0604020202020204" pitchFamily="34" charset="0"/>
              <a:ea typeface="+mn-ea"/>
              <a:cs typeface="Arial" panose="020B0604020202020204" pitchFamily="34" charset="0"/>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spPr>
          <a:solidFill>
            <a:schemeClr val="accent6"/>
          </a:solidFill>
          <a:ln>
            <a:noFill/>
          </a:ln>
          <a:effectLst>
            <a:outerShdw blurRad="254000" sx="102000" sy="102000" algn="ctr" rotWithShape="0">
              <a:prstClr val="black">
                <a:alpha val="20000"/>
              </a:prstClr>
            </a:outerShdw>
          </a:effectLst>
          <a:sp3d/>
        </c:spPr>
        <c:marker>
          <c:symbol val="none"/>
        </c:marker>
        <c:dLbl>
          <c:idx val="0"/>
          <c:spPr>
            <a:pattFill prst="pct75">
              <a:fgClr>
                <a:srgbClr val="2C2C2C">
                  <a:lumMod val="75000"/>
                  <a:lumOff val="25000"/>
                </a:srgbClr>
              </a:fgClr>
              <a:bgClr>
                <a:srgbClr val="2C2C2C">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6"/>
          </a:solidFill>
          <a:ln>
            <a:noFill/>
          </a:ln>
          <a:effectLst>
            <a:outerShdw blurRad="254000" sx="102000" sy="102000" algn="ctr" rotWithShape="0">
              <a:prstClr val="black">
                <a:alpha val="20000"/>
              </a:prstClr>
            </a:outerShdw>
          </a:effectLst>
          <a:sp3d/>
        </c:spPr>
      </c:pivotFmt>
      <c:pivotFmt>
        <c:idx val="26"/>
        <c:spPr>
          <a:solidFill>
            <a:schemeClr val="accent6"/>
          </a:solidFill>
          <a:ln>
            <a:noFill/>
          </a:ln>
          <a:effectLst>
            <a:outerShdw blurRad="254000" sx="102000" sy="102000" algn="ctr" rotWithShape="0">
              <a:prstClr val="black">
                <a:alpha val="20000"/>
              </a:prstClr>
            </a:outerShdw>
          </a:effectLst>
          <a:sp3d/>
        </c:spPr>
      </c:pivotFmt>
      <c:pivotFmt>
        <c:idx val="27"/>
        <c:spPr>
          <a:solidFill>
            <a:schemeClr val="accent6"/>
          </a:solidFill>
          <a:ln>
            <a:noFill/>
          </a:ln>
          <a:effectLst>
            <a:outerShdw blurRad="254000" sx="102000" sy="102000" algn="ctr" rotWithShape="0">
              <a:prstClr val="black">
                <a:alpha val="20000"/>
              </a:prstClr>
            </a:outerShdw>
          </a:effectLst>
          <a:sp3d/>
        </c:spPr>
      </c:pivotFmt>
      <c:pivotFmt>
        <c:idx val="28"/>
        <c:spPr>
          <a:solidFill>
            <a:schemeClr val="accent6"/>
          </a:solidFill>
          <a:ln>
            <a:noFill/>
          </a:ln>
          <a:effectLst>
            <a:outerShdw blurRad="254000" sx="102000" sy="102000" algn="ctr" rotWithShape="0">
              <a:prstClr val="black">
                <a:alpha val="20000"/>
              </a:prstClr>
            </a:outerShdw>
          </a:effectLst>
          <a:sp3d/>
        </c:spPr>
      </c:pivotFmt>
      <c:pivotFmt>
        <c:idx val="29"/>
        <c:spPr>
          <a:solidFill>
            <a:schemeClr val="accent6"/>
          </a:solidFill>
          <a:ln>
            <a:noFill/>
          </a:ln>
          <a:effectLst>
            <a:outerShdw blurRad="254000" sx="102000" sy="102000" algn="ctr" rotWithShape="0">
              <a:prstClr val="black">
                <a:alpha val="20000"/>
              </a:prstClr>
            </a:outerShdw>
          </a:effectLst>
          <a:sp3d/>
        </c:spPr>
      </c:pivotFmt>
      <c:pivotFmt>
        <c:idx val="30"/>
        <c:spPr>
          <a:solidFill>
            <a:schemeClr val="accent6"/>
          </a:solidFill>
          <a:ln>
            <a:noFill/>
          </a:ln>
          <a:effectLst>
            <a:outerShdw blurRad="254000" sx="102000" sy="102000" algn="ctr" rotWithShape="0">
              <a:prstClr val="black">
                <a:alpha val="20000"/>
              </a:prstClr>
            </a:outerShdw>
          </a:effectLst>
          <a:sp3d/>
        </c:spPr>
      </c:pivotFmt>
      <c:pivotFmt>
        <c:idx val="31"/>
        <c:spPr>
          <a:solidFill>
            <a:schemeClr val="accent6"/>
          </a:solidFill>
          <a:ln>
            <a:noFill/>
          </a:ln>
          <a:effectLst>
            <a:outerShdw blurRad="254000" sx="102000" sy="102000" algn="ctr" rotWithShape="0">
              <a:prstClr val="black">
                <a:alpha val="20000"/>
              </a:prstClr>
            </a:outerShdw>
          </a:effectLst>
          <a:sp3d/>
        </c:spPr>
      </c:pivotFmt>
      <c:pivotFmt>
        <c:idx val="32"/>
        <c:spPr>
          <a:solidFill>
            <a:schemeClr val="accent6"/>
          </a:solidFill>
          <a:ln>
            <a:noFill/>
          </a:ln>
          <a:effectLst>
            <a:outerShdw blurRad="254000" sx="102000" sy="102000" algn="ctr" rotWithShape="0">
              <a:prstClr val="black">
                <a:alpha val="20000"/>
              </a:prstClr>
            </a:outerShdw>
          </a:effectLst>
          <a:sp3d/>
        </c:spPr>
      </c:pivotFmt>
      <c:pivotFmt>
        <c:idx val="33"/>
        <c:spPr>
          <a:solidFill>
            <a:schemeClr val="accent6"/>
          </a:solidFill>
          <a:ln>
            <a:noFill/>
          </a:ln>
          <a:effectLst>
            <a:outerShdw blurRad="254000" sx="102000" sy="102000" algn="ctr" rotWithShape="0">
              <a:prstClr val="black">
                <a:alpha val="20000"/>
              </a:prstClr>
            </a:outerShdw>
          </a:effectLst>
          <a:sp3d/>
        </c:spPr>
      </c:pivotFmt>
      <c:pivotFmt>
        <c:idx val="34"/>
        <c:spPr>
          <a:solidFill>
            <a:schemeClr val="accent6"/>
          </a:solidFill>
          <a:ln>
            <a:noFill/>
          </a:ln>
          <a:effectLst>
            <a:outerShdw blurRad="254000" sx="102000" sy="102000" algn="ctr" rotWithShape="0">
              <a:prstClr val="black">
                <a:alpha val="20000"/>
              </a:prstClr>
            </a:outerShdw>
          </a:effectLst>
          <a:sp3d/>
        </c:spPr>
      </c:pivotFmt>
      <c:pivotFmt>
        <c:idx val="35"/>
        <c:spPr>
          <a:solidFill>
            <a:schemeClr val="accent6"/>
          </a:solidFill>
          <a:ln>
            <a:noFill/>
          </a:ln>
          <a:effectLst>
            <a:outerShdw blurRad="254000" sx="102000" sy="102000" algn="ctr" rotWithShape="0">
              <a:prstClr val="black">
                <a:alpha val="20000"/>
              </a:prstClr>
            </a:outerShdw>
          </a:effectLst>
          <a:sp3d/>
        </c:spPr>
        <c:marker>
          <c:symbol val="none"/>
        </c:marker>
        <c:dLbl>
          <c:idx val="0"/>
          <c:spPr>
            <a:pattFill prst="pct75">
              <a:fgClr>
                <a:srgbClr val="2C2C2C">
                  <a:lumMod val="75000"/>
                  <a:lumOff val="25000"/>
                </a:srgbClr>
              </a:fgClr>
              <a:bgClr>
                <a:srgbClr val="2C2C2C">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6"/>
          </a:solidFill>
          <a:ln>
            <a:noFill/>
          </a:ln>
          <a:effectLst>
            <a:outerShdw blurRad="254000" sx="102000" sy="102000" algn="ctr" rotWithShape="0">
              <a:prstClr val="black">
                <a:alpha val="20000"/>
              </a:prstClr>
            </a:outerShdw>
          </a:effectLst>
          <a:sp3d/>
        </c:spPr>
      </c:pivotFmt>
      <c:pivotFmt>
        <c:idx val="37"/>
        <c:spPr>
          <a:solidFill>
            <a:schemeClr val="accent6"/>
          </a:solidFill>
          <a:ln>
            <a:noFill/>
          </a:ln>
          <a:effectLst>
            <a:outerShdw blurRad="254000" sx="102000" sy="102000" algn="ctr" rotWithShape="0">
              <a:prstClr val="black">
                <a:alpha val="20000"/>
              </a:prstClr>
            </a:outerShdw>
          </a:effectLst>
          <a:sp3d/>
        </c:spPr>
      </c:pivotFmt>
      <c:pivotFmt>
        <c:idx val="38"/>
        <c:spPr>
          <a:solidFill>
            <a:schemeClr val="accent6"/>
          </a:solidFill>
          <a:ln>
            <a:noFill/>
          </a:ln>
          <a:effectLst>
            <a:outerShdw blurRad="254000" sx="102000" sy="102000" algn="ctr" rotWithShape="0">
              <a:prstClr val="black">
                <a:alpha val="20000"/>
              </a:prstClr>
            </a:outerShdw>
          </a:effectLst>
          <a:sp3d/>
        </c:spPr>
      </c:pivotFmt>
      <c:pivotFmt>
        <c:idx val="39"/>
        <c:spPr>
          <a:solidFill>
            <a:schemeClr val="accent6"/>
          </a:solidFill>
          <a:ln>
            <a:noFill/>
          </a:ln>
          <a:effectLst>
            <a:outerShdw blurRad="254000" sx="102000" sy="102000" algn="ctr" rotWithShape="0">
              <a:prstClr val="black">
                <a:alpha val="20000"/>
              </a:prstClr>
            </a:outerShdw>
          </a:effectLst>
          <a:sp3d/>
        </c:spPr>
      </c:pivotFmt>
      <c:pivotFmt>
        <c:idx val="40"/>
        <c:spPr>
          <a:solidFill>
            <a:schemeClr val="accent6"/>
          </a:solidFill>
          <a:ln>
            <a:noFill/>
          </a:ln>
          <a:effectLst>
            <a:outerShdw blurRad="254000" sx="102000" sy="102000" algn="ctr" rotWithShape="0">
              <a:prstClr val="black">
                <a:alpha val="20000"/>
              </a:prstClr>
            </a:outerShdw>
          </a:effectLst>
          <a:sp3d/>
        </c:spPr>
      </c:pivotFmt>
      <c:pivotFmt>
        <c:idx val="41"/>
        <c:spPr>
          <a:solidFill>
            <a:schemeClr val="accent6"/>
          </a:solidFill>
          <a:ln>
            <a:noFill/>
          </a:ln>
          <a:effectLst>
            <a:outerShdw blurRad="254000" sx="102000" sy="102000" algn="ctr" rotWithShape="0">
              <a:prstClr val="black">
                <a:alpha val="20000"/>
              </a:prstClr>
            </a:outerShdw>
          </a:effectLst>
          <a:sp3d/>
        </c:spPr>
      </c:pivotFmt>
      <c:pivotFmt>
        <c:idx val="42"/>
        <c:spPr>
          <a:solidFill>
            <a:schemeClr val="accent6"/>
          </a:solidFill>
          <a:ln>
            <a:noFill/>
          </a:ln>
          <a:effectLst>
            <a:outerShdw blurRad="254000" sx="102000" sy="102000" algn="ctr" rotWithShape="0">
              <a:prstClr val="black">
                <a:alpha val="20000"/>
              </a:prstClr>
            </a:outerShdw>
          </a:effectLst>
          <a:sp3d/>
        </c:spPr>
      </c:pivotFmt>
      <c:pivotFmt>
        <c:idx val="43"/>
        <c:spPr>
          <a:solidFill>
            <a:schemeClr val="accent6"/>
          </a:solidFill>
          <a:ln>
            <a:noFill/>
          </a:ln>
          <a:effectLst>
            <a:outerShdw blurRad="254000" sx="102000" sy="102000" algn="ctr" rotWithShape="0">
              <a:prstClr val="black">
                <a:alpha val="20000"/>
              </a:prstClr>
            </a:outerShdw>
          </a:effectLst>
          <a:sp3d/>
        </c:spPr>
      </c:pivotFmt>
      <c:pivotFmt>
        <c:idx val="44"/>
        <c:spPr>
          <a:solidFill>
            <a:schemeClr val="accent6"/>
          </a:solidFill>
          <a:ln>
            <a:noFill/>
          </a:ln>
          <a:effectLst>
            <a:outerShdw blurRad="254000" sx="102000" sy="102000" algn="ctr" rotWithShape="0">
              <a:prstClr val="black">
                <a:alpha val="20000"/>
              </a:prstClr>
            </a:outerShdw>
          </a:effectLst>
          <a:sp3d/>
        </c:spPr>
      </c:pivotFmt>
      <c:pivotFmt>
        <c:idx val="45"/>
        <c:spPr>
          <a:solidFill>
            <a:schemeClr val="accent6"/>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957254227935633E-2"/>
          <c:y val="0.40009035288158112"/>
          <c:w val="0.64908158355205603"/>
          <c:h val="0.4244488188976378"/>
        </c:manualLayout>
      </c:layout>
      <c:pie3DChart>
        <c:varyColors val="1"/>
        <c:ser>
          <c:idx val="0"/>
          <c:order val="0"/>
          <c:tx>
            <c:strRef>
              <c:f>'pivot table'!$B$43:$B$44</c:f>
              <c:strCache>
                <c:ptCount val="1"/>
                <c:pt idx="0">
                  <c:v>Female</c:v>
                </c:pt>
              </c:strCache>
            </c:strRef>
          </c:tx>
          <c:dPt>
            <c:idx val="0"/>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3C3C-47DB-9088-77A348DA603F}"/>
              </c:ext>
            </c:extLst>
          </c:dPt>
          <c:dPt>
            <c:idx val="1"/>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3C3C-47DB-9088-77A348DA603F}"/>
              </c:ext>
            </c:extLst>
          </c:dPt>
          <c:dPt>
            <c:idx val="2"/>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3C3C-47DB-9088-77A348DA603F}"/>
              </c:ext>
            </c:extLst>
          </c:dPt>
          <c:dPt>
            <c:idx val="3"/>
            <c:bubble3D val="0"/>
            <c:spPr>
              <a:solidFill>
                <a:schemeClr val="accent6">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3C3C-47DB-9088-77A348DA603F}"/>
              </c:ext>
            </c:extLst>
          </c:dPt>
          <c:dPt>
            <c:idx val="4"/>
            <c:bubble3D val="0"/>
            <c:spPr>
              <a:solidFill>
                <a:schemeClr val="accent5">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3C3C-47DB-9088-77A348DA603F}"/>
              </c:ext>
            </c:extLst>
          </c:dPt>
          <c:dPt>
            <c:idx val="5"/>
            <c:bubble3D val="0"/>
            <c:spPr>
              <a:solidFill>
                <a:schemeClr val="accent4">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3C3C-47DB-9088-77A348DA603F}"/>
              </c:ext>
            </c:extLst>
          </c:dPt>
          <c:dPt>
            <c:idx val="6"/>
            <c:bubble3D val="0"/>
            <c:spPr>
              <a:solidFill>
                <a:schemeClr val="accent6">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3C3C-47DB-9088-77A348DA603F}"/>
              </c:ext>
            </c:extLst>
          </c:dPt>
          <c:dPt>
            <c:idx val="7"/>
            <c:bubble3D val="0"/>
            <c:spPr>
              <a:solidFill>
                <a:schemeClr val="accent5">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F-3C3C-47DB-9088-77A348DA603F}"/>
              </c:ext>
            </c:extLst>
          </c:dPt>
          <c:dPt>
            <c:idx val="8"/>
            <c:bubble3D val="0"/>
            <c:spPr>
              <a:solidFill>
                <a:schemeClr val="accent4">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1-3C3C-47DB-9088-77A348DA603F}"/>
              </c:ext>
            </c:extLst>
          </c:dPt>
          <c:dPt>
            <c:idx val="9"/>
            <c:bubble3D val="0"/>
            <c:spPr>
              <a:solidFill>
                <a:schemeClr val="accent6">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3-3C3C-47DB-9088-77A348DA603F}"/>
              </c:ext>
            </c:extLst>
          </c:dPt>
          <c:dLbls>
            <c:spPr>
              <a:pattFill prst="pct75">
                <a:fgClr>
                  <a:srgbClr val="2C2C2C">
                    <a:lumMod val="75000"/>
                    <a:lumOff val="25000"/>
                  </a:srgbClr>
                </a:fgClr>
                <a:bgClr>
                  <a:srgbClr val="2C2C2C">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table'!$A$45:$A$55</c:f>
              <c:strCache>
                <c:ptCount val="10"/>
                <c:pt idx="0">
                  <c:v>Ahmedabad</c:v>
                </c:pt>
                <c:pt idx="1">
                  <c:v>Bangalore</c:v>
                </c:pt>
                <c:pt idx="2">
                  <c:v>Chennai</c:v>
                </c:pt>
                <c:pt idx="3">
                  <c:v>Delhi</c:v>
                </c:pt>
                <c:pt idx="4">
                  <c:v>Hyderabad</c:v>
                </c:pt>
                <c:pt idx="5">
                  <c:v>Jaipur</c:v>
                </c:pt>
                <c:pt idx="6">
                  <c:v>Kolkata</c:v>
                </c:pt>
                <c:pt idx="7">
                  <c:v>Lucknow</c:v>
                </c:pt>
                <c:pt idx="8">
                  <c:v>Mumbai</c:v>
                </c:pt>
                <c:pt idx="9">
                  <c:v>Pune</c:v>
                </c:pt>
              </c:strCache>
            </c:strRef>
          </c:cat>
          <c:val>
            <c:numRef>
              <c:f>'pivot table'!$B$45:$B$55</c:f>
              <c:numCache>
                <c:formatCode>General</c:formatCode>
                <c:ptCount val="10"/>
                <c:pt idx="0">
                  <c:v>69</c:v>
                </c:pt>
                <c:pt idx="1">
                  <c:v>53</c:v>
                </c:pt>
                <c:pt idx="2">
                  <c:v>59</c:v>
                </c:pt>
                <c:pt idx="3">
                  <c:v>78</c:v>
                </c:pt>
                <c:pt idx="4">
                  <c:v>56</c:v>
                </c:pt>
                <c:pt idx="5">
                  <c:v>70</c:v>
                </c:pt>
                <c:pt idx="6">
                  <c:v>73</c:v>
                </c:pt>
                <c:pt idx="7">
                  <c:v>62</c:v>
                </c:pt>
                <c:pt idx="8">
                  <c:v>75</c:v>
                </c:pt>
                <c:pt idx="9">
                  <c:v>55</c:v>
                </c:pt>
              </c:numCache>
            </c:numRef>
          </c:val>
          <c:extLst>
            <c:ext xmlns:c16="http://schemas.microsoft.com/office/drawing/2014/chart" uri="{C3380CC4-5D6E-409C-BE32-E72D297353CC}">
              <c16:uniqueId val="{00000014-3C3C-47DB-9088-77A348DA603F}"/>
            </c:ext>
          </c:extLst>
        </c:ser>
        <c:ser>
          <c:idx val="1"/>
          <c:order val="1"/>
          <c:tx>
            <c:strRef>
              <c:f>'pivot table'!$C$43:$C$44</c:f>
              <c:strCache>
                <c:ptCount val="1"/>
                <c:pt idx="0">
                  <c:v>Male</c:v>
                </c:pt>
              </c:strCache>
            </c:strRef>
          </c:tx>
          <c:dPt>
            <c:idx val="0"/>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6-3C3C-47DB-9088-77A348DA603F}"/>
              </c:ext>
            </c:extLst>
          </c:dPt>
          <c:dPt>
            <c:idx val="1"/>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8-3C3C-47DB-9088-77A348DA603F}"/>
              </c:ext>
            </c:extLst>
          </c:dPt>
          <c:dPt>
            <c:idx val="2"/>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A-3C3C-47DB-9088-77A348DA603F}"/>
              </c:ext>
            </c:extLst>
          </c:dPt>
          <c:dPt>
            <c:idx val="3"/>
            <c:bubble3D val="0"/>
            <c:spPr>
              <a:solidFill>
                <a:schemeClr val="accent6">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C-3C3C-47DB-9088-77A348DA603F}"/>
              </c:ext>
            </c:extLst>
          </c:dPt>
          <c:dPt>
            <c:idx val="4"/>
            <c:bubble3D val="0"/>
            <c:spPr>
              <a:solidFill>
                <a:schemeClr val="accent5">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E-3C3C-47DB-9088-77A348DA603F}"/>
              </c:ext>
            </c:extLst>
          </c:dPt>
          <c:dPt>
            <c:idx val="5"/>
            <c:bubble3D val="0"/>
            <c:spPr>
              <a:solidFill>
                <a:schemeClr val="accent4">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0-3C3C-47DB-9088-77A348DA603F}"/>
              </c:ext>
            </c:extLst>
          </c:dPt>
          <c:dPt>
            <c:idx val="6"/>
            <c:bubble3D val="0"/>
            <c:spPr>
              <a:solidFill>
                <a:schemeClr val="accent6">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2-3C3C-47DB-9088-77A348DA603F}"/>
              </c:ext>
            </c:extLst>
          </c:dPt>
          <c:dPt>
            <c:idx val="7"/>
            <c:bubble3D val="0"/>
            <c:spPr>
              <a:solidFill>
                <a:schemeClr val="accent5">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4-3C3C-47DB-9088-77A348DA603F}"/>
              </c:ext>
            </c:extLst>
          </c:dPt>
          <c:dPt>
            <c:idx val="8"/>
            <c:bubble3D val="0"/>
            <c:spPr>
              <a:solidFill>
                <a:schemeClr val="accent4">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6-3C3C-47DB-9088-77A348DA603F}"/>
              </c:ext>
            </c:extLst>
          </c:dPt>
          <c:dPt>
            <c:idx val="9"/>
            <c:bubble3D val="0"/>
            <c:spPr>
              <a:solidFill>
                <a:schemeClr val="accent6">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8-3C3C-47DB-9088-77A348DA603F}"/>
              </c:ext>
            </c:extLst>
          </c:dPt>
          <c:dLbls>
            <c:spPr>
              <a:pattFill prst="pct75">
                <a:fgClr>
                  <a:srgbClr val="2C2C2C">
                    <a:lumMod val="75000"/>
                    <a:lumOff val="25000"/>
                  </a:srgbClr>
                </a:fgClr>
                <a:bgClr>
                  <a:srgbClr val="2C2C2C">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table'!$A$45:$A$55</c:f>
              <c:strCache>
                <c:ptCount val="10"/>
                <c:pt idx="0">
                  <c:v>Ahmedabad</c:v>
                </c:pt>
                <c:pt idx="1">
                  <c:v>Bangalore</c:v>
                </c:pt>
                <c:pt idx="2">
                  <c:v>Chennai</c:v>
                </c:pt>
                <c:pt idx="3">
                  <c:v>Delhi</c:v>
                </c:pt>
                <c:pt idx="4">
                  <c:v>Hyderabad</c:v>
                </c:pt>
                <c:pt idx="5">
                  <c:v>Jaipur</c:v>
                </c:pt>
                <c:pt idx="6">
                  <c:v>Kolkata</c:v>
                </c:pt>
                <c:pt idx="7">
                  <c:v>Lucknow</c:v>
                </c:pt>
                <c:pt idx="8">
                  <c:v>Mumbai</c:v>
                </c:pt>
                <c:pt idx="9">
                  <c:v>Pune</c:v>
                </c:pt>
              </c:strCache>
            </c:strRef>
          </c:cat>
          <c:val>
            <c:numRef>
              <c:f>'pivot table'!$C$45:$C$55</c:f>
              <c:numCache>
                <c:formatCode>General</c:formatCode>
                <c:ptCount val="10"/>
                <c:pt idx="0">
                  <c:v>71</c:v>
                </c:pt>
                <c:pt idx="1">
                  <c:v>78</c:v>
                </c:pt>
                <c:pt idx="2">
                  <c:v>63</c:v>
                </c:pt>
                <c:pt idx="3">
                  <c:v>62</c:v>
                </c:pt>
                <c:pt idx="4">
                  <c:v>73</c:v>
                </c:pt>
                <c:pt idx="5">
                  <c:v>54</c:v>
                </c:pt>
                <c:pt idx="6">
                  <c:v>60</c:v>
                </c:pt>
                <c:pt idx="7">
                  <c:v>53</c:v>
                </c:pt>
                <c:pt idx="8">
                  <c:v>64</c:v>
                </c:pt>
                <c:pt idx="9">
                  <c:v>69</c:v>
                </c:pt>
              </c:numCache>
            </c:numRef>
          </c:val>
          <c:extLst>
            <c:ext xmlns:c16="http://schemas.microsoft.com/office/drawing/2014/chart" uri="{C3380CC4-5D6E-409C-BE32-E72D297353CC}">
              <c16:uniqueId val="{00000029-3C3C-47DB-9088-77A348DA603F}"/>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Analytics Dashboard using excal.xlsx]pivot table!PivotTable9</c:name>
    <c:fmtId val="1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200">
                <a:latin typeface="Arial" panose="020B0604020202020204" pitchFamily="34" charset="0"/>
                <a:cs typeface="Arial" panose="020B0604020202020204" pitchFamily="34" charset="0"/>
              </a:rPr>
              <a:t>DEPARTMENT WISE SALARY DISTRIBUTION</a:t>
            </a:r>
          </a:p>
        </c:rich>
      </c:tx>
      <c:layout>
        <c:manualLayout>
          <c:xMode val="edge"/>
          <c:yMode val="edge"/>
          <c:x val="0.21538188976377956"/>
          <c:y val="2.675707203266258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tint val="85000"/>
                  <a:shade val="98000"/>
                  <a:satMod val="110000"/>
                  <a:lumMod val="103000"/>
                </a:schemeClr>
              </a:gs>
              <a:gs pos="50000">
                <a:schemeClr val="accent1">
                  <a:shade val="85000"/>
                  <a:satMod val="105000"/>
                  <a:lumMod val="100000"/>
                </a:schemeClr>
              </a:gs>
              <a:gs pos="100000">
                <a:schemeClr val="accent1">
                  <a:shade val="60000"/>
                  <a:satMod val="120000"/>
                  <a:lumMod val="100000"/>
                </a:schemeClr>
              </a:gs>
            </a:gsLst>
            <a:lin ang="5400000" scaled="0"/>
          </a:gradFill>
          <a:ln>
            <a:noFill/>
          </a:ln>
          <a:effectLst>
            <a:outerShdw blurRad="88900" dist="2794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tint val="85000"/>
                  <a:shade val="98000"/>
                  <a:satMod val="110000"/>
                  <a:lumMod val="103000"/>
                </a:schemeClr>
              </a:gs>
              <a:gs pos="50000">
                <a:schemeClr val="accent1">
                  <a:shade val="85000"/>
                  <a:satMod val="105000"/>
                  <a:lumMod val="100000"/>
                </a:schemeClr>
              </a:gs>
              <a:gs pos="100000">
                <a:schemeClr val="accent1">
                  <a:shade val="60000"/>
                  <a:satMod val="120000"/>
                  <a:lumMod val="100000"/>
                </a:schemeClr>
              </a:gs>
            </a:gsLst>
            <a:lin ang="5400000" scaled="0"/>
          </a:gradFill>
          <a:ln>
            <a:noFill/>
          </a:ln>
          <a:effectLst>
            <a:outerShdw blurRad="88900" dist="2794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tint val="85000"/>
                  <a:shade val="98000"/>
                  <a:satMod val="110000"/>
                  <a:lumMod val="103000"/>
                </a:schemeClr>
              </a:gs>
              <a:gs pos="50000">
                <a:schemeClr val="accent1">
                  <a:shade val="85000"/>
                  <a:satMod val="105000"/>
                  <a:lumMod val="100000"/>
                </a:schemeClr>
              </a:gs>
              <a:gs pos="100000">
                <a:schemeClr val="accent1">
                  <a:shade val="60000"/>
                  <a:satMod val="120000"/>
                  <a:lumMod val="100000"/>
                </a:schemeClr>
              </a:gs>
            </a:gsLst>
            <a:lin ang="5400000" scaled="0"/>
          </a:gradFill>
          <a:ln>
            <a:noFill/>
          </a:ln>
          <a:effectLst>
            <a:outerShdw blurRad="88900" dist="2794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tint val="85000"/>
                  <a:shade val="98000"/>
                  <a:satMod val="110000"/>
                  <a:lumMod val="103000"/>
                </a:schemeClr>
              </a:gs>
              <a:gs pos="50000">
                <a:schemeClr val="accent1">
                  <a:shade val="85000"/>
                  <a:satMod val="105000"/>
                  <a:lumMod val="100000"/>
                </a:schemeClr>
              </a:gs>
              <a:gs pos="100000">
                <a:schemeClr val="accent1">
                  <a:shade val="60000"/>
                  <a:satMod val="120000"/>
                  <a:lumMod val="100000"/>
                </a:schemeClr>
              </a:gs>
            </a:gsLst>
            <a:lin ang="5400000" scaled="0"/>
          </a:gradFill>
          <a:ln>
            <a:noFill/>
          </a:ln>
          <a:effectLst>
            <a:outerShdw blurRad="88900" dist="2794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tint val="85000"/>
                  <a:shade val="98000"/>
                  <a:satMod val="110000"/>
                  <a:lumMod val="103000"/>
                </a:schemeClr>
              </a:gs>
              <a:gs pos="50000">
                <a:schemeClr val="accent1">
                  <a:shade val="85000"/>
                  <a:satMod val="105000"/>
                  <a:lumMod val="100000"/>
                </a:schemeClr>
              </a:gs>
              <a:gs pos="100000">
                <a:schemeClr val="accent1">
                  <a:shade val="60000"/>
                  <a:satMod val="120000"/>
                  <a:lumMod val="100000"/>
                </a:schemeClr>
              </a:gs>
            </a:gsLst>
            <a:lin ang="5400000" scaled="0"/>
          </a:gradFill>
          <a:ln>
            <a:noFill/>
          </a:ln>
          <a:effectLst>
            <a:outerShdw blurRad="88900" dist="2794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tint val="85000"/>
                  <a:shade val="98000"/>
                  <a:satMod val="110000"/>
                  <a:lumMod val="103000"/>
                </a:schemeClr>
              </a:gs>
              <a:gs pos="50000">
                <a:schemeClr val="accent1">
                  <a:shade val="85000"/>
                  <a:satMod val="105000"/>
                  <a:lumMod val="100000"/>
                </a:schemeClr>
              </a:gs>
              <a:gs pos="100000">
                <a:schemeClr val="accent1">
                  <a:shade val="60000"/>
                  <a:satMod val="120000"/>
                  <a:lumMod val="100000"/>
                </a:schemeClr>
              </a:gs>
            </a:gsLst>
            <a:lin ang="5400000" scaled="0"/>
          </a:gradFill>
          <a:ln>
            <a:noFill/>
          </a:ln>
          <a:effectLst>
            <a:outerShdw blurRad="88900" dist="2794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tint val="85000"/>
                  <a:shade val="98000"/>
                  <a:satMod val="110000"/>
                  <a:lumMod val="103000"/>
                </a:schemeClr>
              </a:gs>
              <a:gs pos="50000">
                <a:schemeClr val="accent1">
                  <a:shade val="85000"/>
                  <a:satMod val="105000"/>
                  <a:lumMod val="100000"/>
                </a:schemeClr>
              </a:gs>
              <a:gs pos="100000">
                <a:schemeClr val="accent1">
                  <a:shade val="60000"/>
                  <a:satMod val="120000"/>
                  <a:lumMod val="100000"/>
                </a:schemeClr>
              </a:gs>
            </a:gsLst>
            <a:lin ang="5400000" scaled="0"/>
          </a:gradFill>
          <a:ln>
            <a:noFill/>
          </a:ln>
          <a:effectLst>
            <a:outerShdw blurRad="88900" dist="2794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table'!$B$60:$B$61</c:f>
              <c:strCache>
                <c:ptCount val="1"/>
                <c:pt idx="0">
                  <c:v>Analyst</c:v>
                </c:pt>
              </c:strCache>
            </c:strRef>
          </c:tx>
          <c:spPr>
            <a:gradFill rotWithShape="1">
              <a:gsLst>
                <a:gs pos="0">
                  <a:schemeClr val="accent1">
                    <a:tint val="85000"/>
                    <a:shade val="98000"/>
                    <a:satMod val="110000"/>
                    <a:lumMod val="103000"/>
                  </a:schemeClr>
                </a:gs>
                <a:gs pos="50000">
                  <a:schemeClr val="accent1">
                    <a:shade val="85000"/>
                    <a:satMod val="105000"/>
                    <a:lumMod val="100000"/>
                  </a:schemeClr>
                </a:gs>
                <a:gs pos="100000">
                  <a:schemeClr val="accent1">
                    <a:shade val="60000"/>
                    <a:satMod val="120000"/>
                    <a:lumMod val="100000"/>
                  </a:schemeClr>
                </a:gs>
              </a:gsLst>
              <a:lin ang="5400000" scaled="0"/>
            </a:gradFill>
            <a:ln>
              <a:noFill/>
            </a:ln>
            <a:effectLst>
              <a:outerShdw blurRad="88900" dist="27940" dir="5400000" algn="ctr" rotWithShape="0">
                <a:srgbClr val="000000">
                  <a:alpha val="63000"/>
                </a:srgbClr>
              </a:outerShdw>
            </a:effectLst>
          </c:spPr>
          <c:invertIfNegative val="0"/>
          <c:cat>
            <c:strRef>
              <c:f>'pivot table'!$A$62:$A$69</c:f>
              <c:strCache>
                <c:ptCount val="7"/>
                <c:pt idx="0">
                  <c:v>Finance</c:v>
                </c:pt>
                <c:pt idx="1">
                  <c:v>HR</c:v>
                </c:pt>
                <c:pt idx="2">
                  <c:v>IT</c:v>
                </c:pt>
                <c:pt idx="3">
                  <c:v>Marketing</c:v>
                </c:pt>
                <c:pt idx="4">
                  <c:v>Operations</c:v>
                </c:pt>
                <c:pt idx="5">
                  <c:v>Sales</c:v>
                </c:pt>
                <c:pt idx="6">
                  <c:v>Support</c:v>
                </c:pt>
              </c:strCache>
            </c:strRef>
          </c:cat>
          <c:val>
            <c:numRef>
              <c:f>'pivot table'!$B$62:$B$69</c:f>
              <c:numCache>
                <c:formatCode>General</c:formatCode>
                <c:ptCount val="7"/>
                <c:pt idx="0">
                  <c:v>2876860</c:v>
                </c:pt>
                <c:pt idx="1">
                  <c:v>3524913</c:v>
                </c:pt>
                <c:pt idx="2">
                  <c:v>3048227</c:v>
                </c:pt>
                <c:pt idx="3">
                  <c:v>2875276</c:v>
                </c:pt>
                <c:pt idx="4">
                  <c:v>3339690</c:v>
                </c:pt>
                <c:pt idx="5">
                  <c:v>3310209</c:v>
                </c:pt>
                <c:pt idx="6">
                  <c:v>2933670</c:v>
                </c:pt>
              </c:numCache>
            </c:numRef>
          </c:val>
          <c:extLst>
            <c:ext xmlns:c16="http://schemas.microsoft.com/office/drawing/2014/chart" uri="{C3380CC4-5D6E-409C-BE32-E72D297353CC}">
              <c16:uniqueId val="{00000000-9E4F-4F0A-BB79-1009E64844E8}"/>
            </c:ext>
          </c:extLst>
        </c:ser>
        <c:ser>
          <c:idx val="1"/>
          <c:order val="1"/>
          <c:tx>
            <c:strRef>
              <c:f>'pivot table'!$C$60:$C$61</c:f>
              <c:strCache>
                <c:ptCount val="1"/>
                <c:pt idx="0">
                  <c:v>Assistant</c:v>
                </c:pt>
              </c:strCache>
            </c:strRef>
          </c:tx>
          <c:spPr>
            <a:gradFill rotWithShape="1">
              <a:gsLst>
                <a:gs pos="0">
                  <a:schemeClr val="accent2">
                    <a:tint val="85000"/>
                    <a:shade val="98000"/>
                    <a:satMod val="110000"/>
                    <a:lumMod val="103000"/>
                  </a:schemeClr>
                </a:gs>
                <a:gs pos="50000">
                  <a:schemeClr val="accent2">
                    <a:shade val="85000"/>
                    <a:satMod val="105000"/>
                    <a:lumMod val="100000"/>
                  </a:schemeClr>
                </a:gs>
                <a:gs pos="100000">
                  <a:schemeClr val="accent2">
                    <a:shade val="60000"/>
                    <a:satMod val="120000"/>
                    <a:lumMod val="100000"/>
                  </a:schemeClr>
                </a:gs>
              </a:gsLst>
              <a:lin ang="5400000" scaled="0"/>
            </a:gradFill>
            <a:ln>
              <a:noFill/>
            </a:ln>
            <a:effectLst>
              <a:outerShdw blurRad="88900" dist="27940" dir="5400000" algn="ctr" rotWithShape="0">
                <a:srgbClr val="000000">
                  <a:alpha val="63000"/>
                </a:srgbClr>
              </a:outerShdw>
            </a:effectLst>
          </c:spPr>
          <c:invertIfNegative val="0"/>
          <c:cat>
            <c:strRef>
              <c:f>'pivot table'!$A$62:$A$69</c:f>
              <c:strCache>
                <c:ptCount val="7"/>
                <c:pt idx="0">
                  <c:v>Finance</c:v>
                </c:pt>
                <c:pt idx="1">
                  <c:v>HR</c:v>
                </c:pt>
                <c:pt idx="2">
                  <c:v>IT</c:v>
                </c:pt>
                <c:pt idx="3">
                  <c:v>Marketing</c:v>
                </c:pt>
                <c:pt idx="4">
                  <c:v>Operations</c:v>
                </c:pt>
                <c:pt idx="5">
                  <c:v>Sales</c:v>
                </c:pt>
                <c:pt idx="6">
                  <c:v>Support</c:v>
                </c:pt>
              </c:strCache>
            </c:strRef>
          </c:cat>
          <c:val>
            <c:numRef>
              <c:f>'pivot table'!$C$62:$C$69</c:f>
              <c:numCache>
                <c:formatCode>General</c:formatCode>
                <c:ptCount val="7"/>
                <c:pt idx="0">
                  <c:v>3205338</c:v>
                </c:pt>
                <c:pt idx="1">
                  <c:v>4299419</c:v>
                </c:pt>
                <c:pt idx="2">
                  <c:v>3084564</c:v>
                </c:pt>
                <c:pt idx="3">
                  <c:v>3361431</c:v>
                </c:pt>
                <c:pt idx="4">
                  <c:v>3866494</c:v>
                </c:pt>
                <c:pt idx="5">
                  <c:v>2958630</c:v>
                </c:pt>
                <c:pt idx="6">
                  <c:v>2354335</c:v>
                </c:pt>
              </c:numCache>
            </c:numRef>
          </c:val>
          <c:extLst>
            <c:ext xmlns:c16="http://schemas.microsoft.com/office/drawing/2014/chart" uri="{C3380CC4-5D6E-409C-BE32-E72D297353CC}">
              <c16:uniqueId val="{00000001-6420-4648-A348-A2934CD32C1F}"/>
            </c:ext>
          </c:extLst>
        </c:ser>
        <c:ser>
          <c:idx val="2"/>
          <c:order val="2"/>
          <c:tx>
            <c:strRef>
              <c:f>'pivot table'!$D$60:$D$61</c:f>
              <c:strCache>
                <c:ptCount val="1"/>
                <c:pt idx="0">
                  <c:v>Consultant</c:v>
                </c:pt>
              </c:strCache>
            </c:strRef>
          </c:tx>
          <c:spPr>
            <a:gradFill rotWithShape="1">
              <a:gsLst>
                <a:gs pos="0">
                  <a:schemeClr val="accent3">
                    <a:tint val="85000"/>
                    <a:shade val="98000"/>
                    <a:satMod val="110000"/>
                    <a:lumMod val="103000"/>
                  </a:schemeClr>
                </a:gs>
                <a:gs pos="50000">
                  <a:schemeClr val="accent3">
                    <a:shade val="85000"/>
                    <a:satMod val="105000"/>
                    <a:lumMod val="100000"/>
                  </a:schemeClr>
                </a:gs>
                <a:gs pos="100000">
                  <a:schemeClr val="accent3">
                    <a:shade val="60000"/>
                    <a:satMod val="120000"/>
                    <a:lumMod val="100000"/>
                  </a:schemeClr>
                </a:gs>
              </a:gsLst>
              <a:lin ang="5400000" scaled="0"/>
            </a:gradFill>
            <a:ln>
              <a:noFill/>
            </a:ln>
            <a:effectLst>
              <a:outerShdw blurRad="88900" dist="27940" dir="5400000" algn="ctr" rotWithShape="0">
                <a:srgbClr val="000000">
                  <a:alpha val="63000"/>
                </a:srgbClr>
              </a:outerShdw>
            </a:effectLst>
          </c:spPr>
          <c:invertIfNegative val="0"/>
          <c:cat>
            <c:strRef>
              <c:f>'pivot table'!$A$62:$A$69</c:f>
              <c:strCache>
                <c:ptCount val="7"/>
                <c:pt idx="0">
                  <c:v>Finance</c:v>
                </c:pt>
                <c:pt idx="1">
                  <c:v>HR</c:v>
                </c:pt>
                <c:pt idx="2">
                  <c:v>IT</c:v>
                </c:pt>
                <c:pt idx="3">
                  <c:v>Marketing</c:v>
                </c:pt>
                <c:pt idx="4">
                  <c:v>Operations</c:v>
                </c:pt>
                <c:pt idx="5">
                  <c:v>Sales</c:v>
                </c:pt>
                <c:pt idx="6">
                  <c:v>Support</c:v>
                </c:pt>
              </c:strCache>
            </c:strRef>
          </c:cat>
          <c:val>
            <c:numRef>
              <c:f>'pivot table'!$D$62:$D$69</c:f>
              <c:numCache>
                <c:formatCode>General</c:formatCode>
                <c:ptCount val="7"/>
                <c:pt idx="0">
                  <c:v>3168175</c:v>
                </c:pt>
                <c:pt idx="1">
                  <c:v>2088152</c:v>
                </c:pt>
                <c:pt idx="2">
                  <c:v>3324847</c:v>
                </c:pt>
                <c:pt idx="3">
                  <c:v>2851551</c:v>
                </c:pt>
                <c:pt idx="4">
                  <c:v>3200310</c:v>
                </c:pt>
                <c:pt idx="5">
                  <c:v>1884658</c:v>
                </c:pt>
                <c:pt idx="6">
                  <c:v>2075580</c:v>
                </c:pt>
              </c:numCache>
            </c:numRef>
          </c:val>
          <c:extLst>
            <c:ext xmlns:c16="http://schemas.microsoft.com/office/drawing/2014/chart" uri="{C3380CC4-5D6E-409C-BE32-E72D297353CC}">
              <c16:uniqueId val="{00000002-6420-4648-A348-A2934CD32C1F}"/>
            </c:ext>
          </c:extLst>
        </c:ser>
        <c:ser>
          <c:idx val="3"/>
          <c:order val="3"/>
          <c:tx>
            <c:strRef>
              <c:f>'pivot table'!$E$60:$E$61</c:f>
              <c:strCache>
                <c:ptCount val="1"/>
                <c:pt idx="0">
                  <c:v>Engineer</c:v>
                </c:pt>
              </c:strCache>
            </c:strRef>
          </c:tx>
          <c:spPr>
            <a:gradFill rotWithShape="1">
              <a:gsLst>
                <a:gs pos="0">
                  <a:schemeClr val="accent4">
                    <a:tint val="85000"/>
                    <a:shade val="98000"/>
                    <a:satMod val="110000"/>
                    <a:lumMod val="103000"/>
                  </a:schemeClr>
                </a:gs>
                <a:gs pos="50000">
                  <a:schemeClr val="accent4">
                    <a:shade val="85000"/>
                    <a:satMod val="105000"/>
                    <a:lumMod val="100000"/>
                  </a:schemeClr>
                </a:gs>
                <a:gs pos="100000">
                  <a:schemeClr val="accent4">
                    <a:shade val="60000"/>
                    <a:satMod val="120000"/>
                    <a:lumMod val="100000"/>
                  </a:schemeClr>
                </a:gs>
              </a:gsLst>
              <a:lin ang="5400000" scaled="0"/>
            </a:gradFill>
            <a:ln>
              <a:noFill/>
            </a:ln>
            <a:effectLst>
              <a:outerShdw blurRad="88900" dist="27940" dir="5400000" algn="ctr" rotWithShape="0">
                <a:srgbClr val="000000">
                  <a:alpha val="63000"/>
                </a:srgbClr>
              </a:outerShdw>
            </a:effectLst>
          </c:spPr>
          <c:invertIfNegative val="0"/>
          <c:cat>
            <c:strRef>
              <c:f>'pivot table'!$A$62:$A$69</c:f>
              <c:strCache>
                <c:ptCount val="7"/>
                <c:pt idx="0">
                  <c:v>Finance</c:v>
                </c:pt>
                <c:pt idx="1">
                  <c:v>HR</c:v>
                </c:pt>
                <c:pt idx="2">
                  <c:v>IT</c:v>
                </c:pt>
                <c:pt idx="3">
                  <c:v>Marketing</c:v>
                </c:pt>
                <c:pt idx="4">
                  <c:v>Operations</c:v>
                </c:pt>
                <c:pt idx="5">
                  <c:v>Sales</c:v>
                </c:pt>
                <c:pt idx="6">
                  <c:v>Support</c:v>
                </c:pt>
              </c:strCache>
            </c:strRef>
          </c:cat>
          <c:val>
            <c:numRef>
              <c:f>'pivot table'!$E$62:$E$69</c:f>
              <c:numCache>
                <c:formatCode>General</c:formatCode>
                <c:ptCount val="7"/>
                <c:pt idx="0">
                  <c:v>3551641</c:v>
                </c:pt>
                <c:pt idx="1">
                  <c:v>2166942</c:v>
                </c:pt>
                <c:pt idx="2">
                  <c:v>2403653</c:v>
                </c:pt>
                <c:pt idx="3">
                  <c:v>2320973</c:v>
                </c:pt>
                <c:pt idx="4">
                  <c:v>2586839</c:v>
                </c:pt>
                <c:pt idx="5">
                  <c:v>3968927</c:v>
                </c:pt>
                <c:pt idx="6">
                  <c:v>4095267</c:v>
                </c:pt>
              </c:numCache>
            </c:numRef>
          </c:val>
          <c:extLst>
            <c:ext xmlns:c16="http://schemas.microsoft.com/office/drawing/2014/chart" uri="{C3380CC4-5D6E-409C-BE32-E72D297353CC}">
              <c16:uniqueId val="{00000003-6420-4648-A348-A2934CD32C1F}"/>
            </c:ext>
          </c:extLst>
        </c:ser>
        <c:ser>
          <c:idx val="4"/>
          <c:order val="4"/>
          <c:tx>
            <c:strRef>
              <c:f>'pivot table'!$F$60:$F$61</c:f>
              <c:strCache>
                <c:ptCount val="1"/>
                <c:pt idx="0">
                  <c:v>Executive</c:v>
                </c:pt>
              </c:strCache>
            </c:strRef>
          </c:tx>
          <c:spPr>
            <a:gradFill rotWithShape="1">
              <a:gsLst>
                <a:gs pos="0">
                  <a:schemeClr val="accent5">
                    <a:tint val="85000"/>
                    <a:shade val="98000"/>
                    <a:satMod val="110000"/>
                    <a:lumMod val="103000"/>
                  </a:schemeClr>
                </a:gs>
                <a:gs pos="50000">
                  <a:schemeClr val="accent5">
                    <a:shade val="85000"/>
                    <a:satMod val="105000"/>
                    <a:lumMod val="100000"/>
                  </a:schemeClr>
                </a:gs>
                <a:gs pos="100000">
                  <a:schemeClr val="accent5">
                    <a:shade val="60000"/>
                    <a:satMod val="120000"/>
                    <a:lumMod val="100000"/>
                  </a:schemeClr>
                </a:gs>
              </a:gsLst>
              <a:lin ang="5400000" scaled="0"/>
            </a:gradFill>
            <a:ln>
              <a:noFill/>
            </a:ln>
            <a:effectLst>
              <a:outerShdw blurRad="88900" dist="27940" dir="5400000" algn="ctr" rotWithShape="0">
                <a:srgbClr val="000000">
                  <a:alpha val="63000"/>
                </a:srgbClr>
              </a:outerShdw>
            </a:effectLst>
          </c:spPr>
          <c:invertIfNegative val="0"/>
          <c:cat>
            <c:strRef>
              <c:f>'pivot table'!$A$62:$A$69</c:f>
              <c:strCache>
                <c:ptCount val="7"/>
                <c:pt idx="0">
                  <c:v>Finance</c:v>
                </c:pt>
                <c:pt idx="1">
                  <c:v>HR</c:v>
                </c:pt>
                <c:pt idx="2">
                  <c:v>IT</c:v>
                </c:pt>
                <c:pt idx="3">
                  <c:v>Marketing</c:v>
                </c:pt>
                <c:pt idx="4">
                  <c:v>Operations</c:v>
                </c:pt>
                <c:pt idx="5">
                  <c:v>Sales</c:v>
                </c:pt>
                <c:pt idx="6">
                  <c:v>Support</c:v>
                </c:pt>
              </c:strCache>
            </c:strRef>
          </c:cat>
          <c:val>
            <c:numRef>
              <c:f>'pivot table'!$F$62:$F$69</c:f>
              <c:numCache>
                <c:formatCode>General</c:formatCode>
                <c:ptCount val="7"/>
                <c:pt idx="0">
                  <c:v>2536293</c:v>
                </c:pt>
                <c:pt idx="1">
                  <c:v>3294382</c:v>
                </c:pt>
                <c:pt idx="2">
                  <c:v>4319889</c:v>
                </c:pt>
                <c:pt idx="3">
                  <c:v>3267047</c:v>
                </c:pt>
                <c:pt idx="4">
                  <c:v>3150865</c:v>
                </c:pt>
                <c:pt idx="5">
                  <c:v>1690810</c:v>
                </c:pt>
                <c:pt idx="6">
                  <c:v>2507600</c:v>
                </c:pt>
              </c:numCache>
            </c:numRef>
          </c:val>
          <c:extLst>
            <c:ext xmlns:c16="http://schemas.microsoft.com/office/drawing/2014/chart" uri="{C3380CC4-5D6E-409C-BE32-E72D297353CC}">
              <c16:uniqueId val="{00000004-6420-4648-A348-A2934CD32C1F}"/>
            </c:ext>
          </c:extLst>
        </c:ser>
        <c:ser>
          <c:idx val="5"/>
          <c:order val="5"/>
          <c:tx>
            <c:strRef>
              <c:f>'pivot table'!$G$60:$G$61</c:f>
              <c:strCache>
                <c:ptCount val="1"/>
                <c:pt idx="0">
                  <c:v>Lead</c:v>
                </c:pt>
              </c:strCache>
            </c:strRef>
          </c:tx>
          <c:spPr>
            <a:gradFill rotWithShape="1">
              <a:gsLst>
                <a:gs pos="0">
                  <a:schemeClr val="accent6">
                    <a:tint val="85000"/>
                    <a:shade val="98000"/>
                    <a:satMod val="110000"/>
                    <a:lumMod val="103000"/>
                  </a:schemeClr>
                </a:gs>
                <a:gs pos="50000">
                  <a:schemeClr val="accent6">
                    <a:shade val="85000"/>
                    <a:satMod val="105000"/>
                    <a:lumMod val="100000"/>
                  </a:schemeClr>
                </a:gs>
                <a:gs pos="100000">
                  <a:schemeClr val="accent6">
                    <a:shade val="60000"/>
                    <a:satMod val="120000"/>
                    <a:lumMod val="100000"/>
                  </a:schemeClr>
                </a:gs>
              </a:gsLst>
              <a:lin ang="5400000" scaled="0"/>
            </a:gradFill>
            <a:ln>
              <a:noFill/>
            </a:ln>
            <a:effectLst>
              <a:outerShdw blurRad="88900" dist="27940" dir="5400000" algn="ctr" rotWithShape="0">
                <a:srgbClr val="000000">
                  <a:alpha val="63000"/>
                </a:srgbClr>
              </a:outerShdw>
            </a:effectLst>
          </c:spPr>
          <c:invertIfNegative val="0"/>
          <c:cat>
            <c:strRef>
              <c:f>'pivot table'!$A$62:$A$69</c:f>
              <c:strCache>
                <c:ptCount val="7"/>
                <c:pt idx="0">
                  <c:v>Finance</c:v>
                </c:pt>
                <c:pt idx="1">
                  <c:v>HR</c:v>
                </c:pt>
                <c:pt idx="2">
                  <c:v>IT</c:v>
                </c:pt>
                <c:pt idx="3">
                  <c:v>Marketing</c:v>
                </c:pt>
                <c:pt idx="4">
                  <c:v>Operations</c:v>
                </c:pt>
                <c:pt idx="5">
                  <c:v>Sales</c:v>
                </c:pt>
                <c:pt idx="6">
                  <c:v>Support</c:v>
                </c:pt>
              </c:strCache>
            </c:strRef>
          </c:cat>
          <c:val>
            <c:numRef>
              <c:f>'pivot table'!$G$62:$G$69</c:f>
              <c:numCache>
                <c:formatCode>General</c:formatCode>
                <c:ptCount val="7"/>
                <c:pt idx="0">
                  <c:v>3438828</c:v>
                </c:pt>
                <c:pt idx="1">
                  <c:v>2320346</c:v>
                </c:pt>
                <c:pt idx="2">
                  <c:v>3142831</c:v>
                </c:pt>
                <c:pt idx="3">
                  <c:v>3054790</c:v>
                </c:pt>
                <c:pt idx="4">
                  <c:v>3724838</c:v>
                </c:pt>
                <c:pt idx="5">
                  <c:v>3266407</c:v>
                </c:pt>
                <c:pt idx="6">
                  <c:v>3165519</c:v>
                </c:pt>
              </c:numCache>
            </c:numRef>
          </c:val>
          <c:extLst>
            <c:ext xmlns:c16="http://schemas.microsoft.com/office/drawing/2014/chart" uri="{C3380CC4-5D6E-409C-BE32-E72D297353CC}">
              <c16:uniqueId val="{00000005-6420-4648-A348-A2934CD32C1F}"/>
            </c:ext>
          </c:extLst>
        </c:ser>
        <c:ser>
          <c:idx val="6"/>
          <c:order val="6"/>
          <c:tx>
            <c:strRef>
              <c:f>'pivot table'!$H$60:$H$61</c:f>
              <c:strCache>
                <c:ptCount val="1"/>
                <c:pt idx="0">
                  <c:v>Manager</c:v>
                </c:pt>
              </c:strCache>
            </c:strRef>
          </c:tx>
          <c:spPr>
            <a:gradFill rotWithShape="1">
              <a:gsLst>
                <a:gs pos="0">
                  <a:schemeClr val="accent1">
                    <a:lumMod val="60000"/>
                    <a:tint val="85000"/>
                    <a:shade val="98000"/>
                    <a:satMod val="110000"/>
                    <a:lumMod val="103000"/>
                  </a:schemeClr>
                </a:gs>
                <a:gs pos="50000">
                  <a:schemeClr val="accent1">
                    <a:lumMod val="60000"/>
                    <a:shade val="85000"/>
                    <a:satMod val="105000"/>
                    <a:lumMod val="100000"/>
                  </a:schemeClr>
                </a:gs>
                <a:gs pos="100000">
                  <a:schemeClr val="accent1">
                    <a:lumMod val="60000"/>
                    <a:shade val="60000"/>
                    <a:satMod val="120000"/>
                    <a:lumMod val="100000"/>
                  </a:schemeClr>
                </a:gs>
              </a:gsLst>
              <a:lin ang="5400000" scaled="0"/>
            </a:gradFill>
            <a:ln>
              <a:noFill/>
            </a:ln>
            <a:effectLst>
              <a:outerShdw blurRad="88900" dist="27940" dir="5400000" algn="ctr" rotWithShape="0">
                <a:srgbClr val="000000">
                  <a:alpha val="63000"/>
                </a:srgbClr>
              </a:outerShdw>
            </a:effectLst>
          </c:spPr>
          <c:invertIfNegative val="0"/>
          <c:cat>
            <c:strRef>
              <c:f>'pivot table'!$A$62:$A$69</c:f>
              <c:strCache>
                <c:ptCount val="7"/>
                <c:pt idx="0">
                  <c:v>Finance</c:v>
                </c:pt>
                <c:pt idx="1">
                  <c:v>HR</c:v>
                </c:pt>
                <c:pt idx="2">
                  <c:v>IT</c:v>
                </c:pt>
                <c:pt idx="3">
                  <c:v>Marketing</c:v>
                </c:pt>
                <c:pt idx="4">
                  <c:v>Operations</c:v>
                </c:pt>
                <c:pt idx="5">
                  <c:v>Sales</c:v>
                </c:pt>
                <c:pt idx="6">
                  <c:v>Support</c:v>
                </c:pt>
              </c:strCache>
            </c:strRef>
          </c:cat>
          <c:val>
            <c:numRef>
              <c:f>'pivot table'!$H$62:$H$69</c:f>
              <c:numCache>
                <c:formatCode>General</c:formatCode>
                <c:ptCount val="7"/>
                <c:pt idx="0">
                  <c:v>2848712</c:v>
                </c:pt>
                <c:pt idx="1">
                  <c:v>2986396</c:v>
                </c:pt>
                <c:pt idx="2">
                  <c:v>3119400</c:v>
                </c:pt>
                <c:pt idx="3">
                  <c:v>3647511</c:v>
                </c:pt>
                <c:pt idx="4">
                  <c:v>2102401</c:v>
                </c:pt>
                <c:pt idx="5">
                  <c:v>3362829</c:v>
                </c:pt>
                <c:pt idx="6">
                  <c:v>2306025</c:v>
                </c:pt>
              </c:numCache>
            </c:numRef>
          </c:val>
          <c:extLst>
            <c:ext xmlns:c16="http://schemas.microsoft.com/office/drawing/2014/chart" uri="{C3380CC4-5D6E-409C-BE32-E72D297353CC}">
              <c16:uniqueId val="{00000006-6420-4648-A348-A2934CD32C1F}"/>
            </c:ext>
          </c:extLst>
        </c:ser>
        <c:dLbls>
          <c:showLegendKey val="0"/>
          <c:showVal val="0"/>
          <c:showCatName val="0"/>
          <c:showSerName val="0"/>
          <c:showPercent val="0"/>
          <c:showBubbleSize val="0"/>
        </c:dLbls>
        <c:gapWidth val="247"/>
        <c:axId val="1340576544"/>
        <c:axId val="1340575104"/>
      </c:barChart>
      <c:catAx>
        <c:axId val="134057654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575104"/>
        <c:crosses val="autoZero"/>
        <c:auto val="1"/>
        <c:lblAlgn val="ctr"/>
        <c:lblOffset val="100"/>
        <c:noMultiLvlLbl val="0"/>
      </c:catAx>
      <c:valAx>
        <c:axId val="1340575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576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data id="1">
      <cx:strDim type="cat">
        <cx:f>_xlchart.v2.0</cx:f>
      </cx:strDim>
      <cx:numDim type="val">
        <cx:f>_xlchart.v2.2</cx:f>
      </cx:numDim>
    </cx:data>
  </cx:chartData>
  <cx:chart>
    <cx:title pos="t" align="ctr" overlay="0">
      <cx:tx>
        <cx:txData>
          <cx:v>TOTAL WORKING  EXPERIENCE BY  GENDER</cx:v>
        </cx:txData>
      </cx:tx>
      <cx:txPr>
        <a:bodyPr spcFirstLastPara="1" vertOverflow="ellipsis" horzOverflow="overflow" wrap="square" lIns="0" tIns="0" rIns="0" bIns="0" anchor="ctr" anchorCtr="1"/>
        <a:lstStyle/>
        <a:p>
          <a:pPr algn="ctr" rtl="0">
            <a:defRPr lang="en-US" sz="1100">
              <a:solidFill>
                <a:schemeClr val="dk1"/>
              </a:solidFill>
              <a:latin typeface="Arial" panose="020B0604020202020204" pitchFamily="34" charset="0"/>
              <a:ea typeface="Arial" panose="020B0604020202020204" pitchFamily="34" charset="0"/>
              <a:cs typeface="Arial" panose="020B0604020202020204" pitchFamily="34" charset="0"/>
            </a:defRPr>
          </a:pPr>
          <a:r>
            <a:rPr lang="en-US" sz="1100">
              <a:solidFill>
                <a:schemeClr val="tx1"/>
              </a:solidFill>
              <a:latin typeface="Arial" panose="020B0604020202020204" pitchFamily="34" charset="0"/>
              <a:ea typeface="+mn-ea"/>
              <a:cs typeface="Arial" panose="020B0604020202020204" pitchFamily="34" charset="0"/>
            </a:rPr>
            <a:t>TOTAL WORKING  EXPERIENCE BY  GENDER</a:t>
          </a:r>
        </a:p>
      </cx:txPr>
    </cx:title>
    <cx:plotArea>
      <cx:plotAreaRegion>
        <cx:series layoutId="funnel" uniqueId="{AEEEE2FC-957D-4891-8CDA-2D4254DC84E6}" formatIdx="0">
          <cx:dataLabels>
            <cx:txPr>
              <a:bodyPr vertOverflow="overflow" horzOverflow="overflow" wrap="square" lIns="0" tIns="0" rIns="0" bIns="0"/>
              <a:lstStyle/>
              <a:p>
                <a:pPr algn="ctr" rtl="0">
                  <a:defRPr lang="en-US" sz="1100">
                    <a:solidFill>
                      <a:schemeClr val="dk1"/>
                    </a:solidFill>
                    <a:latin typeface="Arial" panose="020B0604020202020204" pitchFamily="34" charset="0"/>
                    <a:ea typeface="Arial" panose="020B0604020202020204" pitchFamily="34" charset="0"/>
                    <a:cs typeface="Arial" panose="020B0604020202020204" pitchFamily="34" charset="0"/>
                  </a:defRPr>
                </a:pPr>
                <a:endParaRPr lang="en-US" sz="1100">
                  <a:solidFill>
                    <a:schemeClr val="dk1"/>
                  </a:solidFill>
                  <a:latin typeface="Arial" panose="020B0604020202020204" pitchFamily="34" charset="0"/>
                  <a:ea typeface="+mn-ea"/>
                  <a:cs typeface="Arial" panose="020B0604020202020204" pitchFamily="34" charset="0"/>
                </a:endParaRPr>
              </a:p>
            </cx:txPr>
            <cx:visibility seriesName="0" categoryName="0" value="1"/>
          </cx:dataLabels>
          <cx:dataId val="0"/>
        </cx:series>
        <cx:series layoutId="funnel" hidden="1" uniqueId="{B6C60E50-050B-4AB7-978F-1D66FE4B7A09}" formatIdx="1">
          <cx:dataLabels>
            <cx:txPr>
              <a:bodyPr vertOverflow="overflow" horzOverflow="overflow" wrap="square" lIns="0" tIns="0" rIns="0" bIns="0"/>
              <a:lstStyle/>
              <a:p>
                <a:pPr algn="ctr" rtl="0">
                  <a:defRPr lang="en-US" sz="1100">
                    <a:solidFill>
                      <a:schemeClr val="dk1"/>
                    </a:solidFill>
                    <a:latin typeface="Arial" panose="020B0604020202020204" pitchFamily="34" charset="0"/>
                    <a:ea typeface="Arial" panose="020B0604020202020204" pitchFamily="34" charset="0"/>
                    <a:cs typeface="Arial" panose="020B0604020202020204" pitchFamily="34" charset="0"/>
                  </a:defRPr>
                </a:pPr>
                <a:endParaRPr lang="en-US" sz="1100">
                  <a:solidFill>
                    <a:schemeClr val="dk1"/>
                  </a:solidFill>
                  <a:latin typeface="Arial" panose="020B0604020202020204" pitchFamily="34" charset="0"/>
                  <a:ea typeface="+mn-ea"/>
                  <a:cs typeface="Arial" panose="020B0604020202020204" pitchFamily="34" charset="0"/>
                </a:endParaRPr>
              </a:p>
            </cx:txPr>
            <cx:visibility seriesName="0" categoryName="0" value="1"/>
          </cx:dataLabels>
          <cx:dataId val="1"/>
        </cx:series>
      </cx:plotAreaRegion>
      <cx:axis id="0">
        <cx:catScaling gapWidth="0.150000006"/>
        <cx:tickLabels/>
        <cx:txPr>
          <a:bodyPr vertOverflow="overflow" horzOverflow="overflow" wrap="square" lIns="0" tIns="0" rIns="0" bIns="0"/>
          <a:lstStyle/>
          <a:p>
            <a:pPr algn="ctr" rtl="0">
              <a:defRPr lang="en-US" sz="1100">
                <a:solidFill>
                  <a:schemeClr val="dk1"/>
                </a:solidFill>
                <a:latin typeface="Arial" panose="020B0604020202020204" pitchFamily="34" charset="0"/>
                <a:ea typeface="Arial" panose="020B0604020202020204" pitchFamily="34" charset="0"/>
                <a:cs typeface="Arial" panose="020B0604020202020204" pitchFamily="34" charset="0"/>
              </a:defRPr>
            </a:pPr>
            <a:endParaRPr lang="en-US" sz="1100">
              <a:solidFill>
                <a:schemeClr val="dk1"/>
              </a:solidFill>
              <a:latin typeface="Arial" panose="020B0604020202020204" pitchFamily="34" charset="0"/>
              <a:ea typeface="+mn-ea"/>
              <a:cs typeface="Arial" panose="020B0604020202020204" pitchFamily="34" charset="0"/>
            </a:endParaRPr>
          </a:p>
        </cx:txPr>
      </cx:axis>
    </cx:plotArea>
  </cx:chart>
</cx: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424">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1</xdr:col>
      <xdr:colOff>-1</xdr:colOff>
      <xdr:row>6</xdr:row>
      <xdr:rowOff>7620</xdr:rowOff>
    </xdr:from>
    <xdr:to>
      <xdr:col>97</xdr:col>
      <xdr:colOff>120316</xdr:colOff>
      <xdr:row>273</xdr:row>
      <xdr:rowOff>160421</xdr:rowOff>
    </xdr:to>
    <xdr:sp macro="" textlink="">
      <xdr:nvSpPr>
        <xdr:cNvPr id="2" name="TextBox 1">
          <a:extLst>
            <a:ext uri="{FF2B5EF4-FFF2-40B4-BE49-F238E27FC236}">
              <a16:creationId xmlns:a16="http://schemas.microsoft.com/office/drawing/2014/main" id="{2F3DE963-618B-27C0-0928-52BC30DC724B}"/>
            </a:ext>
          </a:extLst>
        </xdr:cNvPr>
        <xdr:cNvSpPr txBox="1"/>
      </xdr:nvSpPr>
      <xdr:spPr>
        <a:xfrm>
          <a:off x="601578" y="208146"/>
          <a:ext cx="57871896" cy="536933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solidFill>
              <a:schemeClr val="dk1"/>
            </a:solidFill>
            <a:latin typeface="+mn-lt"/>
            <a:ea typeface="+mn-ea"/>
            <a:cs typeface="+mn-cs"/>
          </a:endParaRPr>
        </a:p>
      </xdr:txBody>
    </xdr:sp>
    <xdr:clientData/>
  </xdr:twoCellAnchor>
  <xdr:twoCellAnchor>
    <xdr:from>
      <xdr:col>5</xdr:col>
      <xdr:colOff>19318</xdr:colOff>
      <xdr:row>6</xdr:row>
      <xdr:rowOff>86314</xdr:rowOff>
    </xdr:from>
    <xdr:to>
      <xdr:col>12</xdr:col>
      <xdr:colOff>113269</xdr:colOff>
      <xdr:row>21</xdr:row>
      <xdr:rowOff>82378</xdr:rowOff>
    </xdr:to>
    <xdr:graphicFrame macro="">
      <xdr:nvGraphicFramePr>
        <xdr:cNvPr id="4" name="Chart 3">
          <a:extLst>
            <a:ext uri="{FF2B5EF4-FFF2-40B4-BE49-F238E27FC236}">
              <a16:creationId xmlns:a16="http://schemas.microsoft.com/office/drawing/2014/main" id="{1BFEBA41-57BD-418C-95F6-F92FB7DABD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593837</xdr:colOff>
      <xdr:row>39</xdr:row>
      <xdr:rowOff>160389</xdr:rowOff>
    </xdr:from>
    <xdr:to>
      <xdr:col>15</xdr:col>
      <xdr:colOff>235045</xdr:colOff>
      <xdr:row>56</xdr:row>
      <xdr:rowOff>78615</xdr:rowOff>
    </xdr:to>
    <xdr:graphicFrame macro="">
      <xdr:nvGraphicFramePr>
        <xdr:cNvPr id="5" name="Chart 4">
          <a:extLst>
            <a:ext uri="{FF2B5EF4-FFF2-40B4-BE49-F238E27FC236}">
              <a16:creationId xmlns:a16="http://schemas.microsoft.com/office/drawing/2014/main" id="{3BA8A1CA-92EA-4ADD-A620-6F127FC803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321728</xdr:colOff>
      <xdr:row>22</xdr:row>
      <xdr:rowOff>167744</xdr:rowOff>
    </xdr:from>
    <xdr:to>
      <xdr:col>24</xdr:col>
      <xdr:colOff>498072</xdr:colOff>
      <xdr:row>38</xdr:row>
      <xdr:rowOff>67634</xdr:rowOff>
    </xdr:to>
    <xdr:graphicFrame macro="">
      <xdr:nvGraphicFramePr>
        <xdr:cNvPr id="6" name="Chart 5">
          <a:extLst>
            <a:ext uri="{FF2B5EF4-FFF2-40B4-BE49-F238E27FC236}">
              <a16:creationId xmlns:a16="http://schemas.microsoft.com/office/drawing/2014/main" id="{62E9D169-1A7A-418C-BCA2-5278A78826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236839</xdr:colOff>
      <xdr:row>6</xdr:row>
      <xdr:rowOff>92676</xdr:rowOff>
    </xdr:from>
    <xdr:to>
      <xdr:col>19</xdr:col>
      <xdr:colOff>350109</xdr:colOff>
      <xdr:row>21</xdr:row>
      <xdr:rowOff>10298</xdr:rowOff>
    </xdr:to>
    <mc:AlternateContent xmlns:mc="http://schemas.openxmlformats.org/markup-compatibility/2006">
      <mc:Choice xmlns:cx2="http://schemas.microsoft.com/office/drawing/2015/10/21/chartex" Requires="cx2">
        <xdr:graphicFrame macro="">
          <xdr:nvGraphicFramePr>
            <xdr:cNvPr id="7" name="Chart 6">
              <a:extLst>
                <a:ext uri="{FF2B5EF4-FFF2-40B4-BE49-F238E27FC236}">
                  <a16:creationId xmlns:a16="http://schemas.microsoft.com/office/drawing/2014/main" id="{E220B089-2CDB-4529-A68A-4161C44F872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7117699" y="1189956"/>
              <a:ext cx="4380470" cy="266082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546858</xdr:colOff>
      <xdr:row>7</xdr:row>
      <xdr:rowOff>11652</xdr:rowOff>
    </xdr:from>
    <xdr:to>
      <xdr:col>26</xdr:col>
      <xdr:colOff>0</xdr:colOff>
      <xdr:row>20</xdr:row>
      <xdr:rowOff>92676</xdr:rowOff>
    </xdr:to>
    <xdr:graphicFrame macro="">
      <xdr:nvGraphicFramePr>
        <xdr:cNvPr id="8" name="Chart 7">
          <a:extLst>
            <a:ext uri="{FF2B5EF4-FFF2-40B4-BE49-F238E27FC236}">
              <a16:creationId xmlns:a16="http://schemas.microsoft.com/office/drawing/2014/main" id="{98D540AF-1874-4FD7-8988-A4A74E0F58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505410</xdr:colOff>
      <xdr:row>14</xdr:row>
      <xdr:rowOff>20819</xdr:rowOff>
    </xdr:from>
    <xdr:to>
      <xdr:col>4</xdr:col>
      <xdr:colOff>505408</xdr:colOff>
      <xdr:row>27</xdr:row>
      <xdr:rowOff>102084</xdr:rowOff>
    </xdr:to>
    <mc:AlternateContent xmlns:mc="http://schemas.openxmlformats.org/markup-compatibility/2006" xmlns:a14="http://schemas.microsoft.com/office/drawing/2010/main">
      <mc:Choice Requires="a14">
        <xdr:graphicFrame macro="">
          <xdr:nvGraphicFramePr>
            <xdr:cNvPr id="10" name="Department">
              <a:extLst>
                <a:ext uri="{FF2B5EF4-FFF2-40B4-BE49-F238E27FC236}">
                  <a16:creationId xmlns:a16="http://schemas.microsoft.com/office/drawing/2014/main" id="{3103D53C-A4A2-AAC9-87C5-35F4B1A8924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676646" y="1638999"/>
              <a:ext cx="1823661" cy="24186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456158</xdr:colOff>
      <xdr:row>29</xdr:row>
      <xdr:rowOff>87113</xdr:rowOff>
    </xdr:from>
    <xdr:to>
      <xdr:col>4</xdr:col>
      <xdr:colOff>456158</xdr:colOff>
      <xdr:row>43</xdr:row>
      <xdr:rowOff>582</xdr:rowOff>
    </xdr:to>
    <mc:AlternateContent xmlns:mc="http://schemas.openxmlformats.org/markup-compatibility/2006" xmlns:a14="http://schemas.microsoft.com/office/drawing/2010/main">
      <mc:Choice Requires="a14">
        <xdr:graphicFrame macro="">
          <xdr:nvGraphicFramePr>
            <xdr:cNvPr id="12" name="Location">
              <a:extLst>
                <a:ext uri="{FF2B5EF4-FFF2-40B4-BE49-F238E27FC236}">
                  <a16:creationId xmlns:a16="http://schemas.microsoft.com/office/drawing/2014/main" id="{FA973FF1-E236-80AF-0C5B-1BA6318562AA}"/>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627394" y="4402259"/>
              <a:ext cx="1823663" cy="24306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538565</xdr:colOff>
      <xdr:row>8</xdr:row>
      <xdr:rowOff>1245</xdr:rowOff>
    </xdr:from>
    <xdr:to>
      <xdr:col>4</xdr:col>
      <xdr:colOff>538564</xdr:colOff>
      <xdr:row>13</xdr:row>
      <xdr:rowOff>23988</xdr:rowOff>
    </xdr:to>
    <mc:AlternateContent xmlns:mc="http://schemas.openxmlformats.org/markup-compatibility/2006" xmlns:a14="http://schemas.microsoft.com/office/drawing/2010/main">
      <mc:Choice Requires="a14">
        <xdr:graphicFrame macro="">
          <xdr:nvGraphicFramePr>
            <xdr:cNvPr id="13" name="Gender">
              <a:extLst>
                <a:ext uri="{FF2B5EF4-FFF2-40B4-BE49-F238E27FC236}">
                  <a16:creationId xmlns:a16="http://schemas.microsoft.com/office/drawing/2014/main" id="{3B2DA7BD-A5E5-427C-BD0E-2DBFE6C4BEC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09801" y="540638"/>
              <a:ext cx="1823662" cy="9217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434071</xdr:colOff>
      <xdr:row>44</xdr:row>
      <xdr:rowOff>161807</xdr:rowOff>
    </xdr:from>
    <xdr:to>
      <xdr:col>4</xdr:col>
      <xdr:colOff>434070</xdr:colOff>
      <xdr:row>58</xdr:row>
      <xdr:rowOff>69913</xdr:rowOff>
    </xdr:to>
    <mc:AlternateContent xmlns:mc="http://schemas.openxmlformats.org/markup-compatibility/2006" xmlns:a14="http://schemas.microsoft.com/office/drawing/2010/main">
      <mc:Choice Requires="a14">
        <xdr:graphicFrame macro="">
          <xdr:nvGraphicFramePr>
            <xdr:cNvPr id="14" name="Designation">
              <a:extLst>
                <a:ext uri="{FF2B5EF4-FFF2-40B4-BE49-F238E27FC236}">
                  <a16:creationId xmlns:a16="http://schemas.microsoft.com/office/drawing/2014/main" id="{33DC4ADE-E3BB-545C-58FE-D03B862393B7}"/>
                </a:ext>
              </a:extLst>
            </xdr:cNvPr>
            <xdr:cNvGraphicFramePr/>
          </xdr:nvGraphicFramePr>
          <xdr:xfrm>
            <a:off x="0" y="0"/>
            <a:ext cx="0" cy="0"/>
          </xdr:xfrm>
          <a:graphic>
            <a:graphicData uri="http://schemas.microsoft.com/office/drawing/2010/slicer">
              <sle:slicer xmlns:sle="http://schemas.microsoft.com/office/drawing/2010/slicer" name="Designation"/>
            </a:graphicData>
          </a:graphic>
        </xdr:graphicFrame>
      </mc:Choice>
      <mc:Fallback xmlns="">
        <xdr:sp macro="" textlink="">
          <xdr:nvSpPr>
            <xdr:cNvPr id="0" name=""/>
            <xdr:cNvSpPr>
              <a:spLocks noTextEdit="1"/>
            </xdr:cNvSpPr>
          </xdr:nvSpPr>
          <xdr:spPr>
            <a:xfrm>
              <a:off x="605307" y="7173919"/>
              <a:ext cx="1823662" cy="2425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494269</xdr:colOff>
      <xdr:row>23</xdr:row>
      <xdr:rowOff>175055</xdr:rowOff>
    </xdr:from>
    <xdr:to>
      <xdr:col>13</xdr:col>
      <xdr:colOff>205944</xdr:colOff>
      <xdr:row>38</xdr:row>
      <xdr:rowOff>137984</xdr:rowOff>
    </xdr:to>
    <xdr:graphicFrame macro="">
      <xdr:nvGraphicFramePr>
        <xdr:cNvPr id="15" name="Chart 14">
          <a:extLst>
            <a:ext uri="{FF2B5EF4-FFF2-40B4-BE49-F238E27FC236}">
              <a16:creationId xmlns:a16="http://schemas.microsoft.com/office/drawing/2014/main" id="{ED1D5DEF-3797-45D3-AD65-E87D4943C6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360406</xdr:colOff>
      <xdr:row>1</xdr:row>
      <xdr:rowOff>92675</xdr:rowOff>
    </xdr:from>
    <xdr:to>
      <xdr:col>25</xdr:col>
      <xdr:colOff>278028</xdr:colOff>
      <xdr:row>5</xdr:row>
      <xdr:rowOff>175053</xdr:rowOff>
    </xdr:to>
    <xdr:sp macro="" textlink="">
      <xdr:nvSpPr>
        <xdr:cNvPr id="17" name="Rectangle: Top Corners Rounded 16">
          <a:extLst>
            <a:ext uri="{FF2B5EF4-FFF2-40B4-BE49-F238E27FC236}">
              <a16:creationId xmlns:a16="http://schemas.microsoft.com/office/drawing/2014/main" id="{DFB052DC-BDF7-2FEC-F6AE-29D2E17523A0}"/>
            </a:ext>
          </a:extLst>
        </xdr:cNvPr>
        <xdr:cNvSpPr/>
      </xdr:nvSpPr>
      <xdr:spPr>
        <a:xfrm>
          <a:off x="1750541" y="278026"/>
          <a:ext cx="13283514" cy="823784"/>
        </a:xfrm>
        <a:prstGeom prst="round2Same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lvl="1" algn="l"/>
          <a:r>
            <a:rPr lang="en-IN" sz="2500">
              <a:solidFill>
                <a:schemeClr val="accent6">
                  <a:lumMod val="75000"/>
                </a:schemeClr>
              </a:solidFill>
              <a:latin typeface="Algerian" panose="04020705040A02060702" pitchFamily="82" charset="0"/>
            </a:rPr>
            <a:t>Employee Analytics Dashboard: Department, Gender &amp; Location Insights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I TEJA" refreshedDate="45963.798068402779" createdVersion="8" refreshedVersion="8" minRefreshableVersion="3" recordCount="1297" xr:uid="{CEA1228F-304D-4380-A834-BE5F1EB3CC6D}">
  <cacheSource type="worksheet">
    <worksheetSource ref="A1:K1300" sheet="row data"/>
  </cacheSource>
  <cacheFields count="11">
    <cacheField name="Employee ID" numFmtId="0">
      <sharedItems count="1297">
        <s v="EMP1001"/>
        <s v="EMP1004"/>
        <s v="EMP1006"/>
        <s v="EMP1007"/>
        <s v="EMP1008"/>
        <s v="EMP1010"/>
        <s v="EMP1011"/>
        <s v="EMP1013"/>
        <s v="EMP1014"/>
        <s v="EMP1016"/>
        <s v="EMP1017"/>
        <s v="EMP1019"/>
        <s v="EMP1020"/>
        <s v="EMP1021"/>
        <s v="EMP1024"/>
        <s v="EMP1025"/>
        <s v="EMP1026"/>
        <s v="EMP1027"/>
        <s v="EMP1028"/>
        <s v="EMP1029"/>
        <s v="EMP1032"/>
        <s v="EMP1033"/>
        <s v="EMP1036"/>
        <s v="EMP1037"/>
        <s v="EMP1038"/>
        <s v="EMP1039"/>
        <s v="EMP1040"/>
        <s v="EMP1041"/>
        <s v="EMP1042"/>
        <s v="EMP1043"/>
        <s v="EMP1044"/>
        <s v="EMP1045"/>
        <s v="EMP1046"/>
        <s v="EMP1047"/>
        <s v="EMP1048"/>
        <s v="EMP1049"/>
        <s v="EMP1050"/>
        <s v="EMP1051"/>
        <s v="EMP1052"/>
        <s v="EMP1054"/>
        <s v="EMP1055"/>
        <s v="EMP1057"/>
        <s v="EMP1062"/>
        <s v="EMP1063"/>
        <s v="EMP1065"/>
        <s v="EMP1066"/>
        <s v="EMP1067"/>
        <s v="EMP1068"/>
        <s v="EMP1070"/>
        <s v="EMP1071"/>
        <s v="EMP1074"/>
        <s v="EMP1076"/>
        <s v="EMP1078"/>
        <s v="EMP1079"/>
        <s v="EMP1082"/>
        <s v="EMP1083"/>
        <s v="EMP1085"/>
        <s v="EMP1086"/>
        <s v="EMP1087"/>
        <s v="EMP1090"/>
        <s v="EMP1091"/>
        <s v="EMP1093"/>
        <s v="EMP1094"/>
        <s v="EMP1095"/>
        <s v="EMP1096"/>
        <s v="EMP1097"/>
        <s v="EMP1098"/>
        <s v="EMP1099"/>
        <s v="EMP1100"/>
        <s v="EMP1101"/>
        <s v="EMP1102"/>
        <s v="EMP1103"/>
        <s v="EMP1107"/>
        <s v="EMP1108"/>
        <s v="EMP1109"/>
        <s v="EMP1110"/>
        <s v="EMP1111"/>
        <s v="EMP1113"/>
        <s v="EMP1114"/>
        <s v="EMP1115"/>
        <s v="EMP1116"/>
        <s v="EMP1117"/>
        <s v="EMP1118"/>
        <s v="EMP1119"/>
        <s v="EMP1120"/>
        <s v="EMP1121"/>
        <s v="EMP1123"/>
        <s v="EMP1126"/>
        <s v="EMP1129"/>
        <s v="EMP1130"/>
        <s v="EMP1131"/>
        <s v="EMP1132"/>
        <s v="EMP1134"/>
        <s v="EMP1136"/>
        <s v="EMP1137"/>
        <s v="EMP1138"/>
        <s v="EMP1139"/>
        <s v="EMP1140"/>
        <s v="EMP1141"/>
        <s v="EMP1142"/>
        <s v="EMP1143"/>
        <s v="EMP1144"/>
        <s v="EMP1145"/>
        <s v="EMP1147"/>
        <s v="EMP1149"/>
        <s v="EMP1150"/>
        <s v="EMP1151"/>
        <s v="EMP1152"/>
        <s v="EMP1154"/>
        <s v="EMP1156"/>
        <s v="EMP1157"/>
        <s v="EMP1158"/>
        <s v="EMP1159"/>
        <s v="EMP1160"/>
        <s v="EMP1161"/>
        <s v="EMP1163"/>
        <s v="EMP1164"/>
        <s v="EMP1165"/>
        <s v="EMP1166"/>
        <s v="EMP1168"/>
        <s v="EMP1169"/>
        <s v="EMP1170"/>
        <s v="EMP1171"/>
        <s v="EMP1172"/>
        <s v="EMP1174"/>
        <s v="EMP1175"/>
        <s v="EMP1177"/>
        <s v="EMP1178"/>
        <s v="EMP1179"/>
        <s v="EMP1180"/>
        <s v="EMP1181"/>
        <s v="EMP1182"/>
        <s v="EMP1183"/>
        <s v="EMP1185"/>
        <s v="EMP1186"/>
        <s v="EMP1188"/>
        <s v="EMP1189"/>
        <s v="EMP1190"/>
        <s v="EMP1191"/>
        <s v="EMP1192"/>
        <s v="EMP1194"/>
        <s v="EMP1195"/>
        <s v="EMP1198"/>
        <s v="EMP1199"/>
        <s v="EMP1201"/>
        <s v="EMP1203"/>
        <s v="EMP1204"/>
        <s v="EMP1205"/>
        <s v="EMP1206"/>
        <s v="EMP1207"/>
        <s v="EMP1208"/>
        <s v="EMP1210"/>
        <s v="EMP1211"/>
        <s v="EMP1212"/>
        <s v="EMP1213"/>
        <s v="EMP1214"/>
        <s v="EMP1216"/>
        <s v="EMP1217"/>
        <s v="EMP1218"/>
        <s v="EMP1219"/>
        <s v="EMP1220"/>
        <s v="EMP1221"/>
        <s v="EMP1223"/>
        <s v="EMP1224"/>
        <s v="EMP1225"/>
        <s v="EMP1227"/>
        <s v="EMP1228"/>
        <s v="EMP1229"/>
        <s v="EMP1230"/>
        <s v="EMP1231"/>
        <s v="EMP1232"/>
        <s v="EMP1234"/>
        <s v="EMP1235"/>
        <s v="EMP1236"/>
        <s v="EMP1238"/>
        <s v="EMP1240"/>
        <s v="EMP1241"/>
        <s v="EMP1245"/>
        <s v="EMP1246"/>
        <s v="EMP1247"/>
        <s v="EMP1248"/>
        <s v="EMP1249"/>
        <s v="EMP1250"/>
        <s v="EMP1251"/>
        <s v="EMP1256"/>
        <s v="EMP1257"/>
        <s v="EMP1258"/>
        <s v="EMP1260"/>
        <s v="EMP1261"/>
        <s v="EMP1262"/>
        <s v="EMP1264"/>
        <s v="EMP1265"/>
        <s v="EMP1266"/>
        <s v="EMP1267"/>
        <s v="EMP1268"/>
        <s v="EMP1269"/>
        <s v="EMP1270"/>
        <s v="EMP1271"/>
        <s v="EMP1272"/>
        <s v="EMP1273"/>
        <s v="EMP1274"/>
        <s v="EMP1275"/>
        <s v="EMP1276"/>
        <s v="EMP1280"/>
        <s v="EMP1281"/>
        <s v="EMP1282"/>
        <s v="EMP1284"/>
        <s v="EMP1286"/>
        <s v="EMP1287"/>
        <s v="EMP1290"/>
        <s v="EMP1291"/>
        <s v="EMP1292"/>
        <s v="EMP1295"/>
        <s v="EMP1297"/>
        <s v="EMP1298"/>
        <s v="EMP1299"/>
        <s v="EMP1301"/>
        <s v="EMP1302"/>
        <s v="EMP1303"/>
        <s v="EMP1305"/>
        <s v="EMP1306"/>
        <s v="EMP1308"/>
        <s v="EMP1309"/>
        <s v="EMP1310"/>
        <s v="EMP1313"/>
        <s v="EMP1314"/>
        <s v="EMP1315"/>
        <s v="EMP1316"/>
        <s v="EMP1317"/>
        <s v="EMP1318"/>
        <s v="EMP1319"/>
        <s v="EMP1320"/>
        <s v="EMP1321"/>
        <s v="EMP1323"/>
        <s v="EMP1324"/>
        <s v="EMP1325"/>
        <s v="EMP1326"/>
        <s v="EMP1327"/>
        <s v="EMP1328"/>
        <s v="EMP1331"/>
        <s v="EMP1332"/>
        <s v="EMP1333"/>
        <s v="EMP1334"/>
        <s v="EMP1336"/>
        <s v="EMP1337"/>
        <s v="EMP1340"/>
        <s v="EMP1342"/>
        <s v="EMP1343"/>
        <s v="EMP1344"/>
        <s v="EMP1345"/>
        <s v="EMP1346"/>
        <s v="EMP1349"/>
        <s v="EMP1350"/>
        <s v="EMP1352"/>
        <s v="EMP1354"/>
        <s v="EMP1356"/>
        <s v="EMP1357"/>
        <s v="EMP1358"/>
        <s v="EMP1359"/>
        <s v="EMP1360"/>
        <s v="EMP1364"/>
        <s v="EMP1365"/>
        <s v="EMP1366"/>
        <s v="EMP1367"/>
        <s v="EMP1369"/>
        <s v="EMP1371"/>
        <s v="EMP1372"/>
        <s v="EMP1373"/>
        <s v="EMP1374"/>
        <s v="EMP1375"/>
        <s v="EMP1377"/>
        <s v="EMP1378"/>
        <s v="EMP1381"/>
        <s v="EMP1383"/>
        <s v="EMP1386"/>
        <s v="EMP1387"/>
        <s v="EMP1388"/>
        <s v="EMP1389"/>
        <s v="EMP1391"/>
        <s v="EMP1392"/>
        <s v="EMP1393"/>
        <s v="EMP1395"/>
        <s v="EMP1397"/>
        <s v="EMP1399"/>
        <s v="EMP1401"/>
        <s v="EMP1402"/>
        <s v="EMP1403"/>
        <s v="EMP1405"/>
        <s v="EMP1406"/>
        <s v="EMP1407"/>
        <s v="EMP1409"/>
        <s v="EMP1410"/>
        <s v="EMP1411"/>
        <s v="EMP1413"/>
        <s v="EMP1414"/>
        <s v="EMP1417"/>
        <s v="EMP1418"/>
        <s v="EMP1419"/>
        <s v="EMP1420"/>
        <s v="EMP1421"/>
        <s v="EMP1422"/>
        <s v="EMP1424"/>
        <s v="EMP1426"/>
        <s v="EMP1427"/>
        <s v="EMP1428"/>
        <s v="EMP1431"/>
        <s v="EMP1433"/>
        <s v="EMP1434"/>
        <s v="EMP1435"/>
        <s v="EMP1436"/>
        <s v="EMP1438"/>
        <s v="EMP1440"/>
        <s v="EMP1441"/>
        <s v="EMP1443"/>
        <s v="EMP1444"/>
        <s v="EMP1445"/>
        <s v="EMP1446"/>
        <s v="EMP1447"/>
        <s v="EMP1449"/>
        <s v="EMP1450"/>
        <s v="EMP1452"/>
        <s v="EMP1453"/>
        <s v="EMP1454"/>
        <s v="EMP1457"/>
        <s v="EMP1458"/>
        <s v="EMP1459"/>
        <s v="EMP1460"/>
        <s v="EMP1461"/>
        <s v="EMP1465"/>
        <s v="EMP1467"/>
        <s v="EMP1468"/>
        <s v="EMP1469"/>
        <s v="EMP1470"/>
        <s v="EMP1471"/>
        <s v="EMP1475"/>
        <s v="EMP1477"/>
        <s v="EMP1478"/>
        <s v="EMP1479"/>
        <s v="EMP1480"/>
        <s v="EMP1482"/>
        <s v="EMP1483"/>
        <s v="EMP1486"/>
        <s v="EMP1488"/>
        <s v="EMP1492"/>
        <s v="EMP1493"/>
        <s v="EMP1494"/>
        <s v="EMP1497"/>
        <s v="EMP1498"/>
        <s v="EMP1499"/>
        <s v="EMP1500"/>
        <s v="EMP1502"/>
        <s v="EMP1503"/>
        <s v="EMP1507"/>
        <s v="EMP1508"/>
        <s v="EMP1509"/>
        <s v="EMP1510"/>
        <s v="EMP1511"/>
        <s v="EMP1512"/>
        <s v="EMP1513"/>
        <s v="EMP1514"/>
        <s v="EMP1515"/>
        <s v="EMP1516"/>
        <s v="EMP1517"/>
        <s v="EMP1518"/>
        <s v="EMP1519"/>
        <s v="EMP1521"/>
        <s v="EMP1522"/>
        <s v="EMP1523"/>
        <s v="EMP1525"/>
        <s v="EMP1528"/>
        <s v="EMP1530"/>
        <s v="EMP1531"/>
        <s v="EMP1532"/>
        <s v="EMP1533"/>
        <s v="EMP1534"/>
        <s v="EMP1536"/>
        <s v="EMP1538"/>
        <s v="EMP1541"/>
        <s v="EMP1543"/>
        <s v="EMP1545"/>
        <s v="EMP1546"/>
        <s v="EMP1547"/>
        <s v="EMP1548"/>
        <s v="EMP1549"/>
        <s v="EMP1551"/>
        <s v="EMP1553"/>
        <s v="EMP1554"/>
        <s v="EMP1555"/>
        <s v="EMP1556"/>
        <s v="EMP1557"/>
        <s v="EMP1558"/>
        <s v="EMP1561"/>
        <s v="EMP1562"/>
        <s v="EMP1563"/>
        <s v="EMP1564"/>
        <s v="EMP1566"/>
        <s v="EMP1567"/>
        <s v="EMP1568"/>
        <s v="EMP1569"/>
        <s v="EMP1570"/>
        <s v="EMP1572"/>
        <s v="EMP1575"/>
        <s v="EMP1576"/>
        <s v="EMP1579"/>
        <s v="EMP1580"/>
        <s v="EMP1582"/>
        <s v="EMP1584"/>
        <s v="EMP1587"/>
        <s v="EMP1588"/>
        <s v="EMP1589"/>
        <s v="EMP1591"/>
        <s v="EMP1593"/>
        <s v="EMP1594"/>
        <s v="EMP1595"/>
        <s v="EMP1596"/>
        <s v="EMP1598"/>
        <s v="EMP1600"/>
        <s v="EMP1601"/>
        <s v="EMP1602"/>
        <s v="EMP1605"/>
        <s v="EMP1606"/>
        <s v="EMP1607"/>
        <s v="EMP1608"/>
        <s v="EMP1609"/>
        <s v="EMP1610"/>
        <s v="EMP1612"/>
        <s v="EMP1613"/>
        <s v="EMP1614"/>
        <s v="EMP1616"/>
        <s v="EMP1618"/>
        <s v="EMP1620"/>
        <s v="EMP1621"/>
        <s v="EMP1622"/>
        <s v="EMP1624"/>
        <s v="EMP1625"/>
        <s v="EMP1626"/>
        <s v="EMP1627"/>
        <s v="EMP1628"/>
        <s v="EMP1630"/>
        <s v="EMP1631"/>
        <s v="EMP1632"/>
        <s v="EMP1633"/>
        <s v="EMP1634"/>
        <s v="EMP1642"/>
        <s v="EMP1643"/>
        <s v="EMP1644"/>
        <s v="EMP1645"/>
        <s v="EMP1646"/>
        <s v="EMP1647"/>
        <s v="EMP1649"/>
        <s v="EMP1652"/>
        <s v="EMP1653"/>
        <s v="EMP1656"/>
        <s v="EMP1658"/>
        <s v="EMP1659"/>
        <s v="EMP1660"/>
        <s v="EMP1661"/>
        <s v="EMP1662"/>
        <s v="EMP1667"/>
        <s v="EMP1668"/>
        <s v="EMP1669"/>
        <s v="EMP1670"/>
        <s v="EMP1673"/>
        <s v="EMP1676"/>
        <s v="EMP1678"/>
        <s v="EMP1679"/>
        <s v="EMP1680"/>
        <s v="EMP1682"/>
        <s v="EMP1683"/>
        <s v="EMP1684"/>
        <s v="EMP1685"/>
        <s v="EMP1689"/>
        <s v="EMP1691"/>
        <s v="EMP1693"/>
        <s v="EMP1694"/>
        <s v="EMP1696"/>
        <s v="EMP1699"/>
        <s v="EMP1700"/>
        <s v="EMP1702"/>
        <s v="EMP1705"/>
        <s v="EMP1708"/>
        <s v="EMP1709"/>
        <s v="EMP1710"/>
        <s v="EMP1711"/>
        <s v="EMP1714"/>
        <s v="EMP1717"/>
        <s v="EMP1718"/>
        <s v="EMP1719"/>
        <s v="EMP1720"/>
        <s v="EMP1721"/>
        <s v="EMP1722"/>
        <s v="EMP1725"/>
        <s v="EMP1726"/>
        <s v="EMP1728"/>
        <s v="EMP1729"/>
        <s v="EMP1730"/>
        <s v="EMP1732"/>
        <s v="EMP1733"/>
        <s v="EMP1734"/>
        <s v="EMP1735"/>
        <s v="EMP1737"/>
        <s v="EMP1738"/>
        <s v="EMP1741"/>
        <s v="EMP1742"/>
        <s v="EMP1743"/>
        <s v="EMP1744"/>
        <s v="EMP1745"/>
        <s v="EMP1746"/>
        <s v="EMP1748"/>
        <s v="EMP1749"/>
        <s v="EMP1750"/>
        <s v="EMP1751"/>
        <s v="EMP1752"/>
        <s v="EMP1753"/>
        <s v="EMP1754"/>
        <s v="EMP1755"/>
        <s v="EMP1756"/>
        <s v="EMP1759"/>
        <s v="EMP1760"/>
        <s v="EMP1763"/>
        <s v="EMP1764"/>
        <s v="EMP1767"/>
        <s v="EMP1769"/>
        <s v="EMP1772"/>
        <s v="EMP1773"/>
        <s v="EMP1774"/>
        <s v="EMP1775"/>
        <s v="EMP1777"/>
        <s v="EMP1781"/>
        <s v="EMP1783"/>
        <s v="EMP1784"/>
        <s v="EMP1785"/>
        <s v="EMP1786"/>
        <s v="EMP1787"/>
        <s v="EMP1788"/>
        <s v="EMP1790"/>
        <s v="EMP1793"/>
        <s v="EMP1794"/>
        <s v="EMP1795"/>
        <s v="EMP1798"/>
        <s v="EMP1800"/>
        <s v="EMP1802"/>
        <s v="EMP1804"/>
        <s v="EMP1805"/>
        <s v="EMP1806"/>
        <s v="EMP1808"/>
        <s v="EMP1810"/>
        <s v="EMP1811"/>
        <s v="EMP1812"/>
        <s v="EMP1813"/>
        <s v="EMP1815"/>
        <s v="EMP1818"/>
        <s v="EMP1819"/>
        <s v="EMP1821"/>
        <s v="EMP1824"/>
        <s v="EMP1825"/>
        <s v="EMP1826"/>
        <s v="EMP1827"/>
        <s v="EMP1829"/>
        <s v="EMP1831"/>
        <s v="EMP1833"/>
        <s v="EMP1834"/>
        <s v="EMP1836"/>
        <s v="EMP1837"/>
        <s v="EMP1838"/>
        <s v="EMP1839"/>
        <s v="EMP1840"/>
        <s v="EMP1841"/>
        <s v="EMP1842"/>
        <s v="EMP1846"/>
        <s v="EMP1847"/>
        <s v="EMP1849"/>
        <s v="EMP1851"/>
        <s v="EMP1853"/>
        <s v="EMP1854"/>
        <s v="EMP1855"/>
        <s v="EMP1856"/>
        <s v="EMP1857"/>
        <s v="EMP1859"/>
        <s v="EMP1860"/>
        <s v="EMP1861"/>
        <s v="EMP1863"/>
        <s v="EMP1864"/>
        <s v="EMP1865"/>
        <s v="EMP1868"/>
        <s v="EMP1869"/>
        <s v="EMP1870"/>
        <s v="EMP1871"/>
        <s v="EMP1872"/>
        <s v="EMP1873"/>
        <s v="EMP1874"/>
        <s v="EMP1875"/>
        <s v="EMP1877"/>
        <s v="EMP1878"/>
        <s v="EMP1879"/>
        <s v="EMP1880"/>
        <s v="EMP1881"/>
        <s v="EMP1882"/>
        <s v="EMP1883"/>
        <s v="EMP1885"/>
        <s v="EMP1886"/>
        <s v="EMP1887"/>
        <s v="EMP1888"/>
        <s v="EMP1889"/>
        <s v="EMP1890"/>
        <s v="EMP1891"/>
        <s v="EMP1894"/>
        <s v="EMP1895"/>
        <s v="EMP1896"/>
        <s v="EMP1898"/>
        <s v="EMP1899"/>
        <s v="EMP1900"/>
        <s v="EMP1901"/>
        <s v="EMP1903"/>
        <s v="EMP1904"/>
        <s v="EMP1905"/>
        <s v="EMP1906"/>
        <s v="EMP1909"/>
        <s v="EMP1910"/>
        <s v="EMP1911"/>
        <s v="EMP1915"/>
        <s v="EMP1916"/>
        <s v="EMP1917"/>
        <s v="EMP1919"/>
        <s v="EMP1922"/>
        <s v="EMP1923"/>
        <s v="EMP1926"/>
        <s v="EMP1928"/>
        <s v="EMP1929"/>
        <s v="EMP1930"/>
        <s v="EMP1931"/>
        <s v="EMP1932"/>
        <s v="EMP1933"/>
        <s v="EMP1934"/>
        <s v="EMP1935"/>
        <s v="EMP1936"/>
        <s v="EMP1937"/>
        <s v="EMP1939"/>
        <s v="EMP1940"/>
        <s v="EMP1941"/>
        <s v="EMP1942"/>
        <s v="EMP1943"/>
        <s v="EMP1944"/>
        <s v="EMP1945"/>
        <s v="EMP1946"/>
        <s v="EMP1947"/>
        <s v="EMP1948"/>
        <s v="EMP1949"/>
        <s v="EMP1952"/>
        <s v="EMP1956"/>
        <s v="EMP1957"/>
        <s v="EMP1959"/>
        <s v="EMP1960"/>
        <s v="EMP1963"/>
        <s v="EMP1964"/>
        <s v="EMP1965"/>
        <s v="EMP1968"/>
        <s v="EMP1969"/>
        <s v="EMP1970"/>
        <s v="EMP1971"/>
        <s v="EMP1972"/>
        <s v="EMP1975"/>
        <s v="EMP1977"/>
        <s v="EMP1978"/>
        <s v="EMP1979"/>
        <s v="EMP1980"/>
        <s v="EMP1982"/>
        <s v="EMP1983"/>
        <s v="EMP1984"/>
        <s v="EMP1985"/>
        <s v="EMP1986"/>
        <s v="EMP1987"/>
        <s v="EMP1988"/>
        <s v="EMP1989"/>
        <s v="EMP1990"/>
        <s v="EMP1991"/>
        <s v="EMP1992"/>
        <s v="EMP1993"/>
        <s v="EMP1994"/>
        <s v="EMP1995"/>
        <s v="EMP1997"/>
        <s v="EMP2000"/>
        <s v="EMP2001"/>
        <s v="EMP2002"/>
        <s v="EMP2004"/>
        <s v="EMP2007"/>
        <s v="EMP2008"/>
        <s v="EMP2009"/>
        <s v="EMP2010"/>
        <s v="EMP2014"/>
        <s v="EMP2015"/>
        <s v="EMP2016"/>
        <s v="EMP2017"/>
        <s v="EMP2018"/>
        <s v="EMP2019"/>
        <s v="EMP2021"/>
        <s v="EMP2022"/>
        <s v="EMP2024"/>
        <s v="EMP2026"/>
        <s v="EMP2027"/>
        <s v="EMP2028"/>
        <s v="EMP2030"/>
        <s v="EMP2033"/>
        <s v="EMP2034"/>
        <s v="EMP2035"/>
        <s v="EMP2039"/>
        <s v="EMP2040"/>
        <s v="EMP2041"/>
        <s v="EMP2042"/>
        <s v="EMP2043"/>
        <s v="EMP2044"/>
        <s v="EMP2046"/>
        <s v="EMP2047"/>
        <s v="EMP2049"/>
        <s v="EMP2052"/>
        <s v="EMP2054"/>
        <s v="EMP2055"/>
        <s v="EMP2057"/>
        <s v="EMP2058"/>
        <s v="EMP2059"/>
        <s v="EMP2060"/>
        <s v="EMP2061"/>
        <s v="EMP2064"/>
        <s v="EMP2065"/>
        <s v="EMP2066"/>
        <s v="EMP2067"/>
        <s v="EMP2069"/>
        <s v="EMP2071"/>
        <s v="EMP2072"/>
        <s v="EMP2073"/>
        <s v="EMP2074"/>
        <s v="EMP2076"/>
        <s v="EMP2077"/>
        <s v="EMP2079"/>
        <s v="EMP2080"/>
        <s v="EMP2083"/>
        <s v="EMP2084"/>
        <s v="EMP2087"/>
        <s v="EMP2091"/>
        <s v="EMP2094"/>
        <s v="EMP2095"/>
        <s v="EMP2096"/>
        <s v="EMP2097"/>
        <s v="EMP2098"/>
        <s v="EMP2099"/>
        <s v="EMP2100"/>
        <s v="EMP2101"/>
        <s v="EMP2102"/>
        <s v="EMP2104"/>
        <s v="EMP2107"/>
        <s v="EMP2108"/>
        <s v="EMP2109"/>
        <s v="EMP2110"/>
        <s v="EMP2111"/>
        <s v="EMP2112"/>
        <s v="EMP2114"/>
        <s v="EMP2115"/>
        <s v="EMP2117"/>
        <s v="EMP2118"/>
        <s v="EMP2119"/>
        <s v="EMP2121"/>
        <s v="EMP2122"/>
        <s v="EMP2123"/>
        <s v="EMP2126"/>
        <s v="EMP2127"/>
        <s v="EMP2128"/>
        <s v="EMP2130"/>
        <s v="EMP2132"/>
        <s v="EMP2133"/>
        <s v="EMP2136"/>
        <s v="EMP2137"/>
        <s v="EMP2140"/>
        <s v="EMP2142"/>
        <s v="EMP2143"/>
        <s v="EMP2146"/>
        <s v="EMP2148"/>
        <s v="EMP2149"/>
        <s v="EMP2150"/>
        <s v="EMP2152"/>
        <s v="EMP2153"/>
        <s v="EMP2155"/>
        <s v="EMP2156"/>
        <s v="EMP2157"/>
        <s v="EMP2159"/>
        <s v="EMP2160"/>
        <s v="EMP2161"/>
        <s v="EMP2165"/>
        <s v="EMP2166"/>
        <s v="EMP2169"/>
        <s v="EMP2170"/>
        <s v="EMP2171"/>
        <s v="EMP2173"/>
        <s v="EMP2175"/>
        <s v="EMP2176"/>
        <s v="EMP2177"/>
        <s v="EMP2178"/>
        <s v="EMP2180"/>
        <s v="EMP2181"/>
        <s v="EMP2183"/>
        <s v="EMP2184"/>
        <s v="EMP2185"/>
        <s v="EMP2186"/>
        <s v="EMP2188"/>
        <s v="EMP2189"/>
        <s v="EMP2190"/>
        <s v="EMP2191"/>
        <s v="EMP2192"/>
        <s v="EMP2194"/>
        <s v="EMP2195"/>
        <s v="EMP2196"/>
        <s v="EMP2197"/>
        <s v="EMP2198"/>
        <s v="EMP2200"/>
        <s v="EMP2201"/>
        <s v="EMP2202"/>
        <s v="EMP2203"/>
        <s v="EMP2204"/>
        <s v="EMP2205"/>
        <s v="EMP2206"/>
        <s v="EMP2208"/>
        <s v="EMP2209"/>
        <s v="EMP2211"/>
        <s v="EMP2213"/>
        <s v="EMP2214"/>
        <s v="EMP2216"/>
        <s v="EMP2218"/>
        <s v="EMP2221"/>
        <s v="EMP2222"/>
        <s v="EMP2225"/>
        <s v="EMP2226"/>
        <s v="EMP2227"/>
        <s v="EMP2228"/>
        <s v="EMP2229"/>
        <s v="EMP2232"/>
        <s v="EMP2233"/>
        <s v="EMP2235"/>
        <s v="EMP2236"/>
        <s v="EMP2239"/>
        <s v="EMP2244"/>
        <s v="EMP2245"/>
        <s v="EMP2246"/>
        <s v="EMP2247"/>
        <s v="EMP2248"/>
        <s v="EMP2249"/>
        <s v="EMP2251"/>
        <s v="EMP2252"/>
        <s v="EMP2253"/>
        <s v="EMP2255"/>
        <s v="EMP2257"/>
        <s v="EMP2259"/>
        <s v="EMP2260"/>
        <s v="EMP2261"/>
        <s v="EMP2262"/>
        <s v="EMP2263"/>
        <s v="EMP2265"/>
        <s v="EMP2266"/>
        <s v="EMP2267"/>
        <s v="EMP2268"/>
        <s v="EMP2269"/>
        <s v="EMP2270"/>
        <s v="EMP2271"/>
        <s v="EMP2273"/>
        <s v="EMP2274"/>
        <s v="EMP2275"/>
        <s v="EMP2276"/>
        <s v="EMP2277"/>
        <s v="EMP2278"/>
        <s v="EMP2279"/>
        <s v="EMP2280"/>
        <s v="EMP2281"/>
        <s v="EMP2282"/>
        <s v="EMP2283"/>
        <s v="EMP2284"/>
        <s v="EMP2288"/>
        <s v="EMP2289"/>
        <s v="EMP2291"/>
        <s v="EMP2293"/>
        <s v="EMP2295"/>
        <s v="EMP2296"/>
        <s v="EMP2297"/>
        <s v="EMP2299"/>
        <s v="EMP2301"/>
        <s v="EMP2304"/>
        <s v="EMP2306"/>
        <s v="EMP2307"/>
        <s v="EMP2308"/>
        <s v="EMP2309"/>
        <s v="EMP2310"/>
        <s v="EMP2311"/>
        <s v="EMP2312"/>
        <s v="EMP2315"/>
        <s v="EMP2316"/>
        <s v="EMP2318"/>
        <s v="EMP2319"/>
        <s v="EMP2320"/>
        <s v="EMP2321"/>
        <s v="EMP2322"/>
        <s v="EMP2323"/>
        <s v="EMP2324"/>
        <s v="EMP2325"/>
        <s v="EMP2327"/>
        <s v="EMP2328"/>
        <s v="EMP2329"/>
        <s v="EMP2330"/>
        <s v="EMP2331"/>
        <s v="EMP2332"/>
        <s v="EMP2335"/>
        <s v="EMP2338"/>
        <s v="EMP2339"/>
        <s v="EMP2340"/>
        <s v="EMP2342"/>
        <s v="EMP2343"/>
        <s v="EMP2344"/>
        <s v="EMP2347"/>
        <s v="EMP2349"/>
        <s v="EMP2350"/>
        <s v="EMP2351"/>
        <s v="EMP2353"/>
        <s v="EMP2355"/>
        <s v="EMP2357"/>
        <s v="EMP2359"/>
        <s v="EMP2360"/>
        <s v="EMP2362"/>
        <s v="EMP2363"/>
        <s v="EMP2364"/>
        <s v="EMP2365"/>
        <s v="EMP2366"/>
        <s v="EMP2368"/>
        <s v="EMP2369"/>
        <s v="EMP2371"/>
        <s v="EMP2372"/>
        <s v="EMP2374"/>
        <s v="EMP2376"/>
        <s v="EMP2377"/>
        <s v="EMP2379"/>
        <s v="EMP2380"/>
        <s v="EMP2381"/>
        <s v="EMP2382"/>
        <s v="EMP2383"/>
        <s v="EMP2385"/>
        <s v="EMP2386"/>
        <s v="EMP2387"/>
        <s v="EMP2390"/>
        <s v="EMP2391"/>
        <s v="EMP2392"/>
        <s v="EMP2394"/>
        <s v="EMP2395"/>
        <s v="EMP2396"/>
        <s v="EMP2397"/>
        <s v="EMP2399"/>
        <s v="EMP2400"/>
        <s v="EMP2401"/>
        <s v="EMP2402"/>
        <s v="EMP2403"/>
        <s v="EMP2404"/>
        <s v="EMP2407"/>
        <s v="EMP2408"/>
        <s v="EMP2411"/>
        <s v="EMP2413"/>
        <s v="EMP2414"/>
        <s v="EMP2418"/>
        <s v="EMP2419"/>
        <s v="EMP2422"/>
        <s v="EMP2423"/>
        <s v="EMP2424"/>
        <s v="EMP2426"/>
        <s v="EMP2428"/>
        <s v="EMP2429"/>
        <s v="EMP2430"/>
        <s v="EMP2431"/>
        <s v="EMP2433"/>
        <s v="EMP2434"/>
        <s v="EMP2436"/>
        <s v="EMP2437"/>
        <s v="EMP2438"/>
        <s v="EMP2440"/>
        <s v="EMP2441"/>
        <s v="EMP2442"/>
        <s v="EMP2443"/>
        <s v="EMP2445"/>
        <s v="EMP2446"/>
        <s v="EMP2448"/>
        <s v="EMP2450"/>
        <s v="EMP2451"/>
        <s v="EMP2453"/>
        <s v="EMP2454"/>
        <s v="EMP2455"/>
        <s v="EMP2456"/>
        <s v="EMP2457"/>
        <s v="EMP2458"/>
        <s v="EMP2459"/>
        <s v="EMP2460"/>
        <s v="EMP2461"/>
        <s v="EMP2462"/>
        <s v="EMP2463"/>
        <s v="EMP2464"/>
        <s v="EMP2467"/>
        <s v="EMP2468"/>
        <s v="EMP2469"/>
        <s v="EMP2473"/>
        <s v="EMP2475"/>
        <s v="EMP2477"/>
        <s v="EMP2478"/>
        <s v="EMP2479"/>
        <s v="EMP2481"/>
        <s v="EMP2482"/>
        <s v="EMP2483"/>
        <s v="EMP2484"/>
        <s v="EMP2486"/>
        <s v="EMP2487"/>
        <s v="EMP2489"/>
        <s v="EMP2492"/>
        <s v="EMP2494"/>
        <s v="EMP2496"/>
        <s v="EMP2497"/>
        <s v="EMP2500"/>
        <s v="EMP2501"/>
        <s v="EMP2502"/>
        <s v="EMP2504"/>
        <s v="EMP2505"/>
        <s v="EMP2506"/>
        <s v="EMP2507"/>
        <s v="EMP2508"/>
        <s v="EMP2509"/>
        <s v="EMP2511"/>
        <s v="EMP2512"/>
        <s v="EMP2513"/>
        <s v="EMP2514"/>
        <s v="EMP2515"/>
        <s v="EMP2516"/>
        <s v="EMP2517"/>
        <s v="EMP2519"/>
        <s v="EMP2520"/>
        <s v="EMP2523"/>
        <s v="EMP2524"/>
        <s v="EMP2525"/>
        <s v="EMP2526"/>
        <s v="EMP2527"/>
        <s v="EMP2529"/>
        <s v="EMP2530"/>
        <s v="EMP2531"/>
        <s v="EMP2532"/>
        <s v="EMP2533"/>
        <s v="EMP2534"/>
        <s v="EMP2535"/>
        <s v="EMP2537"/>
        <s v="EMP2539"/>
        <s v="EMP2540"/>
        <s v="EMP2541"/>
        <s v="EMP2544"/>
        <s v="EMP2545"/>
        <s v="EMP2547"/>
        <s v="EMP2548"/>
        <s v="EMP2550"/>
        <s v="EMP2552"/>
        <s v="EMP2553"/>
        <s v="EMP2554"/>
        <s v="EMP2556"/>
        <s v="EMP2557"/>
        <s v="EMP2558"/>
        <s v="EMP2559"/>
        <s v="EMP2560"/>
        <s v="EMP2564"/>
        <s v="EMP2565"/>
        <s v="EMP2566"/>
        <s v="EMP2567"/>
        <s v="EMP2569"/>
        <s v="EMP2570"/>
        <s v="EMP2571"/>
        <s v="EMP2572"/>
        <s v="EMP2574"/>
        <s v="EMP2576"/>
        <s v="EMP2577"/>
        <s v="EMP2579"/>
        <s v="EMP2582"/>
        <s v="EMP2583"/>
        <s v="EMP2586"/>
        <s v="EMP2587"/>
        <s v="EMP2588"/>
        <s v="EMP2589"/>
        <s v="EMP2590"/>
        <s v="EMP2591"/>
        <s v="EMP2592"/>
        <s v="EMP2594"/>
        <s v="EMP2595"/>
        <s v="EMP2597"/>
        <s v="EMP2599"/>
        <s v="EMP2600"/>
        <s v="EMP2601"/>
        <s v="EMP2603"/>
        <s v="EMP2604"/>
        <s v="EMP2605"/>
        <s v="EMP2606"/>
        <s v="EMP2607"/>
        <s v="EMP2609"/>
        <s v="EMP2610"/>
        <s v="EMP2612"/>
        <s v="EMP2614"/>
        <s v="EMP2615"/>
        <s v="EMP2616"/>
        <s v="EMP2617"/>
        <s v="EMP2619"/>
        <s v="EMP2620"/>
        <s v="EMP2621"/>
        <s v="EMP2622"/>
        <s v="EMP2623"/>
        <s v="EMP2626"/>
        <s v="EMP2628"/>
        <s v="EMP2629"/>
        <s v="EMP2630"/>
        <s v="EMP2631"/>
        <s v="EMP2632"/>
        <s v="EMP2633"/>
        <s v="EMP2634"/>
        <s v="EMP2635"/>
        <s v="EMP2639"/>
        <s v="EMP2643"/>
        <s v="EMP2644"/>
        <s v="EMP2645"/>
        <s v="EMP2647"/>
        <s v="EMP2648"/>
        <s v="EMP2649"/>
        <s v="EMP2652"/>
        <s v="EMP2653"/>
        <s v="EMP2654"/>
        <s v="EMP2655"/>
        <s v="EMP2657"/>
        <s v="EMP2658"/>
        <s v="EMP2659"/>
        <s v="EMP2660"/>
        <s v="EMP2661"/>
        <s v="EMP2662"/>
        <s v="EMP2663"/>
        <s v="EMP2664"/>
        <s v="EMP2666"/>
        <s v="EMP2667"/>
        <s v="EMP2668"/>
        <s v="EMP2669"/>
        <s v="EMP2670"/>
        <s v="EMP2671"/>
        <s v="EMP2672"/>
        <s v="EMP2673"/>
        <s v="EMP2674"/>
        <s v="EMP2675"/>
        <s v="EMP2676"/>
        <s v="EMP2678"/>
        <s v="EMP2681"/>
        <s v="EMP2682"/>
        <s v="EMP2684"/>
        <s v="EMP2686"/>
        <s v="EMP2688"/>
        <s v="EMP2692"/>
        <s v="EMP2693"/>
        <s v="EMP2694"/>
        <s v="EMP2697"/>
        <s v="EMP2698"/>
        <s v="EMP2700"/>
        <s v="EMP2702"/>
        <s v="EMP2704"/>
        <s v="EMP2705"/>
        <s v="EMP2706"/>
        <s v="EMP2707"/>
        <s v="EMP2709"/>
        <s v="EMP2710"/>
        <s v="EMP2711"/>
        <s v="EMP2714"/>
        <s v="EMP2715"/>
        <s v="EMP2718"/>
        <s v="EMP2719"/>
        <s v="EMP2720"/>
        <s v="EMP2721"/>
        <s v="EMP2722"/>
        <s v="EMP2723"/>
        <s v="EMP2724"/>
        <s v="EMP2727"/>
        <s v="EMP2728"/>
        <s v="EMP2729"/>
        <s v="EMP2730"/>
        <s v="EMP2731"/>
        <s v="EMP2733"/>
        <s v="EMP2734"/>
        <s v="EMP2735"/>
        <s v="EMP2737"/>
        <s v="EMP2738"/>
        <s v="EMP2739"/>
        <s v="EMP2740"/>
        <s v="EMP2742"/>
        <s v="EMP2744"/>
        <s v="EMP2745"/>
        <s v="EMP2746"/>
        <s v="EMP2747"/>
        <s v="EMP2748"/>
        <s v="EMP2749"/>
        <s v="EMP2750"/>
        <s v="EMP2751"/>
        <s v="EMP2752"/>
        <s v="EMP2753"/>
        <s v="EMP2754"/>
        <s v="EMP2755"/>
        <s v="EMP2758"/>
        <s v="EMP2759"/>
        <s v="EMP2760"/>
        <s v="EMP2761"/>
        <s v="EMP2762"/>
        <s v="EMP2763"/>
        <s v="EMP2764"/>
        <s v="EMP2765"/>
        <s v="EMP2766"/>
        <s v="EMP2767"/>
        <s v="EMP2768"/>
        <s v="EMP2770"/>
        <s v="EMP2771"/>
        <s v="EMP2773"/>
        <s v="EMP2774"/>
        <s v="EMP2775"/>
        <s v="EMP2776"/>
        <s v="EMP2778"/>
        <s v="EMP2780"/>
        <s v="EMP2781"/>
        <s v="EMP2785"/>
        <s v="EMP2786"/>
        <s v="EMP2787"/>
        <s v="EMP2788"/>
        <s v="EMP2789"/>
        <s v="EMP2790"/>
        <s v="EMP2792"/>
        <s v="EMP2793"/>
        <s v="EMP2794"/>
        <s v="EMP2795"/>
        <s v="EMP2797"/>
        <s v="EMP2799"/>
        <s v="EMP2801"/>
        <s v="EMP2803"/>
        <s v="EMP2804"/>
        <s v="EMP2805"/>
        <s v="EMP2806"/>
        <s v="EMP2807"/>
        <s v="EMP2808"/>
        <s v="EMP2809"/>
        <s v="EMP2810"/>
        <s v="EMP2812"/>
        <s v="EMP2813"/>
        <s v="EMP2814"/>
        <s v="EMP2815"/>
        <s v="EMP2816"/>
        <s v="EMP2818"/>
        <s v="EMP2820"/>
        <s v="EMP2821"/>
        <s v="EMP2822"/>
        <s v="EMP2823"/>
        <s v="EMP2824"/>
        <s v="EMP2825"/>
        <s v="EMP2826"/>
        <s v="EMP2829"/>
        <s v="EMP2831"/>
        <s v="EMP2832"/>
        <s v="EMP2833"/>
        <s v="EMP2834"/>
        <s v="EMP2836"/>
        <s v="EMP2837"/>
        <s v="EMP2840"/>
        <s v="EMP2842"/>
        <s v="EMP2843"/>
        <s v="EMP2847"/>
        <s v="EMP2849"/>
        <s v="EMP2850"/>
        <s v="EMP2851"/>
        <s v="EMP2852"/>
        <s v="EMP2853"/>
        <s v="EMP2855"/>
        <s v="EMP2856"/>
        <s v="EMP2857"/>
        <s v="EMP2858"/>
        <s v="EMP2859"/>
        <s v="EMP2860"/>
        <s v="EMP2861"/>
        <s v="EMP2863"/>
        <s v="EMP2864"/>
        <s v="EMP2865"/>
        <s v="EMP2866"/>
        <s v="EMP2867"/>
        <s v="EMP2868"/>
        <s v="EMP2869"/>
        <s v="EMP2870"/>
        <s v="EMP2872"/>
        <s v="EMP2873"/>
        <s v="EMP2874"/>
        <s v="EMP2875"/>
        <s v="EMP2876"/>
        <s v="EMP2877"/>
        <s v="EMP2878"/>
        <s v="EMP2880"/>
        <s v="EMP2882"/>
        <s v="EMP2883"/>
        <s v="EMP2884"/>
        <s v="EMP2889"/>
        <s v="EMP2892"/>
      </sharedItems>
    </cacheField>
    <cacheField name="Employee Name" numFmtId="0">
      <sharedItems count="1291">
        <s v="Anvi Rama"/>
        <s v="Zeeshan Bali"/>
        <s v="Akarsh Shanker"/>
        <s v="Aaryahi Kaur"/>
        <s v="Aaryahi Ray"/>
        <s v="Sahil Khalsa"/>
        <s v="Shaan Mani"/>
        <s v="Yuvraj  Rout"/>
        <s v="Anay Kothari"/>
        <s v="Amani Manda"/>
        <s v="Azad Trivedi"/>
        <s v="Kaira Shukla"/>
        <s v="Khushi Viswanathan"/>
        <s v="Hrishita Sachar"/>
        <s v="Kanav Kulkarni"/>
        <s v="Jivin Acharya"/>
        <s v="Samiha Bansal"/>
        <s v="Divit Dixit"/>
        <s v="Mishti Das"/>
        <s v="Eshani Swamy"/>
        <s v="Rati Gulati"/>
        <s v="Rohan Deol"/>
        <s v="Priyansh Deo"/>
        <s v="Pranay Desai"/>
        <s v="Pari Butala"/>
        <s v="Damini Sunder"/>
        <s v="Rasha Srinivasan"/>
        <s v="Baiju Buch"/>
        <s v="Urvi Bakshi"/>
        <s v="Trisha Singh"/>
        <s v="Indranil Chaudhuri"/>
        <s v="Sumer Brar"/>
        <s v="Miraan Sura"/>
        <s v="Divij Deo"/>
        <s v="Biju Rau"/>
        <s v="Hridaan Seth"/>
        <s v="Piya Kakar"/>
        <s v="Mahika Mannan"/>
        <s v="Tushar Thaman"/>
        <s v="Ela Comar"/>
        <s v="Mehul Banerjee"/>
        <s v="Hridaan Tank"/>
        <s v="Taimur Sankaran"/>
        <s v="Fateh Rana"/>
        <s v="Emir Agarwal"/>
        <s v="Biju Buch"/>
        <s v="Rania Deshmukh"/>
        <s v="Ivan Dhawan"/>
        <s v="Ehsaan Mangal"/>
        <s v="Damini Khosla"/>
        <s v="Lavanya Kadakia"/>
        <s v="Raghav Dyal"/>
        <s v="Badal Lalla"/>
        <s v="Yasmin Ben"/>
        <s v="Charvi Bora"/>
        <s v="Aaina Subramanian"/>
        <s v="Riya Gole"/>
        <s v="Suhana Srinivasan"/>
        <s v="Nakul Chowdhury"/>
        <s v="Jiya Mani"/>
        <s v="Vidur Choudhary"/>
        <s v="Zeeshan Sachar"/>
        <s v="Tejas Badal"/>
        <s v="Dharmajan Hayre"/>
        <s v="Ishaan Sabharwal"/>
        <s v="Shray Gala"/>
        <s v="Bhamini Anand"/>
        <s v="Ishaan Chaudry"/>
        <s v="Inaaya  Mallick"/>
        <s v="Emir Aggarwal"/>
        <s v="Dhanush Vohra"/>
        <s v="Kabir Tata"/>
        <s v="Alia Zacharia"/>
        <s v="Hiran Lad"/>
        <s v="Kanav Singhal"/>
        <s v="Urvi Lata"/>
        <s v="Tarini Bahl"/>
        <s v="Dhruv Randhawa"/>
        <s v="Jhanvi Keer"/>
        <s v="Madhup Wali"/>
        <s v="Vivaan Venkataraman"/>
        <s v="Manjari Mangal"/>
        <s v="Vritika Gupta"/>
        <s v="Dhanush Handa"/>
        <s v="Pranay Khalsa"/>
        <s v="Miraan Dar"/>
        <s v="Samaira Jayaraman"/>
        <s v="Manikya Kanda"/>
        <s v="Navya Rau"/>
        <s v="Kartik Bakshi"/>
        <s v="Zara Kannan"/>
        <s v="Armaan Mall"/>
        <s v="Veer Gara"/>
        <s v="Jiya Kashyap"/>
        <s v="Nitara Sood"/>
        <s v="Akarsh Lala"/>
        <s v="Kiaan Lall"/>
        <s v="Oorja Bahri"/>
        <s v="Keya Kaur"/>
        <s v="Kabir Bawa"/>
        <s v="Nirvaan Varma"/>
        <s v="Khushi Srinivasan"/>
        <s v="Shanaya Chakraborty"/>
        <s v="Ishaan Sekhon"/>
        <s v="Priyansh Vaidya"/>
        <s v="Riya Rajan"/>
        <s v="Anay Madan"/>
        <s v="Charvi Kumer"/>
        <s v="Sana Dalal"/>
        <s v="Kabir Desai"/>
        <s v="Azad Vohra"/>
        <s v="Miraya Krishnamurthy"/>
        <s v="Manjari Ranganathan"/>
        <s v="Aaryahi Bir"/>
        <s v="Vihaan Vohra"/>
        <s v="Adira Wagle"/>
        <s v="Tarini Saran"/>
        <s v="Abram Doctor"/>
        <s v="Nayantara Kumer"/>
        <s v="Tiya Mangal"/>
        <s v="Vedika Suri"/>
        <s v="Kanav Trivedi"/>
        <s v="Stuvan Sarna"/>
        <s v="Vivaan Chacko"/>
        <s v="Vanya Ramesh"/>
        <s v="Rasha Kulkarni"/>
        <s v="Khushi Wagle"/>
        <s v="Zeeshan Dar"/>
        <s v="Hunar Apte"/>
        <s v="Divit Doshi"/>
        <s v="Faiyaz Bhavsar"/>
        <s v="Madhup Rajagopal"/>
        <s v="Ahana  Ramanathan"/>
        <s v="Pihu Kota"/>
        <s v="Zain Dasgupta"/>
        <s v="Indrajit Barad"/>
        <s v="Aaina Rajagopalan"/>
        <s v="Saksham Kata"/>
        <s v="Biju Reddy"/>
        <s v="Onkar Tata"/>
        <s v="Adah Bobal"/>
        <s v="Aaryahi Sarin"/>
        <s v="Nirvi Chander"/>
        <s v="Zoya Taneja"/>
        <s v="Yakshit Wali"/>
        <s v="Anay Bora"/>
        <s v="Shray Barad"/>
        <s v="Kashvi Lanka"/>
        <s v="Ojas Ben"/>
        <s v="Kashvi Viswanathan"/>
        <s v="Abram Varty"/>
        <s v="Arnav Sheth"/>
        <s v="Aarav Talwar"/>
        <s v="Suhana Chand"/>
        <s v="Bhamini Choudhary"/>
        <s v="Jiya Tiwari"/>
        <s v="Fateh Din"/>
        <s v="Hansh Choudhary"/>
        <s v="Adira Bakshi"/>
        <s v="Navya Sehgal"/>
        <s v="Pari Saran"/>
        <s v="Parinaaz Mander"/>
        <s v="Rati Borra"/>
        <s v="Urvi Dani"/>
        <s v="Pari Halder"/>
        <s v="Bhavin Mahal"/>
        <s v="Divij Bobal"/>
        <s v="Navya Dhingra"/>
        <s v="Hiran Sem"/>
        <s v="Alia Singh"/>
        <s v="Raghav Sheth"/>
        <s v="Mamooty Baria"/>
        <s v="Drishya Deo"/>
        <s v="Sumer Sodhi"/>
        <s v="Advika Bakshi"/>
        <s v="Zoya Chhabra"/>
        <s v="Faiyaz Sama"/>
        <s v="Devansh Kapoor"/>
        <s v="Nakul Venkataraman"/>
        <s v="Sana Kalla"/>
        <s v="Anaya Soman"/>
        <s v="Madhav Srivastava"/>
        <s v="Shlok Shetty"/>
        <s v="Adira Aggarwal"/>
        <s v="Kanav Talwar"/>
        <s v="Krish Sachdev"/>
        <s v="Mamooty Kohli"/>
        <s v="Azad Arya"/>
        <s v="Sara Upadhyay"/>
        <s v="Dharmajan Jha"/>
        <s v="Prisha Sundaram"/>
        <s v="Myra Bhakta"/>
        <s v="Taimur Dora"/>
        <s v="Yakshit Chaudhuri"/>
        <s v="Alisha Sule"/>
        <s v="Himmat Wali"/>
        <s v="Manikya Issac"/>
        <s v="Suhana Kala"/>
        <s v="Mannat Dubey"/>
        <s v="Anahita Rama"/>
        <s v="Reyansh Ahuja"/>
        <s v="Reyansh Boase"/>
        <s v="Rasha Gole"/>
        <s v="Anika Loke"/>
        <s v="Aradhya Master"/>
        <s v="Zoya Sehgal"/>
        <s v="Jivin Raval"/>
        <s v="Kiaan Seth"/>
        <s v="Mamooty Rao"/>
        <s v="Manikya Sha"/>
        <s v="Divij Som"/>
        <s v="Kabir Wali"/>
        <s v="Eva Kapoor"/>
        <s v="Eva Rastogi"/>
        <s v="Stuvan Wadhwa"/>
        <s v="Samarth Khalsa"/>
        <s v="Amani Dave"/>
        <s v="Jayesh Sandal"/>
        <s v="Aradhya Saxena"/>
        <s v="Shanaya Reddy"/>
        <s v="Jayan Rajagopalan"/>
        <s v="Nakul Khatri"/>
        <s v="Rania Shetty"/>
        <s v="Piya Varty"/>
        <s v="Purab Sodhi"/>
        <s v="Rasha Krish"/>
        <s v="Elakshi Mahal"/>
        <s v="Vritika Kapur"/>
        <s v="Alia Sood"/>
        <s v="Zaina Rau"/>
        <s v="Aarush Varma"/>
        <s v="Shlok Dewan"/>
        <s v="Vardaniya Viswanathan"/>
        <s v="Damini Dua"/>
        <s v="Akarsh Srinivas"/>
        <s v="Indrajit Sarna"/>
        <s v="Himmat Ramesh"/>
        <s v="Ranbir Atwal"/>
        <s v="Kartik Sani"/>
        <s v="Gokul Sachdev"/>
        <s v="Saanvi D’Alia"/>
        <s v="Jayesh Mallick"/>
        <s v="Baiju Balakrishnan"/>
        <s v="Yuvaan Venkataraman"/>
        <s v="Ivan Tara"/>
        <s v="Bhavin Buch"/>
        <s v="Dhruv Grover"/>
        <s v="Aayush Sachdeva"/>
        <s v="Pihu Bose"/>
        <s v="Nakul Raman"/>
        <s v="Advika Tank"/>
        <s v="Dhruv Ramesh"/>
        <s v="Zain Yohannan"/>
        <s v="Ela Mall"/>
        <s v="Vanya Toor"/>
        <s v="Kiaan Dass"/>
        <s v="Advik Choudhury"/>
        <s v="Zaina Gulati"/>
        <s v="Mishti Saxena"/>
        <s v="Shanaya Gill"/>
        <s v="Misha Raju"/>
        <s v="Abram Chauhan"/>
        <s v="Nitya Mahajan"/>
        <s v="Neelofar Viswanathan"/>
        <s v="Romil Ghosh"/>
        <s v="Pari Manda"/>
        <s v="Miraya Bandi"/>
        <s v="Mehul Arora"/>
        <s v="Ayesha Raju"/>
        <s v="Inaaya  Deshmukh"/>
        <s v="Lavanya Baral"/>
        <s v="Akarsh Atwal"/>
        <s v="Neysa Bali"/>
        <s v="Shray Loyal"/>
        <s v="Samaira Kamdar"/>
        <s v="Advika Tara"/>
        <s v="Zain Sawhney"/>
        <s v="Dhanush Singh"/>
        <s v="Saksham Chaudhry"/>
        <s v="Veer Sengupta"/>
        <s v="Nitara Dixit"/>
        <s v="Nitara Bumb"/>
        <s v="Rania Varghese"/>
        <s v="Anay Som"/>
        <s v="Nitara Dara"/>
        <s v="Reyansh Chowdhury"/>
        <s v="Zara Sur"/>
        <s v="Tanya Tripathi"/>
        <s v="Nirvaan Ramakrishnan"/>
        <s v="Pihu Sunder"/>
        <s v="Adira Kapur"/>
        <s v="Saksham Balakrishnan"/>
        <s v="Vihaan Bir"/>
        <s v="Zoya Sundaram"/>
        <s v="Sana Saini"/>
        <s v="Ela Bhargava"/>
        <s v="Ayesha Saini"/>
        <s v="Urvi Chander"/>
        <s v="Suhana Krishnamurthy"/>
        <s v="Lakshay Bera"/>
        <s v="Shaan Jhaveri"/>
        <s v="Raunak Datta"/>
        <s v="Jivin Buch"/>
        <s v="Badal Lala"/>
        <s v="Jivin Kaul"/>
        <s v="Mahika Sood"/>
        <s v="Reyansh Mangat"/>
        <s v="Jayant Dayal"/>
        <s v="Akarsh Doctor"/>
        <s v="Sahil Trivedi"/>
        <s v="Stuvan Gill"/>
        <s v="Zain Raman"/>
        <s v="Advika Doctor"/>
        <s v="Adira Shankar"/>
        <s v="Akarsh Ramesh"/>
        <s v="Urvi Chauhan"/>
        <s v="Zoya Reddy"/>
        <s v="Sahil Hayre"/>
        <s v="Kaira Balasubramanian"/>
        <s v="Lakshay Bhagat"/>
        <s v="Manjari Wable"/>
        <s v="Hunar Choudhary"/>
        <s v="Zoya Jha"/>
        <s v="Mehul Keer"/>
        <s v="Keya Ranganathan"/>
        <s v="Aaina Varma"/>
        <s v="Mamooty Edwin"/>
        <s v="Darshit Madan"/>
        <s v="Sumer Tata"/>
        <s v="Azad Shah"/>
        <s v="Taran Chaudhry"/>
        <s v="Amani Tailor"/>
        <s v="Adira Dalal"/>
        <s v="Pihu Apte"/>
        <s v="Adah Joshi"/>
        <s v="Indranil Khanna"/>
        <s v="Divij Dixit"/>
        <s v="Vihaan Sami"/>
        <s v="Diya Sidhu"/>
        <s v="Aayush Dasgupta"/>
        <s v="Taran Gopal"/>
        <s v="Ira Som"/>
        <s v="Lakshay Maharaj"/>
        <s v="Shaan Venkatesh"/>
        <s v="Pranay Chaudhari"/>
        <s v="Rati Banik"/>
        <s v="Hunar Bahri"/>
        <s v="Lakshit Dixit"/>
        <s v="Kartik Thaker"/>
        <s v="Jayan Dara"/>
        <s v="Jivika Seshadri"/>
        <s v="Siya Dhaliwal"/>
        <s v="Vritika Thaker"/>
        <s v="Umang Lalla"/>
        <s v="Heer Chowdhury"/>
        <s v="Misha Gaba"/>
        <s v="Yasmin Khatri"/>
        <s v="Eshani Rajagopalan"/>
        <s v="Romil Saha"/>
        <s v="Arnav Bains"/>
        <s v="Lakshay Som"/>
        <s v="Alia Kanda"/>
        <s v="Yuvraj  Dalal"/>
        <s v="Kimaya Subramaniam"/>
        <s v="Hrishita Kuruvilla"/>
        <s v="Anya Samra"/>
        <s v="Onkar Chauhan"/>
        <s v="Ryan Dewan"/>
        <s v="Samarth Dayal"/>
        <s v="Biju Sanghvi"/>
        <s v="Saksham Bahl"/>
        <s v="Mishti Sinha"/>
        <s v="Rohan Bora"/>
        <s v="Priyansh Uppal"/>
        <s v="Samar Handa"/>
        <s v="Jivin Krishnamurthy"/>
        <s v="Alia Gour"/>
        <s v="Zeeshan Arya"/>
        <s v="Sahil Samra"/>
        <s v="Riaan Balay"/>
        <s v="Renee Chokshi"/>
        <s v="Vardaniya Badami"/>
        <s v="Priyansh Dugar"/>
        <s v="Lavanya Zacharia"/>
        <s v="Renee Swaminathan"/>
        <s v="Prerak Sahota"/>
        <s v="Nirvi Chand"/>
        <s v="Amani Bajaj"/>
        <s v="Amani Kari"/>
        <s v="Hunar Kar"/>
        <s v="Zoya Warrior"/>
        <s v="Kismat Kothari"/>
        <s v="Divit Kala"/>
        <s v="Rasha Sachdeva"/>
        <s v="Samarth Kannan"/>
        <s v="Anahi Sood"/>
        <s v="Rati Badami"/>
        <s v="Onkar Bora"/>
        <s v="Kiara Chakrabarti"/>
        <s v="Jhanvi Kamdar"/>
        <s v="Dhanush Ramanathan"/>
        <s v="Kaira Saran"/>
        <s v="Dhruv Handa"/>
        <s v="Yashvi Saran"/>
        <s v="Ira Bains"/>
        <s v="Aaina Ghosh"/>
        <s v="Bhavin Ahluwalia"/>
        <s v="Khushi Sood"/>
        <s v="Shlok Bora"/>
        <s v="Vardaniya Raj"/>
        <s v="Hrishita Bassi"/>
        <s v="Mahika Ahluwalia"/>
        <s v="Miraan Jha"/>
        <s v="Drishya Khosla"/>
        <s v="Zain Banerjee"/>
        <s v="Sana Bail"/>
        <s v="Alia Andra"/>
        <s v="Vritika Handa"/>
        <s v="Jivin Chaudry"/>
        <s v="Anahita Verma"/>
        <s v="Sahil Hayer"/>
        <s v="Devansh Sibal"/>
        <s v="Ritvik Chopra"/>
        <s v="Amira Lanka"/>
        <s v="Aaryahi Vyas"/>
        <s v="Kimaya Bera"/>
        <s v="Bhavin Vasa"/>
        <s v="Riya Sen"/>
        <s v="Hrishita Dewan"/>
        <s v="Aniruddh Madan"/>
        <s v="Tarini Swaminathan"/>
        <s v="Arnav Khalsa"/>
        <s v="Vaibhav Vora"/>
        <s v="Aniruddh Taneja"/>
        <s v="Charvi Srivastava"/>
        <s v="Eva Shah"/>
        <s v="Samarth Bhat"/>
        <s v="Raghav Koshy"/>
        <s v="Seher Tak"/>
        <s v="Shayak Raman"/>
        <s v="Amani Goswami"/>
        <s v="Nehmat Kala"/>
        <s v="Tara Ratta"/>
        <s v="Jayant Ranganathan"/>
        <s v="Mohanlal Kaur"/>
        <s v="Aayush Khosla"/>
        <s v="Vivaan Tella"/>
        <s v="Stuvan Raval"/>
        <s v="Dhanuk Toor"/>
        <s v="Ryan Datta"/>
        <s v="Anya Kibe"/>
        <s v="Aaryahi Kalla"/>
        <s v="Urvi Mandal"/>
        <s v="Aarush Acharya"/>
        <s v="Alia Lala"/>
        <s v="Shlok Bhalla"/>
        <s v="Advika Rao"/>
        <s v="Riaan Jhaveri"/>
        <s v="Jayant Gade"/>
        <s v="Lagan Mahajan"/>
        <s v="Stuvan Grewal"/>
        <s v="Shray Acharya"/>
        <s v="Sahil Venkataraman"/>
        <s v="Rania Khosla"/>
        <s v="Ira Suri"/>
        <s v="Zain Hayer"/>
        <s v="Kartik Bora"/>
        <s v="Nakul Som"/>
        <s v="Taran Wali"/>
        <s v="Diya Venkatesh"/>
        <s v="Krish Manda"/>
        <s v="Ritvik Reddy"/>
        <s v="Misha Wadhwa"/>
        <s v="Nirvi Bhandari"/>
        <s v="Anika Mannan"/>
        <s v="Bhavin Apte"/>
        <s v="Parinaaz Ranganathan"/>
        <s v="Indranil Iyengar"/>
        <s v="Ira Sankaran"/>
        <s v="Shlok Kale"/>
        <s v="Hansh Sha"/>
        <s v="Armaan Kapur"/>
        <s v="Keya Ramachandran"/>
        <s v="Zara Sharaf"/>
        <s v="Madhav Lal"/>
        <s v="Ahana  Chacko"/>
        <s v="Diya Singhal"/>
        <s v="Rania Sastry"/>
        <s v="Baiju Yohannan"/>
        <s v="Yuvaan Bava"/>
        <s v="Prisha Chadha"/>
        <s v="Ela Anne"/>
        <s v="Umang Dey"/>
        <s v="Misha Sahota"/>
        <s v="Aayush Sawhney"/>
        <s v="Reyansh Brar"/>
        <s v="Krish Trivedi"/>
        <s v="Purab Kanda"/>
        <s v="Jayant Bhatia"/>
        <s v="Riya Dube"/>
        <s v="Dhruv Chokshi"/>
        <s v="Divit Char"/>
        <s v="Vedika Ahluwalia"/>
        <s v="Bhamini Choudhry"/>
        <s v="Rati Gaba"/>
        <s v="Prisha Sharaf"/>
        <s v="Vihaan Gandhi"/>
        <s v="Taran Chaudhary"/>
        <s v="Heer Ramesh"/>
        <s v="Nayantara Jha"/>
        <s v="Vedika Tiwari"/>
        <s v="Anahita Sarraf"/>
        <s v="Nishith Sinha"/>
        <s v="Shanaya Chacko"/>
        <s v="Saira Mani"/>
        <s v="Anvi Shere"/>
        <s v="Dhanuk Devan"/>
        <s v="Bhavin Wali"/>
        <s v="Ranbir Devi"/>
        <s v="Trisha Sheth"/>
        <s v="Ahana  Edwin"/>
        <s v="Vivaan Bhakta"/>
        <s v="Mahika Uppal"/>
        <s v="Rhea Arya"/>
        <s v="Bhamini Ganguly"/>
        <s v="Riaan Vora"/>
        <s v="Jhanvi Wagle"/>
        <s v="Ryan Chhabra"/>
        <s v="Mannat Ahluwalia"/>
        <s v="Farhan Majumdar"/>
        <s v="Jayan Garg"/>
        <s v="Shray Kanda"/>
        <s v="Divyansh Kala"/>
        <s v="Samiha Sangha"/>
        <s v="Adah Gokhale"/>
        <s v="Khushi Borra"/>
        <s v="Biju Roy"/>
        <s v="Ishaan Handa"/>
        <s v="Nehmat Bajwa"/>
        <s v="Neysa Jha"/>
        <s v="Taimur Saxena"/>
        <s v="Yuvraj  Mammen"/>
        <s v="Heer Boase"/>
        <s v="Azad Tailor"/>
        <s v="Anvi Karpe"/>
        <s v="Riaan Sheth"/>
        <s v="Aaryahi Goel"/>
        <s v="Stuvan Dalal"/>
        <s v="Myra Shah"/>
        <s v="Biju Baral"/>
        <s v="Miraya Dyal"/>
        <s v="Hrishita Edwin"/>
        <s v="Manikya Balasubramanian"/>
        <s v="Krish Dhillon"/>
        <s v="Himmat Brar"/>
        <s v="Kavya Khalsa"/>
        <s v="Divit Lalla"/>
        <s v="Ehsaan Mandal"/>
        <s v="Tara Bhakta"/>
        <s v="Raghav Mann"/>
        <s v="Nayantara Sarkar"/>
        <s v="Raunak Soni"/>
        <s v="Trisha Sood"/>
        <s v="Siya Mannan"/>
        <s v="Hridaan Badal"/>
        <s v="Indrajit Madan"/>
        <s v="Jivin Cherian"/>
        <s v="Taran Hegde"/>
        <s v="Rohan Raj"/>
        <s v="Chirag Wali"/>
        <s v="Drishya Varkey"/>
        <s v="Kavya Kalla"/>
        <s v="Samarth Din"/>
        <s v="Prerak Wali"/>
        <s v="Prerak Agarwal"/>
        <s v="Hunar Basak"/>
        <s v="Rohan Keer"/>
        <s v="Adah Bir"/>
        <s v="Amira Bir"/>
        <s v="Saksham Srivastava"/>
        <s v="Kaira Jayaraman"/>
        <s v="Lagan Char"/>
        <s v="Alisha Cheema"/>
        <s v="Raunak Chandra"/>
        <s v="Rati Tella"/>
        <s v="Akarsh Bali"/>
        <s v="Jivin Kashyap"/>
        <s v="Charvi Agate"/>
        <s v="Seher Tailor"/>
        <s v="Jayant Tak"/>
        <s v="Emir Solanki"/>
        <s v="Saanvi Bakshi"/>
        <s v="Ranbir Singh"/>
        <s v="Kartik Andra"/>
        <s v="Jayant Manne"/>
        <s v="Vedika Mane"/>
        <s v="Eva Deshpande"/>
        <s v="Anahita Chaudhary"/>
        <s v="Divyansh Chad"/>
        <s v="Eva Dave"/>
        <s v="Drishya Sengupta"/>
        <s v="Adah Gera"/>
        <s v="Shlok Zacharia"/>
        <s v="Seher Sankar"/>
        <s v="Dharmajan Sunder"/>
        <s v="Eshani Issac"/>
        <s v="Kavya Choudhury"/>
        <s v="Chirag Konda"/>
        <s v="Ishaan Dani"/>
        <s v="Zara Korpal"/>
        <s v="Akarsh Dar"/>
        <s v="Saira Joshi"/>
        <s v="Manjari Wason"/>
        <s v="Uthkarsh Doctor"/>
        <s v="Nirvi Behl"/>
        <s v="Badal Raval"/>
        <s v="Ahana  Hayer"/>
        <s v="Armaan Babu"/>
        <s v="Manikya Barad"/>
        <s v="Abram Singh"/>
        <s v="Hunar Kanda"/>
        <s v="Pranay Rege"/>
        <s v="Samiha Shenoy"/>
        <s v="Arnav Rege"/>
        <s v="Ivana Yogi"/>
        <s v="Ira Kar"/>
        <s v="Rania Andra"/>
        <s v="Zoya Apte"/>
        <s v="Kabir Mallick"/>
        <s v="Rohan Dalal"/>
        <s v="Devansh Thaker"/>
        <s v="Navya Grewal"/>
        <s v="Shalv Kakar"/>
        <s v="Ayesha Kari"/>
        <s v="Vritika Sachar"/>
        <s v="Amira Kapur"/>
        <s v="Neelofar Lall"/>
        <s v="Zain Sankaran"/>
        <s v="Gokul Seshadri"/>
        <s v="Shaan Buch"/>
        <s v="Shlok Brar"/>
        <s v="Biju Borah"/>
        <s v="Anika Kaur"/>
        <s v="Vivaan Bhattacharyya"/>
        <s v="Indrajit Chatterjee"/>
        <s v="Ivana Joshi"/>
        <s v="Anika Goswami"/>
        <s v="Hunar Wason"/>
        <s v="Mishti Sane"/>
        <s v="Lakshit Venkatesh"/>
        <s v="Ritvik Babu"/>
        <s v="Aniruddh Karan"/>
        <s v="Tarini Chaudhry"/>
        <s v="Yasmin Wali"/>
        <s v="Parinaaz Sura"/>
        <s v="Jhanvi Thaker"/>
        <s v="Miraya Kulkarni"/>
        <s v="Vidur Srinivas"/>
        <s v="Ayesha Mani"/>
        <s v="Ahana  Krishnamurthy"/>
        <s v="Shamik Yohannan"/>
        <s v="Aarav Golla"/>
        <s v="Alia Arya"/>
        <s v="Farhan Sule"/>
        <s v="Ela Walla"/>
        <s v="Arnav Kant"/>
        <s v="Kabir Chaudry"/>
        <s v="Ela Devan"/>
        <s v="Jiya Tailor"/>
        <s v="Kabir Vyas"/>
        <s v="Ishita Gokhale"/>
        <s v="Jiya Ramanathan"/>
        <s v="Kashvi Mand"/>
        <s v="Shaan Krishnan"/>
        <s v="Riaan Khatri"/>
        <s v="Ojas Dua"/>
        <s v="Aayush Sur"/>
        <s v="Arnav Kade"/>
        <s v="Pihu Sahota"/>
        <s v="Raunak Subramanian"/>
        <s v="Rania Sangha"/>
        <s v="Zeeshan Majumdar"/>
        <s v="Onkar Kapoor"/>
        <s v="Onkar Mangal"/>
        <s v="Sumer Sekhon"/>
        <s v="Stuvan Samra"/>
        <s v="Anahita Kunda"/>
        <s v="Mamooty Swamy"/>
        <s v="Devansh Raval"/>
        <s v="Myra Krishnamurthy"/>
        <s v="Kiara Tak"/>
        <s v="Hridaan Kanda"/>
        <s v="Adira Sachar"/>
        <s v="Jiya Bath"/>
        <s v="Uthkarsh Divan"/>
        <s v="Shayak Kothari"/>
        <s v="Shamik Butala"/>
        <s v="Shanaya Sankaran"/>
        <s v="Kiaan Wadhwa"/>
        <s v="Biju Gulati"/>
        <s v="Alisha Wable"/>
        <s v="Neelofar De"/>
        <s v="Kashvi Tripathi"/>
        <s v="Stuvan Mallick"/>
        <s v="Nishith Basu"/>
        <s v="Yashvi Bose"/>
        <s v="Zara Sangha"/>
        <s v="Oorja Tripathi"/>
        <s v="Mahika Anne"/>
        <s v="Divij Talwar"/>
        <s v="Nirvi Sankar"/>
        <s v="Chirag Gokhale"/>
        <s v="Taimur Mammen"/>
        <s v="Tanya Sama"/>
        <s v="Himmat Chada"/>
        <s v="Adira Gole"/>
        <s v="Ivan Babu"/>
        <s v="Reyansh Rau"/>
        <s v="Divyansh Sha"/>
        <s v="Dhruv Singhal"/>
        <s v="Tarini Dutta"/>
        <s v="Advika Sachdeva"/>
        <s v="Tejas Kota"/>
        <s v="Aarav Tella"/>
        <s v="Tara Ramanathan"/>
        <s v="Aarav Din"/>
        <s v="Elakshi Kurian"/>
        <s v="Ryan Sahni"/>
        <s v="Jivin Shan"/>
        <s v="Keya Kant"/>
        <s v="Azad Bhardwaj"/>
        <s v="Jivin Vig"/>
        <s v="Ehsaan Chaudry"/>
        <s v="Mannat Badal"/>
        <s v="Tiya Wagle"/>
        <s v="Tiya Mani"/>
        <s v="Yuvaan Rao"/>
        <s v="Kiara Buch"/>
        <s v="Shamik Bhatti"/>
        <s v="Nitara Agrawal"/>
        <s v="Sara Tandon"/>
        <s v="Miraan Jhaveri"/>
        <s v="Amani Sharma"/>
        <s v="Vaibhav Kara"/>
        <s v="Shalv Behl"/>
        <s v="Trisha Chacko"/>
        <s v="Taimur Tandon"/>
        <s v="Shray Dhar"/>
        <s v="Reyansh Bansal"/>
        <s v="Raunak Khare"/>
        <s v="Shamik Lad"/>
        <s v="Darshit Soman"/>
        <s v="Darshit Rege"/>
        <s v="Rasha Bal"/>
        <s v="Vanya Dhillon"/>
        <s v="Lakshay Baria"/>
        <s v="Anika Goda"/>
        <s v="Lakshit Bandi"/>
        <s v="Prerak Sandal"/>
        <s v="Aarna Tara"/>
        <s v="Riya Babu"/>
        <s v="Umang Bawa"/>
        <s v="Nirvi Jain"/>
        <s v="Dhanush Kala"/>
        <s v="Vidur Swaminathan"/>
        <s v="Indrajit Shroff"/>
        <s v="Shayak Tak"/>
        <s v="Ehsaan Bhatt"/>
        <s v="Mishti Maharaj"/>
        <s v="Yuvraj  Sarkar"/>
        <s v="Manikya Sawhney"/>
        <s v="Ritvik Madan"/>
        <s v="Sumer Kapadia"/>
        <s v="Drishya Madan"/>
        <s v="Divyansh Gera"/>
        <s v="Shray Deol"/>
        <s v="Myra Kalla"/>
        <s v="Aayush Dhar"/>
        <s v="Baiju Sampath"/>
        <s v="Renee Chandra"/>
        <s v="Mahika Deep"/>
        <s v="Aaryahi Bala"/>
        <s v="Himmat Mammen"/>
        <s v="Taimur Chakrabarti"/>
        <s v="Taran Ravi"/>
        <s v="Navya Chokshi"/>
        <s v="Uthkarsh Bhakta"/>
        <s v="Ira Saini"/>
        <s v="Eva Warrior"/>
        <s v="Devansh Wali"/>
        <s v="Dharmajan Mander"/>
        <s v="Yashvi Gole"/>
        <s v="Elakshi Mander"/>
        <s v="Aaryahi Sethi"/>
        <s v="Tara Saxena"/>
        <s v="Shray Dhaliwal"/>
        <s v="Kaira Sarraf"/>
        <s v="Ayesha Gera"/>
        <s v="Riaan Grover"/>
        <s v="Yuvaan Sridhar"/>
        <s v="Hiran Choudhry"/>
        <s v="Damini Kannan"/>
        <s v="Anya Tak"/>
        <s v="Lakshay Sarin"/>
        <s v="Nishith Dugal"/>
        <s v="Vritika Ramachandran"/>
        <s v="Aaryahi Aggarwal"/>
        <s v="Arnav Andra"/>
        <s v="Diya Ganesh"/>
        <s v="Dhruv Datta"/>
        <s v="Zara Subramanian"/>
        <s v="Madhup Thakkar"/>
        <s v="Vihaan Subramaniam"/>
        <s v="Mannat Thakur"/>
        <s v="Arhaan Ratta"/>
        <s v="Vedika Divan"/>
        <s v="Jayesh Bansal"/>
        <s v="Prisha Ahluwalia"/>
        <s v="Mannat Vyas"/>
        <s v="Aniruddh Kanda"/>
        <s v="Shayak Bhattacharyya"/>
        <s v="Zoya Yadav"/>
        <s v="Anvi Arya"/>
        <s v="Bhavin Badal"/>
        <s v="Pranay Batra"/>
        <s v="Jayant Vora"/>
        <s v="Saanvi Khurana"/>
        <s v="Krish Borra"/>
        <s v="Dishani Iyengar"/>
        <s v="Anvi Kapoor"/>
        <s v="Veer Ravi"/>
        <s v="Shaan Badal"/>
        <s v="Myra Behl"/>
        <s v="Lagan Dixit"/>
        <s v="Divit Sandhu"/>
        <s v="Gokul Bhagat"/>
        <s v="Saanvi Bose"/>
        <s v="Hazel Kanda"/>
        <s v="Inaaya  Brahmbhatt"/>
        <s v="Priyansh Borra"/>
        <s v="Neysa Dubey"/>
        <s v="Seher Subramanian"/>
        <s v="Lagan Kannan"/>
        <s v="Aarav Chadha"/>
        <s v="Aarna Deshpande"/>
        <s v="Lakshay Keer"/>
        <s v="Krish Chatterjee"/>
        <s v="Suhana Dhar"/>
        <s v="Shaan Borra"/>
        <s v="Abram Sangha"/>
        <s v="Jayan Kapoor"/>
        <s v="Khushi Dutta"/>
        <s v="Lakshit Sunder"/>
        <s v="Gokul Gole"/>
        <s v="Ishita Shan"/>
        <s v="Onkar Shan"/>
        <s v="Nishith Yadav"/>
        <s v="Taimur Swaminathan"/>
        <s v="Ira Desai"/>
        <s v="Zeeshan Thaman"/>
        <s v="Manjari Ravi"/>
        <s v="Alia Sha"/>
        <s v="Lakshit Kunda"/>
        <s v="Amira Kibe"/>
        <s v="Suhana Ghosh"/>
        <s v="Ehsaan Lala"/>
        <s v="Prerak Dugar"/>
        <s v="Badal Verma"/>
        <s v="Rohan Ghosh"/>
        <s v="Dhanush Gala"/>
        <s v="Pari Badami"/>
        <s v="Rasha Sahni"/>
        <s v="Amani Loke"/>
        <s v="Mannat Tara"/>
        <s v="Shanaya Buch"/>
        <s v="Jhanvi Dugal"/>
        <s v="Kismat Mandal"/>
        <s v="Dhruv Ramachandran"/>
        <s v="Vihaan Deshmukh"/>
        <s v="Baiju Lata"/>
        <s v="Raghav Deo"/>
        <s v="Samar Kuruvilla"/>
        <s v="Raghav Mangal"/>
        <s v="Kartik Dave"/>
        <s v="Renee Dhar"/>
        <s v="Aradhya Suri"/>
        <s v="Fateh Ganesan"/>
        <s v="Mehul Lad"/>
        <s v="Aradhya Behl"/>
        <s v="Bhamini Ranganathan"/>
        <s v="Jayesh Master"/>
        <s v="Arnav Tailor"/>
        <s v="Aarav Bassi"/>
        <s v="Zain Vala"/>
        <s v="Anvi Kade"/>
        <s v="Aarna Loyal"/>
        <s v="Jayant Thakur"/>
        <s v="Vivaan Dasgupta"/>
        <s v="Raghav Dube"/>
        <s v="Saanvi Shetty"/>
        <s v="Riaan Mangat"/>
        <s v="Saira Boase"/>
        <s v="Divit Samra"/>
        <s v="Yuvaan Madan"/>
        <s v="Kiara Dua"/>
        <s v="Manikya Bhatia"/>
        <s v="Arhaan Kashyap"/>
        <s v="Tarini Bhavsar"/>
        <s v="Manjari Toor"/>
        <s v="Reyansh Hora"/>
        <s v="Aaina Master"/>
        <s v="Kartik Arora"/>
        <s v="Bhavin Mand"/>
        <s v="Urvi Viswanathan"/>
        <s v="Stuvan Dutt"/>
        <s v="Aarush Loyal"/>
        <s v="Aradhya Rout"/>
        <s v="Akarsh Kalita"/>
        <s v="Gokul Lad"/>
        <s v="Zain Hans"/>
        <s v="Umang Behl"/>
        <s v="Tarini Chada"/>
        <s v="Ranbir Majumdar"/>
        <s v="Hunar Malhotra"/>
        <s v="Elakshi Hayer"/>
        <s v="Anay Sanghvi"/>
        <s v="Zaina Dave"/>
        <s v="Pihu Banerjee"/>
        <s v="Prerak Tara"/>
        <s v="Misha Sen"/>
        <s v="Amani Bhasin"/>
        <s v="Jivin Walia"/>
        <s v="Adah Lal"/>
        <s v="Kartik Kadakia"/>
        <s v="Renee Lall"/>
        <s v="Devansh Dhar"/>
        <s v="Gatik Chahal"/>
        <s v="Anahita Sridhar"/>
        <s v="Yakshit Kota"/>
        <s v="Hunar Sura"/>
        <s v="Aniruddh Bajaj"/>
        <s v="Miraan Devi"/>
        <s v="Armaan Raj"/>
        <s v="Aarav Tandon"/>
        <s v="Ojas Dara"/>
        <s v="Heer Saini"/>
        <s v="Raunak Bassi"/>
        <s v="Samarth Konda"/>
        <s v="Rohan Mahajan"/>
        <s v="Manikya Magar"/>
        <s v="Jivin Saha"/>
        <s v="Sara Krish"/>
        <s v="Uthkarsh Walla"/>
        <s v="Prisha Sethi"/>
        <s v="Aaryahi Chaudhari"/>
        <s v="Anya Bajaj"/>
        <s v="Suhana Barad"/>
        <s v="Hiran Chandra"/>
        <s v="Rati Batta"/>
        <s v="Gokul Kala"/>
        <s v="Renee Dey"/>
        <s v="Azad Khalsa"/>
        <s v="Mishti Cheema"/>
        <s v="Vritika Kibe"/>
        <s v="Tanya Saran"/>
        <s v="Badal Bobal"/>
        <s v="Emir Saran"/>
        <s v="Keya Wadhwa"/>
        <s v="Chirag Das"/>
        <s v="Lavanya Goswami"/>
        <s v="Eva Saini"/>
        <s v="Shayak Varma"/>
        <s v="Bhavin Sood"/>
        <s v="Indrans Boase"/>
        <s v="Diya Dua"/>
        <s v="Uthkarsh Raju"/>
        <s v="Ela Manda"/>
        <s v="Mishti Bhavsar"/>
        <s v="Bhavin Edwin"/>
        <s v="Zeeshan Tella"/>
        <s v="Zoya Dhillon"/>
        <s v="Khushi Hora"/>
        <s v="Keya Bakshi"/>
        <s v="Divit Vyas"/>
        <s v="Divij Aurora"/>
        <s v="Shaan Sarraf"/>
        <s v="Himmat Badami"/>
        <s v="Lakshit Rege"/>
        <s v="Azad Soni"/>
        <s v="Shaan Kapoor"/>
        <s v="Shalv Char"/>
        <s v="Samaira Borah"/>
        <s v="Khushi Wable"/>
        <s v="Zaina Dutt"/>
        <s v="Ritvik Chad"/>
        <s v="Ivana Jhaveri"/>
        <s v="Anahi Kari"/>
        <s v="Jayant Desai"/>
        <s v="Ehsaan Basu"/>
        <s v="Aaina Rajagopal"/>
        <s v="Drishya Luthra"/>
        <s v="Diya Wali"/>
        <s v="Zeeshan Buch"/>
        <s v="Eva Sami"/>
        <s v="Mehul Ravi"/>
        <s v="Ahana  Tripathi"/>
        <s v="Hiran Chaudhary"/>
        <s v="Ahana  Chokshi"/>
        <s v="Azad Venkataraman"/>
        <s v="Kavya Bhatt"/>
        <s v="Yuvraj  Joshi"/>
        <s v="Damini Sarma"/>
        <s v="Riya Jha"/>
        <s v="Kiara Sankar"/>
        <s v="Myra Babu"/>
        <s v="Khushi Bath"/>
        <s v="Lagan Dutta"/>
        <s v="Diya Dugar"/>
        <s v="Kimaya Balay"/>
        <s v="Myra Wadhwa"/>
        <s v="Divit Bandi"/>
        <s v="Advika Choudhury"/>
        <s v="Tara Bumb"/>
        <s v="Divij Devi"/>
        <s v="Yashvi Chopra"/>
        <s v="Madhav Sethi"/>
        <s v="Reyansh Ram"/>
        <s v="Tushar Saran"/>
        <s v="Fateh Kuruvilla"/>
        <s v="Adah Manne"/>
        <s v="Rhea Gokhale"/>
        <s v="Mahika Koshy"/>
        <s v="Hazel Dugar"/>
        <s v="Dharmajan Mannan"/>
        <s v="Ishita Aurora"/>
        <s v="Taimur Chandran"/>
        <s v="Pari Sharma"/>
        <s v="Mohanlal Bora"/>
        <s v="Suhana Upadhyay"/>
        <s v="Arhaan Ramachandran"/>
        <s v="Samarth Khosla"/>
        <s v="Tanya Dada"/>
        <s v="Pihu Shetty"/>
        <s v="Romil Jayaraman"/>
        <s v="Suhana Ganguly"/>
        <s v="Anahita Baria"/>
        <s v="Baiju Kurian"/>
        <s v="Advik Ahluwalia"/>
        <s v="Jayant Mander"/>
        <s v="Zain Bhagat"/>
        <s v="Zoya Ramesh"/>
        <s v="Biju Wali"/>
        <s v="Hazel Virk"/>
        <s v="Riya Sankaran"/>
        <s v="Suhana Wable"/>
        <s v="Eshani Sant"/>
        <s v="Ela Aggarwal"/>
        <s v="Nishith Kant"/>
        <s v="Kartik Barman"/>
        <s v="Tiya Bhalla"/>
        <s v="Devansh Dara"/>
        <s v="Himmat Bhardwaj"/>
        <s v="Trisha Anand"/>
        <s v="Renee Loyal"/>
        <s v="Khushi Bhalla"/>
        <s v="Ranbir Amble"/>
        <s v="Nirvi Sabharwal"/>
        <s v="Lakshay Trivedi"/>
        <s v="Rohan Kata"/>
        <s v="Adah Kadakia"/>
        <s v="Mannat Banik"/>
        <s v="Hrishita Sankar"/>
        <s v="Kabir Master"/>
        <s v="Tanya Singhal"/>
        <s v="Lakshay Varkey"/>
        <s v="Yashvi Devan"/>
        <s v="Tiya Agate"/>
        <s v="Jhanvi Sha"/>
        <s v="Vaibhav Yadav"/>
        <s v="Kimaya Ratti"/>
        <s v="Miraya Randhawa"/>
        <s v="Nishith Rau"/>
        <s v="Tejas Dhingra"/>
        <s v="Biju Keer"/>
        <s v="Vanya Barad"/>
        <s v="Nehmat Dhawan"/>
        <s v="Tanya Sarma"/>
        <s v="Ranbir Grover"/>
        <s v="Amira Balay"/>
        <s v="Trisha Krish"/>
        <s v="Gokul Dutta"/>
        <s v="Indrans Hari"/>
        <s v="Sana Date"/>
        <s v="Pranay Goda"/>
        <s v="Prisha Sangha"/>
        <s v="Devansh Kannan"/>
        <s v="Shray Kalita"/>
        <s v="Alisha Saha"/>
        <s v="Mishti Kant"/>
        <s v="Tejas Rau"/>
        <s v="Siya Desai"/>
        <s v="Jhanvi Deep"/>
        <s v="Akarsh Randhawa"/>
        <s v="Riaan Dua"/>
        <s v="Bhavin Cheema"/>
        <s v="Armaan Kannan"/>
        <s v="Fateh Verma"/>
        <s v="Mishti Bahl"/>
        <s v="Anahi Barad"/>
        <s v="Samaira Wable"/>
        <s v="Amani Varughese"/>
        <s v="Vritika Saini"/>
        <s v="Seher Aurora"/>
        <s v="Biju Samra"/>
        <s v="Lavanya Konda"/>
        <s v="Shaan Dewan"/>
        <s v="Jayesh Rau"/>
        <s v="Dhruv Kashyap"/>
        <s v="Sahil Kunda"/>
        <s v="Advika Saran"/>
        <s v="Alia Bera"/>
        <s v="Drishya Varma"/>
        <s v="Yuvraj  Bakshi"/>
        <s v="Hunar Shanker"/>
        <s v="Aayush Bobal"/>
        <s v="Ivan Gopal"/>
        <s v="Onkar Biswas"/>
        <s v="Sumer Chandran"/>
        <s v="Uthkarsh Rastogi"/>
        <s v="Divit Venkatesh"/>
        <s v="Saanvi Sandhu"/>
        <s v="Jivika Gade"/>
        <s v="Devansh Sarkar"/>
        <s v="Anya Mahajan"/>
        <s v="Anaya Upadhyay"/>
        <s v="Veer Kamdar"/>
        <s v="Alia Balan"/>
        <s v="Kartik Dewan"/>
        <s v="Yuvraj  Dugal"/>
        <s v="Anaya Acharya"/>
        <s v="Shalv Lal"/>
        <s v="Tara Ray"/>
        <s v="Jivin Sankaran"/>
        <s v="Mamooty Ghosh"/>
        <s v="Mamooty Kata"/>
        <s v="Vihaan Toor"/>
        <s v="Indranil Arora"/>
        <s v="Ranbir Banerjee"/>
        <s v="Nirvaan Singh"/>
        <s v="Hazel Tiwari"/>
        <s v="Umang Chad"/>
        <s v="Zoya Goel"/>
        <s v="Kartik Acharya"/>
        <s v="Parinaaz Gara"/>
        <s v="Ishita Johal"/>
        <s v="Dhanush Chopra"/>
        <s v="Yuvraj  Majumdar"/>
        <s v="Myra Doctor"/>
        <s v="Aarush Chakraborty"/>
        <s v="Khushi Jha"/>
        <s v="Abram Batta"/>
        <s v="Nishith Goel"/>
        <s v="Jivin Solanki"/>
        <s v="Tiya Baria"/>
        <s v="Zain Choudhury"/>
        <s v="Nitara Bir"/>
        <s v="Darshit Jhaveri"/>
        <s v="Pari Venkatesh"/>
        <s v="Samar Bumb"/>
        <s v="Yakshit Seth"/>
        <s v="Sumer Kumar"/>
        <s v="Mahika Taneja"/>
        <s v="Raghav Chanda"/>
        <s v="Urvi Chaudhary"/>
        <s v="Riaan Dash"/>
        <s v="Jivin Yohannan"/>
        <s v="Uthkarsh Mahajan"/>
        <s v="Ela Kara"/>
        <s v="Mishti Upadhyay"/>
        <s v="Kanav Kurian"/>
        <s v="Krish Shankar"/>
        <s v="Bhamini Mallick"/>
        <s v="Charvi Ganesan"/>
        <s v="Romil Vig"/>
        <s v="Saira Lala"/>
        <s v="Taimur Dixit"/>
        <s v="Riya Chandran"/>
        <s v="Yuvraj  Varty"/>
        <s v="Trisha Tripathi"/>
        <s v="Mehul Sarkar"/>
        <s v="Uthkarsh Sahni"/>
        <s v="Hridaan Yadav"/>
        <s v="Navya Sridhar"/>
        <s v="Shlok Gopal"/>
        <s v="Piya Handa"/>
        <s v="Yasmin Chand"/>
        <s v="Mamooty Bhatti"/>
        <s v="Nitya Banik"/>
        <s v="Dhruv Rana"/>
        <s v="Sumer Kala"/>
        <s v="Yuvaan Mand"/>
        <s v="Fateh Vala"/>
        <s v="Yashvi Gulati"/>
        <s v="Jayesh Sharaf"/>
        <s v="Biju Edwin"/>
        <s v="Yashvi Bumb"/>
        <s v="Shaan Hari"/>
        <s v="Yuvraj  Biswas"/>
        <s v="Amira Bava"/>
        <s v="Heer Andra"/>
        <s v="Pihu Krishnamurthy"/>
        <s v="Nishith Swamy"/>
        <s v="Pranay Aggarwal"/>
        <s v="Kartik Reddy"/>
        <s v="Siya Contractor"/>
        <s v="Manikya Deo"/>
        <s v="Kavya Chakrabarti"/>
        <s v="Urvi Aggarwal"/>
        <s v="Umang Singhal"/>
        <s v="Sumer Ben"/>
        <s v="Tejas Verma"/>
        <s v="Taimur Singhal"/>
        <s v="Yasmin Barad"/>
        <s v="Myra Mandal"/>
        <s v="Divit Kurian"/>
        <s v="Zara Sundaram"/>
        <s v="Dhanush Bhavsar"/>
        <s v="Onkar Agarwal"/>
        <s v="Zoya Sidhu"/>
        <s v="Badal Dugal"/>
        <s v="Khushi Jayaraman"/>
        <s v="Darshit Krishnan"/>
        <s v="Vritika Bhavsar"/>
        <s v="Krish Venkatesh"/>
        <s v="Hridaan Sastry"/>
        <s v="Khushi Warrior"/>
        <s v="Ela Borde"/>
        <s v="Nitya Toor"/>
        <s v="Tiya Thakur"/>
        <s v="Dhruv Khurana"/>
        <s v="Diya Bahl"/>
        <s v="Shlok Ahluwalia"/>
        <s v="Lakshit Bakshi"/>
        <s v="Miraan Karpe"/>
        <s v="Tara Chaudhari"/>
        <s v="Kabir Soman"/>
        <s v="Samaira Chander"/>
        <s v="Vardaniya Johal"/>
        <s v="Amira Singh"/>
        <s v="Amani Tella"/>
        <s v="Bhamini Amble"/>
        <s v="Myra Sanghvi"/>
        <s v="Neelofar Bhasin"/>
        <s v="Zeeshan Badami"/>
        <s v="Shayak Banerjee"/>
        <s v="Farhan Suresh"/>
        <s v="Armaan Chadha"/>
        <s v="Uthkarsh Kamdar"/>
        <s v="Shanaya Sanghvi"/>
        <s v="Zoya Sant"/>
        <s v="Vivaan Luthra"/>
        <s v="Saksham Bajaj"/>
        <s v="Tiya Kaur"/>
        <s v="Keya Sarma"/>
        <s v="Emir Loyal"/>
        <s v="Dishani Borah"/>
        <s v="Hrishita Dass"/>
        <s v="Divij Tiwari"/>
        <s v="Kabir Virk"/>
        <s v="Siya Sabharwal"/>
        <s v="Shlok Shroff"/>
        <s v="Anika Mani"/>
        <s v="Pari Som"/>
        <s v="Diya Dhillon"/>
        <s v="Siya Bakshi"/>
        <s v="Dhanuk Vohra"/>
        <s v="Ivan Majumdar"/>
        <s v="Inaaya  Lall"/>
        <s v="Dhruv Joshi"/>
        <s v="Abram Gupta"/>
        <s v="Trisha Kala"/>
        <s v="Rhea Jaggi"/>
        <s v="Nishith Bhattacharyya"/>
        <s v="Miraya Singh"/>
        <s v="Ayesha Bobal"/>
        <s v="Ritvik Ganesan"/>
        <s v="Urvi Gandhi"/>
        <s v="Diya Saha"/>
        <s v="Eshani Badal"/>
        <s v="Oorja Tiwari"/>
        <s v="Yashvi Bail"/>
      </sharedItems>
    </cacheField>
    <cacheField name="Date of Birth" numFmtId="164">
      <sharedItems containsSemiMixedTypes="0" containsNonDate="0" containsDate="1" containsString="0" minDate="1959-01-10T00:00:00" maxDate="2002-12-30T00:00:00"/>
    </cacheField>
    <cacheField name="Joining Date" numFmtId="14">
      <sharedItems containsSemiMixedTypes="0" containsNonDate="0" containsDate="1" containsString="0" minDate="1970-01-10T00:00:00" maxDate="2022-12-30T00:00:00"/>
    </cacheField>
    <cacheField name="Department" numFmtId="0">
      <sharedItems count="7">
        <s v="Marketing"/>
        <s v="HR"/>
        <s v="Sales"/>
        <s v="Support"/>
        <s v="Operations"/>
        <s v="Finance"/>
        <s v="IT"/>
      </sharedItems>
    </cacheField>
    <cacheField name="Salary" numFmtId="0">
      <sharedItems containsSemiMixedTypes="0" containsString="0" containsNumber="1" containsInteger="1" minValue="20017" maxValue="199975" count="1293">
        <n v="68714"/>
        <n v="173501"/>
        <n v="78659"/>
        <n v="122559"/>
        <n v="143801"/>
        <n v="85405"/>
        <n v="24858"/>
        <n v="182803"/>
        <n v="127076"/>
        <n v="65259"/>
        <n v="178832"/>
        <n v="57911"/>
        <n v="86201"/>
        <n v="116998"/>
        <n v="163291"/>
        <n v="80988"/>
        <n v="140435"/>
        <n v="62510"/>
        <n v="90827"/>
        <n v="184057"/>
        <n v="132823"/>
        <n v="97382"/>
        <n v="152798"/>
        <n v="24173"/>
        <n v="131132"/>
        <n v="145437"/>
        <n v="135145"/>
        <n v="87948"/>
        <n v="144034"/>
        <n v="198801"/>
        <n v="191756"/>
        <n v="35955"/>
        <n v="187043"/>
        <n v="125651"/>
        <n v="80372"/>
        <n v="64595"/>
        <n v="146314"/>
        <n v="186139"/>
        <n v="92655"/>
        <n v="104585"/>
        <n v="133053"/>
        <n v="155724"/>
        <n v="71232"/>
        <n v="23743"/>
        <n v="100175"/>
        <n v="183318"/>
        <n v="166030"/>
        <n v="135963"/>
        <n v="52083"/>
        <n v="130654"/>
        <n v="193262"/>
        <n v="136837"/>
        <n v="130986"/>
        <n v="79945"/>
        <n v="62949"/>
        <n v="48367"/>
        <n v="131505"/>
        <n v="167788"/>
        <n v="89467"/>
        <n v="43750"/>
        <n v="166605"/>
        <n v="164369"/>
        <n v="52472"/>
        <n v="155912"/>
        <n v="55083"/>
        <n v="33451"/>
        <n v="150654"/>
        <n v="71862"/>
        <n v="136427"/>
        <n v="121979"/>
        <n v="72905"/>
        <n v="59956"/>
        <n v="32080"/>
        <n v="131471"/>
        <n v="168741"/>
        <n v="147618"/>
        <n v="78345"/>
        <n v="89820"/>
        <n v="65839"/>
        <n v="111018"/>
        <n v="192271"/>
        <n v="124152"/>
        <n v="140596"/>
        <n v="75555"/>
        <n v="197609"/>
        <n v="67840"/>
        <n v="139965"/>
        <n v="63405"/>
        <n v="27330"/>
        <n v="39355"/>
        <n v="171372"/>
        <n v="42944"/>
        <n v="149378"/>
        <n v="25054"/>
        <n v="193403"/>
        <n v="40071"/>
        <n v="91540"/>
        <n v="137831"/>
        <n v="78402"/>
        <n v="190879"/>
        <n v="121963"/>
        <n v="126914"/>
        <n v="128889"/>
        <n v="125971"/>
        <n v="181690"/>
        <n v="152678"/>
        <n v="97361"/>
        <n v="73776"/>
        <n v="114532"/>
        <n v="72048"/>
        <n v="59198"/>
        <n v="81849"/>
        <n v="113427"/>
        <n v="87854"/>
        <n v="167925"/>
        <n v="45491"/>
        <n v="25003"/>
        <n v="163161"/>
        <n v="135113"/>
        <n v="51800"/>
        <n v="75606"/>
        <n v="73953"/>
        <n v="141275"/>
        <n v="130755"/>
        <n v="177416"/>
        <n v="111102"/>
        <n v="71732"/>
        <n v="175989"/>
        <n v="192707"/>
        <n v="34614"/>
        <n v="151924"/>
        <n v="177286"/>
        <n v="90280"/>
        <n v="63630"/>
        <n v="176204"/>
        <n v="110138"/>
        <n v="179829"/>
        <n v="194930"/>
        <n v="185546"/>
        <n v="122257"/>
        <n v="162856"/>
        <n v="190135"/>
        <n v="142542"/>
        <n v="55032"/>
        <n v="199797"/>
        <n v="136133"/>
        <n v="167284"/>
        <n v="192844"/>
        <n v="103315"/>
        <n v="25959"/>
        <n v="112404"/>
        <n v="190883"/>
        <n v="148372"/>
        <n v="124448"/>
        <n v="128542"/>
        <n v="134866"/>
        <n v="27985"/>
        <n v="152082"/>
        <n v="155343"/>
        <n v="41459"/>
        <n v="106426"/>
        <n v="48541"/>
        <n v="107196"/>
        <n v="121595"/>
        <n v="125028"/>
        <n v="171175"/>
        <n v="113135"/>
        <n v="190299"/>
        <n v="199943"/>
        <n v="159613"/>
        <n v="29879"/>
        <n v="29720"/>
        <n v="97738"/>
        <n v="132497"/>
        <n v="115779"/>
        <n v="165446"/>
        <n v="159167"/>
        <n v="159423"/>
        <n v="24102"/>
        <n v="188772"/>
        <n v="77497"/>
        <n v="195196"/>
        <n v="177819"/>
        <n v="122286"/>
        <n v="188898"/>
        <n v="118487"/>
        <n v="180975"/>
        <n v="135474"/>
        <n v="24316"/>
        <n v="99999"/>
        <n v="134731"/>
        <n v="90561"/>
        <n v="195401"/>
        <n v="122332"/>
        <n v="179271"/>
        <n v="42836"/>
        <n v="54996"/>
        <n v="29694"/>
        <n v="125701"/>
        <n v="139016"/>
        <n v="83961"/>
        <n v="90088"/>
        <n v="65963"/>
        <n v="174831"/>
        <n v="194883"/>
        <n v="113337"/>
        <n v="62056"/>
        <n v="176823"/>
        <n v="185101"/>
        <n v="141580"/>
        <n v="113976"/>
        <n v="77824"/>
        <n v="156032"/>
        <n v="126244"/>
        <n v="26678"/>
        <n v="176758"/>
        <n v="86777"/>
        <n v="87547"/>
        <n v="56437"/>
        <n v="189895"/>
        <n v="168429"/>
        <n v="135508"/>
        <n v="165255"/>
        <n v="140480"/>
        <n v="106994"/>
        <n v="192699"/>
        <n v="170232"/>
        <n v="37157"/>
        <n v="45021"/>
        <n v="129347"/>
        <n v="161813"/>
        <n v="195099"/>
        <n v="41472"/>
        <n v="102105"/>
        <n v="129694"/>
        <n v="79104"/>
        <n v="79632"/>
        <n v="72402"/>
        <n v="101428"/>
        <n v="149194"/>
        <n v="188027"/>
        <n v="143474"/>
        <n v="50345"/>
        <n v="171901"/>
        <n v="172910"/>
        <n v="71170"/>
        <n v="70909"/>
        <n v="197254"/>
        <n v="35613"/>
        <n v="47983"/>
        <n v="171080"/>
        <n v="61763"/>
        <n v="66043"/>
        <n v="111617"/>
        <n v="198231"/>
        <n v="162644"/>
        <n v="92162"/>
        <n v="117881"/>
        <n v="91309"/>
        <n v="104299"/>
        <n v="197369"/>
        <n v="80296"/>
        <n v="196718"/>
        <n v="68652"/>
        <n v="84047"/>
        <n v="71928"/>
        <n v="63035"/>
        <n v="140169"/>
        <n v="86133"/>
        <n v="82925"/>
        <n v="47979"/>
        <n v="26642"/>
        <n v="133821"/>
        <n v="25230"/>
        <n v="33956"/>
        <n v="133164"/>
        <n v="165651"/>
        <n v="70501"/>
        <n v="62227"/>
        <n v="193315"/>
        <n v="25610"/>
        <n v="165386"/>
        <n v="148533"/>
        <n v="115556"/>
        <n v="153593"/>
        <n v="107881"/>
        <n v="187758"/>
        <n v="51849"/>
        <n v="157660"/>
        <n v="66566"/>
        <n v="138018"/>
        <n v="64304"/>
        <n v="120709"/>
        <n v="195743"/>
        <n v="174715"/>
        <n v="90394"/>
        <n v="116482"/>
        <n v="186056"/>
        <n v="114431"/>
        <n v="42872"/>
        <n v="155254"/>
        <n v="154922"/>
        <n v="154982"/>
        <n v="69130"/>
        <n v="66065"/>
        <n v="27287"/>
        <n v="100859"/>
        <n v="106730"/>
        <n v="160389"/>
        <n v="116981"/>
        <n v="32827"/>
        <n v="29991"/>
        <n v="129233"/>
        <n v="79263"/>
        <n v="71594"/>
        <n v="141327"/>
        <n v="131728"/>
        <n v="194554"/>
        <n v="87363"/>
        <n v="146944"/>
        <n v="166630"/>
        <n v="115248"/>
        <n v="115783"/>
        <n v="184270"/>
        <n v="44021"/>
        <n v="57728"/>
        <n v="73569"/>
        <n v="125220"/>
        <n v="101632"/>
        <n v="165616"/>
        <n v="86889"/>
        <n v="135799"/>
        <n v="24208"/>
        <n v="135150"/>
        <n v="105776"/>
        <n v="157884"/>
        <n v="169702"/>
        <n v="111801"/>
        <n v="48841"/>
        <n v="117145"/>
        <n v="113671"/>
        <n v="27157"/>
        <n v="70751"/>
        <n v="169961"/>
        <n v="55690"/>
        <n v="176147"/>
        <n v="115424"/>
        <n v="50506"/>
        <n v="168863"/>
        <n v="177790"/>
        <n v="130953"/>
        <n v="104324"/>
        <n v="87017"/>
        <n v="23244"/>
        <n v="78154"/>
        <n v="144217"/>
        <n v="116759"/>
        <n v="65750"/>
        <n v="39850"/>
        <n v="148289"/>
        <n v="144471"/>
        <n v="162943"/>
        <n v="77602"/>
        <n v="97690"/>
        <n v="107583"/>
        <n v="63383"/>
        <n v="191140"/>
        <n v="54186"/>
        <n v="30626"/>
        <n v="53574"/>
        <n v="99779"/>
        <n v="151434"/>
        <n v="180871"/>
        <n v="59465"/>
        <n v="118030"/>
        <n v="158919"/>
        <n v="160153"/>
        <n v="26854"/>
        <n v="175496"/>
        <n v="145385"/>
        <n v="65404"/>
        <n v="154818"/>
        <n v="137627"/>
        <n v="101022"/>
        <n v="27436"/>
        <n v="181936"/>
        <n v="47361"/>
        <n v="120657"/>
        <n v="81513"/>
        <n v="28195"/>
        <n v="56101"/>
        <n v="105241"/>
        <n v="107990"/>
        <n v="75785"/>
        <n v="135756"/>
        <n v="31839"/>
        <n v="170085"/>
        <n v="178693"/>
        <n v="187631"/>
        <n v="22185"/>
        <n v="186669"/>
        <n v="108079"/>
        <n v="185255"/>
        <n v="96642"/>
        <n v="72999"/>
        <n v="199590"/>
        <n v="78238"/>
        <n v="35486"/>
        <n v="87397"/>
        <n v="165387"/>
        <n v="28958"/>
        <n v="103846"/>
        <n v="39492"/>
        <n v="37522"/>
        <n v="52782"/>
        <n v="86594"/>
        <n v="188209"/>
        <n v="54085"/>
        <n v="91853"/>
        <n v="104791"/>
        <n v="84596"/>
        <n v="166075"/>
        <n v="52270"/>
        <n v="69564"/>
        <n v="45930"/>
        <n v="48226"/>
        <n v="44604"/>
        <n v="163758"/>
        <n v="124907"/>
        <n v="32520"/>
        <n v="105193"/>
        <n v="182071"/>
        <n v="108273"/>
        <n v="110883"/>
        <n v="121319"/>
        <n v="142130"/>
        <n v="54018"/>
        <n v="39768"/>
        <n v="173968"/>
        <n v="72517"/>
        <n v="114636"/>
        <n v="73240"/>
        <n v="104483"/>
        <n v="75999"/>
        <n v="118107"/>
        <n v="79127"/>
        <n v="128707"/>
        <n v="120522"/>
        <n v="70763"/>
        <n v="196568"/>
        <n v="52251"/>
        <n v="162499"/>
        <n v="194641"/>
        <n v="132218"/>
        <n v="112983"/>
        <n v="101855"/>
        <n v="193951"/>
        <n v="30304"/>
        <n v="111166"/>
        <n v="137412"/>
        <n v="135490"/>
        <n v="72893"/>
        <n v="125518"/>
        <n v="159174"/>
        <n v="95213"/>
        <n v="192064"/>
        <n v="108609"/>
        <n v="128319"/>
        <n v="41244"/>
        <n v="103112"/>
        <n v="195150"/>
        <n v="196856"/>
        <n v="114073"/>
        <n v="104729"/>
        <n v="106134"/>
        <n v="41662"/>
        <n v="83720"/>
        <n v="47108"/>
        <n v="185505"/>
        <n v="58897"/>
        <n v="153919"/>
        <n v="181278"/>
        <n v="112091"/>
        <n v="166845"/>
        <n v="78167"/>
        <n v="35211"/>
        <n v="51864"/>
        <n v="84233"/>
        <n v="42782"/>
        <n v="181603"/>
        <n v="166842"/>
        <n v="152020"/>
        <n v="197367"/>
        <n v="133738"/>
        <n v="94201"/>
        <n v="160707"/>
        <n v="120269"/>
        <n v="59196"/>
        <n v="70636"/>
        <n v="58988"/>
        <n v="80825"/>
        <n v="21424"/>
        <n v="138814"/>
        <n v="68401"/>
        <n v="121473"/>
        <n v="97478"/>
        <n v="99418"/>
        <n v="133038"/>
        <n v="121025"/>
        <n v="142413"/>
        <n v="69025"/>
        <n v="126559"/>
        <n v="161322"/>
        <n v="90061"/>
        <n v="195441"/>
        <n v="172913"/>
        <n v="123103"/>
        <n v="47910"/>
        <n v="31410"/>
        <n v="51444"/>
        <n v="69762"/>
        <n v="39165"/>
        <n v="64519"/>
        <n v="92035"/>
        <n v="136854"/>
        <n v="86153"/>
        <n v="23289"/>
        <n v="157099"/>
        <n v="35448"/>
        <n v="88976"/>
        <n v="185197"/>
        <n v="138582"/>
        <n v="119881"/>
        <n v="186123"/>
        <n v="40612"/>
        <n v="114912"/>
        <n v="130096"/>
        <n v="52555"/>
        <n v="50616"/>
        <n v="132346"/>
        <n v="115952"/>
        <n v="123721"/>
        <n v="68822"/>
        <n v="51620"/>
        <n v="186778"/>
        <n v="84354"/>
        <n v="163133"/>
        <n v="132422"/>
        <n v="52043"/>
        <n v="195873"/>
        <n v="37510"/>
        <n v="97482"/>
        <n v="54002"/>
        <n v="191945"/>
        <n v="101915"/>
        <n v="62389"/>
        <n v="197650"/>
        <n v="125615"/>
        <n v="197181"/>
        <n v="142897"/>
        <n v="33623"/>
        <n v="78618"/>
        <n v="95761"/>
        <n v="25484"/>
        <n v="62666"/>
        <n v="130000"/>
        <n v="97396"/>
        <n v="130625"/>
        <n v="82670"/>
        <n v="148055"/>
        <n v="98930"/>
        <n v="42711"/>
        <n v="105208"/>
        <n v="52823"/>
        <n v="78660"/>
        <n v="181777"/>
        <n v="180253"/>
        <n v="39335"/>
        <n v="105827"/>
        <n v="89446"/>
        <n v="114903"/>
        <n v="44600"/>
        <n v="87375"/>
        <n v="30800"/>
        <n v="56236"/>
        <n v="143100"/>
        <n v="110746"/>
        <n v="186509"/>
        <n v="160985"/>
        <n v="63819"/>
        <n v="40364"/>
        <n v="105685"/>
        <n v="154692"/>
        <n v="181717"/>
        <n v="103358"/>
        <n v="189751"/>
        <n v="147734"/>
        <n v="189774"/>
        <n v="56132"/>
        <n v="182348"/>
        <n v="169655"/>
        <n v="111068"/>
        <n v="89391"/>
        <n v="80432"/>
        <n v="111300"/>
        <n v="198229"/>
        <n v="159837"/>
        <n v="95176"/>
        <n v="67904"/>
        <n v="162014"/>
        <n v="162038"/>
        <n v="88481"/>
        <n v="152665"/>
        <n v="107742"/>
        <n v="30849"/>
        <n v="163991"/>
        <n v="173148"/>
        <n v="85099"/>
        <n v="70739"/>
        <n v="140368"/>
        <n v="79001"/>
        <n v="180537"/>
        <n v="24082"/>
        <n v="56982"/>
        <n v="130860"/>
        <n v="173392"/>
        <n v="126735"/>
        <n v="62737"/>
        <n v="140320"/>
        <n v="175614"/>
        <n v="26204"/>
        <n v="71197"/>
        <n v="175266"/>
        <n v="144230"/>
        <n v="139540"/>
        <n v="50363"/>
        <n v="110143"/>
        <n v="67339"/>
        <n v="87440"/>
        <n v="197647"/>
        <n v="184823"/>
        <n v="175061"/>
        <n v="114459"/>
        <n v="167988"/>
        <n v="196967"/>
        <n v="81630"/>
        <n v="157596"/>
        <n v="126669"/>
        <n v="31476"/>
        <n v="146871"/>
        <n v="136024"/>
        <n v="108135"/>
        <n v="131250"/>
        <n v="166056"/>
        <n v="191701"/>
        <n v="91347"/>
        <n v="59445"/>
        <n v="44660"/>
        <n v="190280"/>
        <n v="164348"/>
        <n v="155208"/>
        <n v="24766"/>
        <n v="21391"/>
        <n v="28194"/>
        <n v="41829"/>
        <n v="57851"/>
        <n v="194247"/>
        <n v="158948"/>
        <n v="181689"/>
        <n v="27472"/>
        <n v="156192"/>
        <n v="153147"/>
        <n v="58070"/>
        <n v="192542"/>
        <n v="187789"/>
        <n v="47765"/>
        <n v="167034"/>
        <n v="185949"/>
        <n v="82540"/>
        <n v="27995"/>
        <n v="34879"/>
        <n v="120072"/>
        <n v="146385"/>
        <n v="151939"/>
        <n v="189293"/>
        <n v="95332"/>
        <n v="158878"/>
        <n v="156965"/>
        <n v="84433"/>
        <n v="45619"/>
        <n v="127297"/>
        <n v="188052"/>
        <n v="86401"/>
        <n v="105665"/>
        <n v="60928"/>
        <n v="147190"/>
        <n v="194442"/>
        <n v="151751"/>
        <n v="170449"/>
        <n v="36772"/>
        <n v="39095"/>
        <n v="86640"/>
        <n v="96426"/>
        <n v="103855"/>
        <n v="62201"/>
        <n v="120888"/>
        <n v="166456"/>
        <n v="116946"/>
        <n v="25052"/>
        <n v="111939"/>
        <n v="26139"/>
        <n v="25580"/>
        <n v="188480"/>
        <n v="177666"/>
        <n v="160253"/>
        <n v="144045"/>
        <n v="71965"/>
        <n v="147791"/>
        <n v="134077"/>
        <n v="72780"/>
        <n v="90411"/>
        <n v="49440"/>
        <n v="190876"/>
        <n v="139503"/>
        <n v="163562"/>
        <n v="153203"/>
        <n v="53905"/>
        <n v="180258"/>
        <n v="162968"/>
        <n v="170167"/>
        <n v="118129"/>
        <n v="52279"/>
        <n v="186040"/>
        <n v="24186"/>
        <n v="158612"/>
        <n v="168819"/>
        <n v="189671"/>
        <n v="164382"/>
        <n v="87118"/>
        <n v="144406"/>
        <n v="99771"/>
        <n v="131689"/>
        <n v="59211"/>
        <n v="115990"/>
        <n v="83292"/>
        <n v="192350"/>
        <n v="154630"/>
        <n v="139908"/>
        <n v="150406"/>
        <n v="26774"/>
        <n v="176446"/>
        <n v="108500"/>
        <n v="85792"/>
        <n v="196628"/>
        <n v="133570"/>
        <n v="63538"/>
        <n v="167573"/>
        <n v="180601"/>
        <n v="68903"/>
        <n v="183986"/>
        <n v="25571"/>
        <n v="63265"/>
        <n v="67494"/>
        <n v="107329"/>
        <n v="25235"/>
        <n v="91211"/>
        <n v="77633"/>
        <n v="166208"/>
        <n v="125803"/>
        <n v="64412"/>
        <n v="31264"/>
        <n v="57477"/>
        <n v="121624"/>
        <n v="138619"/>
        <n v="67980"/>
        <n v="21555"/>
        <n v="132347"/>
        <n v="192227"/>
        <n v="159626"/>
        <n v="64261"/>
        <n v="175954"/>
        <n v="82528"/>
        <n v="103637"/>
        <n v="160685"/>
        <n v="193236"/>
        <n v="24901"/>
        <n v="83935"/>
        <n v="85811"/>
        <n v="198705"/>
        <n v="65020"/>
        <n v="141609"/>
        <n v="84291"/>
        <n v="79841"/>
        <n v="94226"/>
        <n v="85464"/>
        <n v="64379"/>
        <n v="179230"/>
        <n v="58884"/>
        <n v="129143"/>
        <n v="100309"/>
        <n v="160413"/>
        <n v="132858"/>
        <n v="77177"/>
        <n v="70122"/>
        <n v="196913"/>
        <n v="141454"/>
        <n v="67914"/>
        <n v="196348"/>
        <n v="125083"/>
        <n v="87323"/>
        <n v="194390"/>
        <n v="176374"/>
        <n v="50911"/>
        <n v="49092"/>
        <n v="197625"/>
        <n v="99610"/>
        <n v="199975"/>
        <n v="68135"/>
        <n v="167981"/>
        <n v="118124"/>
        <n v="177784"/>
        <n v="109589"/>
        <n v="120950"/>
        <n v="133000"/>
        <n v="33767"/>
        <n v="196094"/>
        <n v="136784"/>
        <n v="133185"/>
        <n v="107711"/>
        <n v="102222"/>
        <n v="93367"/>
        <n v="179427"/>
        <n v="159215"/>
        <n v="187225"/>
        <n v="43120"/>
        <n v="145199"/>
        <n v="164358"/>
        <n v="47919"/>
        <n v="176807"/>
        <n v="59615"/>
        <n v="95159"/>
        <n v="102745"/>
        <n v="42005"/>
        <n v="195759"/>
        <n v="107380"/>
        <n v="92896"/>
        <n v="177327"/>
        <n v="68084"/>
        <n v="146771"/>
        <n v="55155"/>
        <n v="22689"/>
        <n v="195381"/>
        <n v="178055"/>
        <n v="95730"/>
        <n v="131029"/>
        <n v="68875"/>
        <n v="171850"/>
        <n v="154665"/>
        <n v="83949"/>
        <n v="196292"/>
        <n v="33332"/>
        <n v="113131"/>
        <n v="103535"/>
        <n v="188892"/>
        <n v="48639"/>
        <n v="180694"/>
        <n v="151816"/>
        <n v="88040"/>
        <n v="53536"/>
        <n v="35691"/>
        <n v="167763"/>
        <n v="138148"/>
        <n v="140997"/>
        <n v="88803"/>
        <n v="184422"/>
        <n v="151316"/>
        <n v="194059"/>
        <n v="132687"/>
        <n v="82634"/>
        <n v="113680"/>
        <n v="26258"/>
        <n v="159895"/>
        <n v="165407"/>
        <n v="95245"/>
        <n v="30662"/>
        <n v="181739"/>
        <n v="26362"/>
        <n v="123561"/>
        <n v="149789"/>
        <n v="36222"/>
        <n v="198214"/>
        <n v="138451"/>
        <n v="185717"/>
        <n v="20017"/>
        <n v="97324"/>
        <n v="167998"/>
        <n v="28137"/>
        <n v="126217"/>
        <n v="70286"/>
        <n v="190542"/>
        <n v="32749"/>
        <n v="154469"/>
        <n v="109148"/>
        <n v="105817"/>
        <n v="112819"/>
        <n v="170348"/>
        <n v="193707"/>
        <n v="34796"/>
        <n v="110724"/>
        <n v="48875"/>
        <n v="117660"/>
        <n v="118668"/>
        <n v="187510"/>
        <n v="133586"/>
        <n v="185246"/>
        <n v="176641"/>
        <n v="138383"/>
        <n v="122832"/>
        <n v="137849"/>
        <n v="121209"/>
        <n v="108129"/>
        <n v="36017"/>
        <n v="179456"/>
        <n v="33806"/>
        <n v="185458"/>
        <n v="120603"/>
        <n v="91042"/>
        <n v="193524"/>
        <n v="23505"/>
        <n v="83253"/>
        <n v="168471"/>
        <n v="158179"/>
        <n v="78843"/>
        <n v="171689"/>
        <n v="122047"/>
        <n v="89146"/>
        <n v="185089"/>
        <n v="82002"/>
        <n v="164266"/>
        <n v="79187"/>
        <n v="143460"/>
        <n v="182611"/>
        <n v="97887"/>
        <n v="172562"/>
        <n v="157141"/>
        <n v="148461"/>
        <n v="194217"/>
        <n v="183384"/>
        <n v="66238"/>
        <n v="63461"/>
        <n v="54251"/>
        <n v="185340"/>
        <n v="73595"/>
        <n v="166759"/>
        <n v="35126"/>
        <n v="99946"/>
        <n v="70586"/>
        <n v="152761"/>
        <n v="149251"/>
        <n v="122013"/>
        <n v="57516"/>
        <n v="159124"/>
        <n v="150566"/>
        <n v="39292"/>
        <n v="197312"/>
        <n v="93126"/>
        <n v="62050"/>
        <n v="198074"/>
        <n v="148691"/>
        <n v="132770"/>
        <n v="66047"/>
        <n v="108287"/>
        <n v="161923"/>
        <n v="74994"/>
        <n v="153022"/>
        <n v="85190"/>
        <n v="181961"/>
        <n v="118887"/>
        <n v="66792"/>
        <n v="149307"/>
        <n v="151106"/>
        <n v="36739"/>
        <n v="155854"/>
        <n v="181441"/>
        <n v="73678"/>
        <n v="95853"/>
        <n v="21806"/>
        <n v="197019"/>
        <n v="73816"/>
        <n v="35738"/>
        <n v="69515"/>
        <n v="85440"/>
        <n v="183014"/>
        <n v="87674"/>
        <n v="103614"/>
        <n v="179920"/>
        <n v="155514"/>
        <n v="120120"/>
        <n v="24318"/>
        <n v="45631"/>
        <n v="123997"/>
        <n v="175680"/>
        <n v="168622"/>
        <n v="80691"/>
        <n v="163346"/>
        <n v="184342"/>
        <n v="34891"/>
        <n v="168000"/>
        <n v="105855"/>
        <n v="96063"/>
        <n v="154081"/>
        <n v="117292"/>
        <n v="170648"/>
        <n v="21034"/>
        <n v="78182"/>
        <n v="184509"/>
        <n v="90327"/>
        <n v="148523"/>
        <n v="23480"/>
        <n v="30829"/>
        <n v="67846"/>
        <n v="162004"/>
        <n v="72389"/>
        <n v="128431"/>
        <n v="146730"/>
        <n v="98036"/>
        <n v="177383"/>
        <n v="134338"/>
        <n v="48106"/>
        <n v="163575"/>
        <n v="55975"/>
        <n v="192385"/>
        <n v="163031"/>
        <n v="199068"/>
        <n v="97560"/>
        <n v="135164"/>
        <n v="191336"/>
        <n v="167218"/>
        <n v="69063"/>
        <n v="83432"/>
        <n v="148752"/>
        <n v="179311"/>
        <n v="164522"/>
        <n v="148308"/>
        <n v="78252"/>
        <n v="148061"/>
        <n v="158805"/>
        <n v="93316"/>
        <n v="194294"/>
        <n v="112927"/>
        <n v="93813"/>
        <n v="77518"/>
        <n v="191402"/>
        <n v="185430"/>
        <n v="39431"/>
        <n v="146589"/>
        <n v="122514"/>
        <n v="187945"/>
        <n v="96966"/>
        <n v="157725"/>
        <n v="65509"/>
        <n v="42956"/>
        <n v="163964"/>
        <n v="73697"/>
        <n v="182150"/>
        <n v="138159"/>
        <n v="59034"/>
        <n v="40772"/>
        <n v="198331"/>
        <n v="36978"/>
        <n v="24840"/>
        <n v="43618"/>
        <n v="108968"/>
        <n v="123262"/>
        <n v="28792"/>
        <n v="127121"/>
        <n v="34904"/>
        <n v="69067"/>
        <n v="63594"/>
        <n v="198015"/>
        <n v="197711"/>
        <n v="126954"/>
        <n v="84147"/>
        <n v="129936"/>
        <n v="163435"/>
        <n v="58501"/>
        <n v="77919"/>
        <n v="134532"/>
        <n v="36563"/>
        <n v="113420"/>
        <n v="110126"/>
        <n v="85929"/>
        <n v="24886"/>
        <n v="82379"/>
        <n v="76515"/>
        <n v="27631"/>
        <n v="155045"/>
        <n v="118621"/>
        <n v="120149"/>
        <n v="106253"/>
        <n v="87922"/>
        <n v="67188"/>
        <n v="81184"/>
        <n v="80279"/>
        <n v="119139"/>
        <n v="139590"/>
        <n v="24941"/>
        <n v="199151"/>
        <n v="160880"/>
        <n v="58775"/>
        <n v="161400"/>
        <n v="162914"/>
        <n v="170261"/>
        <n v="151922"/>
        <n v="77266"/>
        <n v="93385"/>
        <n v="83978"/>
        <n v="49068"/>
        <n v="110974"/>
        <n v="157159"/>
        <n v="139935"/>
        <n v="77362"/>
        <n v="178455"/>
        <n v="34387"/>
        <n v="112007"/>
        <n v="140378"/>
        <n v="126509"/>
        <n v="154195"/>
        <n v="190339"/>
        <n v="73588"/>
        <n v="60333"/>
        <n v="93197"/>
        <n v="24315"/>
        <n v="142631"/>
        <n v="137609"/>
        <n v="194559"/>
        <n v="70059"/>
        <n v="182563"/>
        <n v="174931"/>
        <n v="92102"/>
        <n v="196389"/>
        <n v="193532"/>
        <n v="134856"/>
        <n v="95054"/>
        <n v="191255"/>
        <n v="110728"/>
        <n v="27621"/>
        <n v="133114"/>
        <n v="176130"/>
        <n v="191419"/>
        <n v="29167"/>
        <n v="174302"/>
        <n v="109829"/>
        <n v="130376"/>
        <n v="61330"/>
        <n v="196894"/>
        <n v="138567"/>
        <n v="143316"/>
        <n v="77991"/>
        <n v="62480"/>
        <n v="47150"/>
        <n v="151759"/>
        <n v="166128"/>
        <n v="160582"/>
        <n v="97317"/>
        <n v="23795"/>
        <n v="163896"/>
        <n v="48094"/>
        <n v="115780"/>
        <n v="167512"/>
        <n v="89333"/>
        <n v="42656"/>
        <n v="150557"/>
        <n v="188042"/>
        <n v="75050"/>
        <n v="156434"/>
        <n v="182849"/>
        <n v="133595"/>
        <n v="179300"/>
        <n v="190238"/>
        <n v="198143"/>
        <n v="46269"/>
        <n v="196669"/>
        <n v="141663"/>
        <n v="113538"/>
        <n v="140006"/>
        <n v="102591"/>
        <n v="94314"/>
        <n v="141588"/>
        <n v="28993"/>
        <n v="122010"/>
        <n v="182935"/>
        <n v="61635"/>
        <n v="77653"/>
        <n v="158904"/>
        <n v="124181"/>
        <n v="162819"/>
        <n v="58062"/>
        <n v="64628"/>
        <n v="59759"/>
        <n v="29174"/>
        <n v="80530"/>
        <n v="103039"/>
        <n v="191711"/>
        <n v="40825"/>
        <n v="168507"/>
        <n v="175390"/>
        <n v="33130"/>
        <n v="67883"/>
        <n v="150886"/>
        <n v="64719"/>
        <n v="95658"/>
        <n v="39889"/>
        <n v="184717"/>
        <n v="182633"/>
        <n v="58546"/>
        <n v="121469"/>
        <n v="174595"/>
        <n v="28552"/>
        <n v="77288"/>
        <n v="135183"/>
        <n v="199126"/>
        <n v="182259"/>
        <n v="92307"/>
        <n v="85687"/>
        <n v="21961"/>
        <n v="27152"/>
        <n v="135683"/>
        <n v="113645"/>
        <n v="77655"/>
        <n v="79335"/>
        <n v="63125"/>
        <n v="169153"/>
        <n v="133853"/>
        <n v="22976"/>
        <n v="194616"/>
        <n v="43747"/>
        <n v="199792"/>
        <n v="91578"/>
        <n v="123238"/>
        <n v="147912"/>
        <n v="110097"/>
        <n v="128850"/>
        <n v="42916"/>
        <n v="116462"/>
        <n v="74009"/>
        <n v="125221"/>
        <n v="20149"/>
        <n v="36802"/>
        <n v="126184"/>
        <n v="99989"/>
        <n v="52488"/>
        <n v="71463"/>
        <n v="31918"/>
        <n v="79003"/>
        <n v="140775"/>
        <n v="119389"/>
        <n v="161148"/>
        <n v="146019"/>
        <n v="82007"/>
        <n v="193004"/>
        <n v="123824"/>
        <n v="117619"/>
        <n v="122262"/>
        <n v="60126"/>
        <n v="176467"/>
        <n v="112395"/>
        <n v="136500"/>
        <n v="88468"/>
        <n v="41845"/>
        <n v="77645"/>
        <n v="48808"/>
        <n v="59660"/>
        <n v="121284"/>
        <n v="192143"/>
        <n v="190745"/>
        <n v="24848"/>
        <n v="173377"/>
        <n v="74134"/>
        <n v="105582"/>
        <n v="94899"/>
        <n v="178658"/>
        <n v="162079"/>
        <n v="28271"/>
        <n v="26623"/>
        <n v="76099"/>
        <n v="73628"/>
        <n v="167237"/>
        <n v="171091"/>
        <n v="127954"/>
        <n v="140271"/>
        <n v="75700"/>
        <n v="132701"/>
      </sharedItems>
    </cacheField>
    <cacheField name="Location" numFmtId="0">
      <sharedItems count="10">
        <s v="Kolkata"/>
        <s v="Mumbai"/>
        <s v="Ahmedabad"/>
        <s v="Chennai"/>
        <s v="Delhi"/>
        <s v="Pune"/>
        <s v="Jaipur"/>
        <s v="Hyderabad"/>
        <s v="Lucknow"/>
        <s v="Bangalore"/>
      </sharedItems>
    </cacheField>
    <cacheField name="Gender" numFmtId="0">
      <sharedItems count="2">
        <s v="Female"/>
        <s v="Male"/>
      </sharedItems>
    </cacheField>
    <cacheField name="Job Code" numFmtId="0">
      <sharedItems count="686">
        <s v="JC588"/>
        <s v="JC196"/>
        <s v="JC693"/>
        <s v="JC100"/>
        <s v="JC598"/>
        <s v="JC877"/>
        <s v="JC894"/>
        <s v="JC303"/>
        <s v="JC710"/>
        <s v="JC991"/>
        <s v="JC944"/>
        <s v="JC767"/>
        <s v="JC919"/>
        <s v="JC351"/>
        <s v="JC669"/>
        <s v="JC738"/>
        <s v="JC992"/>
        <s v="JC987"/>
        <s v="JC634"/>
        <s v="JC149"/>
        <s v="JC859"/>
        <s v="JC709"/>
        <s v="JC833"/>
        <s v="JC924"/>
        <s v="JC317"/>
        <s v="JC976"/>
        <s v="JC753"/>
        <s v="JC965"/>
        <s v="JC600"/>
        <s v="JC443"/>
        <s v="JC342"/>
        <s v="JC816"/>
        <s v="JC295"/>
        <s v="JC357"/>
        <s v="JC413"/>
        <s v="JC179"/>
        <s v="JC286"/>
        <s v="JC711"/>
        <s v="JC755"/>
        <s v="JC861"/>
        <s v="JC117"/>
        <s v="JC218"/>
        <s v="JC646"/>
        <s v="JC635"/>
        <s v="JC756"/>
        <s v="JC982"/>
        <s v="JC892"/>
        <s v="JC818"/>
        <s v="JC208"/>
        <s v="JC433"/>
        <s v="JC200"/>
        <s v="JC639"/>
        <s v="JC706"/>
        <s v="JC676"/>
        <s v="JC741"/>
        <s v="JC555"/>
        <s v="JC463"/>
        <s v="JC346"/>
        <s v="JC377"/>
        <s v="JC939"/>
        <s v="JC478"/>
        <s v="JC826"/>
        <s v="JC698"/>
        <s v="JC289"/>
        <s v="JC933"/>
        <s v="JC309"/>
        <s v="JC595"/>
        <s v="JC151"/>
        <s v="JC203"/>
        <s v="JC928"/>
        <s v="JC258"/>
        <s v="JC189"/>
        <s v="JC140"/>
        <s v="JC854"/>
        <s v="JC860"/>
        <s v="JC835"/>
        <s v="JC506"/>
        <s v="JC993"/>
        <s v="JC148"/>
        <s v="JC938"/>
        <s v="JC300"/>
        <s v="JC439"/>
        <s v="JC903"/>
        <s v="JC700"/>
        <s v="JC900"/>
        <s v="JC782"/>
        <s v="JC475"/>
        <s v="JC663"/>
        <s v="JC764"/>
        <s v="JC104"/>
        <s v="JC546"/>
        <s v="JC503"/>
        <s v="JC275"/>
        <s v="JC375"/>
        <s v="JC887"/>
        <s v="JC763"/>
        <s v="JC269"/>
        <s v="JC504"/>
        <s v="JC571"/>
        <s v="JC248"/>
        <s v="JC977"/>
        <s v="JC205"/>
        <s v="JC682"/>
        <s v="JC664"/>
        <s v="JC607"/>
        <s v="JC378"/>
        <s v="JC655"/>
        <s v="JC112"/>
        <s v="JC617"/>
        <s v="JC552"/>
        <s v="JC337"/>
        <s v="JC253"/>
        <s v="JC615"/>
        <s v="JC771"/>
        <s v="JC542"/>
        <s v="JC980"/>
        <s v="JC624"/>
        <s v="JC573"/>
        <s v="JC450"/>
        <s v="JC594"/>
        <s v="JC718"/>
        <s v="JC505"/>
        <s v="JC340"/>
        <s v="JC566"/>
        <s v="JC916"/>
        <s v="JC388"/>
        <s v="JC386"/>
        <s v="JC482"/>
        <s v="JC809"/>
        <s v="JC510"/>
        <s v="JC423"/>
        <s v="JC376"/>
        <s v="JC106"/>
        <s v="JC627"/>
        <s v="JC456"/>
        <s v="JC970"/>
        <s v="JC940"/>
        <s v="JC789"/>
        <s v="JC814"/>
        <s v="JC302"/>
        <s v="JC945"/>
        <s v="JC508"/>
        <s v="JC123"/>
        <s v="JC762"/>
        <s v="JC659"/>
        <s v="JC667"/>
        <s v="JC884"/>
        <s v="JC318"/>
        <s v="JC960"/>
        <s v="JC180"/>
        <s v="JC274"/>
        <s v="JC786"/>
        <s v="JC853"/>
        <s v="JC279"/>
        <s v="JC384"/>
        <s v="JC791"/>
        <s v="JC395"/>
        <s v="JC111"/>
        <s v="JC494"/>
        <s v="JC449"/>
        <s v="JC500"/>
        <s v="JC416"/>
        <s v="JC593"/>
        <s v="JC127"/>
        <s v="JC116"/>
        <s v="JC239"/>
        <s v="JC545"/>
        <s v="JC690"/>
        <s v="JC746"/>
        <s v="JC798"/>
        <s v="JC734"/>
        <s v="JC553"/>
        <s v="JC886"/>
        <s v="JC233"/>
        <s v="JC525"/>
        <s v="JC774"/>
        <s v="JC778"/>
        <s v="JC214"/>
        <s v="JC390"/>
        <s v="JC426"/>
        <s v="JC697"/>
        <s v="JC514"/>
        <s v="JC765"/>
        <s v="JC863"/>
        <s v="JC526"/>
        <s v="JC727"/>
        <s v="JC592"/>
        <s v="JC212"/>
        <s v="JC647"/>
        <s v="JC161"/>
        <s v="JC305"/>
        <s v="JC251"/>
        <s v="JC568"/>
        <s v="JC172"/>
        <s v="JC750"/>
        <s v="JC657"/>
        <s v="JC182"/>
        <s v="JC984"/>
        <s v="JC829"/>
        <s v="JC692"/>
        <s v="JC689"/>
        <s v="JC201"/>
        <s v="JC911"/>
        <s v="JC810"/>
        <s v="JC177"/>
        <s v="JC845"/>
        <s v="JC541"/>
        <s v="JC372"/>
        <s v="JC422"/>
        <s v="JC270"/>
        <s v="JC899"/>
        <s v="JC465"/>
        <s v="JC824"/>
        <s v="JC932"/>
        <s v="JC958"/>
        <s v="JC838"/>
        <s v="JC549"/>
        <s v="JC418"/>
        <s v="JC436"/>
        <s v="JC997"/>
        <s v="JC962"/>
        <s v="JC411"/>
        <s v="JC331"/>
        <s v="JC557"/>
        <s v="JC937"/>
        <s v="JC629"/>
        <s v="JC402"/>
        <s v="JC871"/>
        <s v="JC918"/>
        <s v="JC160"/>
        <s v="JC628"/>
        <s v="JC355"/>
        <s v="JC703"/>
        <s v="JC103"/>
        <s v="JC905"/>
        <s v="JC155"/>
        <s v="JC356"/>
        <s v="JC226"/>
        <s v="JC723"/>
        <s v="JC138"/>
        <s v="JC495"/>
        <s v="JC477"/>
        <s v="JC396"/>
        <s v="JC622"/>
        <s v="JC414"/>
        <s v="JC509"/>
        <s v="JC790"/>
        <s v="JC613"/>
        <s v="JC803"/>
        <s v="JC374"/>
        <s v="JC534"/>
        <s v="JC527"/>
        <s v="JC907"/>
        <s v="JC353"/>
        <s v="JC636"/>
        <s v="JC561"/>
        <s v="JC250"/>
        <s v="JC466"/>
        <s v="JC162"/>
        <s v="JC186"/>
        <s v="JC380"/>
        <s v="JC350"/>
        <s v="JC915"/>
        <s v="JC400"/>
        <s v="JC638"/>
        <s v="JC966"/>
        <s v="JC744"/>
        <s v="JC124"/>
        <s v="JC968"/>
        <s v="JC800"/>
        <s v="JC688"/>
        <s v="JC759"/>
        <s v="JC513"/>
        <s v="JC222"/>
        <s v="JC963"/>
        <s v="JC675"/>
        <s v="JC720"/>
        <s v="JC187"/>
        <s v="JC813"/>
        <s v="JC953"/>
        <s v="JC122"/>
        <s v="JC294"/>
        <s v="JC736"/>
        <s v="JC728"/>
        <s v="JC981"/>
        <s v="JC802"/>
        <s v="JC150"/>
        <s v="JC363"/>
        <s v="JC246"/>
        <s v="JC406"/>
        <s v="JC606"/>
        <s v="JC904"/>
        <s v="JC754"/>
        <s v="JC157"/>
        <s v="JC163"/>
        <s v="JC383"/>
        <s v="JC391"/>
        <s v="JC780"/>
        <s v="JC658"/>
        <s v="JC181"/>
        <s v="JC583"/>
        <s v="JC415"/>
        <s v="JC822"/>
        <s v="JC139"/>
        <s v="JC227"/>
        <s v="JC108"/>
        <s v="JC224"/>
        <s v="JC820"/>
        <s v="JC362"/>
        <s v="JC988"/>
        <s v="JC558"/>
        <s v="JC190"/>
        <s v="JC257"/>
        <s v="JC405"/>
        <s v="JC885"/>
        <s v="JC457"/>
        <s v="JC536"/>
        <s v="JC950"/>
        <s v="JC285"/>
        <s v="JC678"/>
        <s v="JC673"/>
        <s v="JC880"/>
        <s v="JC737"/>
        <s v="JC120"/>
        <s v="JC244"/>
        <s v="JC929"/>
        <s v="JC515"/>
        <s v="JC775"/>
        <s v="JC811"/>
        <s v="JC194"/>
        <s v="JC394"/>
        <s v="JC408"/>
        <s v="JC870"/>
        <s v="JC364"/>
        <s v="JC319"/>
        <s v="JC169"/>
        <s v="JC359"/>
        <s v="JC499"/>
        <s v="JC263"/>
        <s v="JC749"/>
        <s v="JC585"/>
        <s v="JC256"/>
        <s v="JC893"/>
        <s v="JC134"/>
        <s v="JC245"/>
        <s v="JC660"/>
        <s v="JC326"/>
        <s v="JC842"/>
        <s v="JC748"/>
        <s v="JC301"/>
        <s v="JC582"/>
        <s v="JC642"/>
        <s v="JC605"/>
        <s v="JC409"/>
        <s v="JC729"/>
        <s v="JC136"/>
        <s v="JC923"/>
        <s v="JC261"/>
        <s v="JC252"/>
        <s v="JC828"/>
        <s v="JC435"/>
        <s v="JC185"/>
        <s v="JC985"/>
        <s v="JC119"/>
        <s v="JC872"/>
        <s v="JC262"/>
        <s v="JC497"/>
        <s v="JC345"/>
        <s v="JC633"/>
        <s v="JC910"/>
        <s v="JC983"/>
        <s v="JC419"/>
        <s v="JC702"/>
        <s v="JC882"/>
        <s v="JC793"/>
        <s v="JC371"/>
        <s v="JC273"/>
        <s v="JC176"/>
        <s v="JC532"/>
        <s v="JC989"/>
        <s v="JC550"/>
        <s v="JC521"/>
        <s v="JC772"/>
        <s v="JC349"/>
        <s v="JC589"/>
        <s v="JC969"/>
        <s v="JC760"/>
        <s v="JC562"/>
        <s v="JC879"/>
        <s v="JC519"/>
        <s v="JC135"/>
        <s v="JC165"/>
        <s v="JC204"/>
        <s v="JC797"/>
        <s v="JC487"/>
        <s v="JC365"/>
        <s v="JC644"/>
        <s v="JC787"/>
        <s v="JC130"/>
        <s v="JC121"/>
        <s v="JC957"/>
        <s v="JC973"/>
        <s v="JC926"/>
        <s v="JC125"/>
        <s v="JC367"/>
        <s v="JC341"/>
        <s v="JC440"/>
        <s v="JC236"/>
        <s v="JC544"/>
        <s v="JC631"/>
        <s v="JC334"/>
        <s v="JC143"/>
        <s v="JC806"/>
        <s v="JC197"/>
        <s v="JC537"/>
        <s v="JC986"/>
        <s v="JC533"/>
        <s v="JC554"/>
        <s v="JC961"/>
        <s v="JC547"/>
        <s v="JC931"/>
        <s v="JC512"/>
        <s v="JC909"/>
        <s v="JC462"/>
        <s v="JC776"/>
        <s v="JC914"/>
        <s v="JC464"/>
        <s v="JC147"/>
        <s v="JC645"/>
        <s v="JC612"/>
        <s v="JC292"/>
        <s v="JC652"/>
        <s v="JC563"/>
        <s v="JC801"/>
        <s v="JC994"/>
        <s v="JC564"/>
        <s v="JC656"/>
        <s v="JC902"/>
        <s v="JC591"/>
        <s v="JC455"/>
        <s v="JC399"/>
        <s v="JC360"/>
        <s v="JC336"/>
        <s v="JC978"/>
        <s v="JC959"/>
        <s v="JC105"/>
        <s v="JC867"/>
        <s v="JC339"/>
        <s v="JC955"/>
        <s v="JC608"/>
        <s v="JC420"/>
        <s v="JC650"/>
        <s v="JC768"/>
        <s v="JC998"/>
        <s v="JC788"/>
        <s v="JC996"/>
        <s v="JC113"/>
        <s v="JC225"/>
        <s v="JC324"/>
        <s v="JC649"/>
        <s v="JC267"/>
        <s v="JC441"/>
        <s v="JC654"/>
        <s v="JC575"/>
        <s v="JC379"/>
        <s v="JC742"/>
        <s v="JC153"/>
        <s v="JC191"/>
        <s v="JC934"/>
        <s v="JC310"/>
        <s v="JC611"/>
        <s v="JC618"/>
        <s v="JC144"/>
        <s v="JC459"/>
        <s v="JC320"/>
        <s v="JC528"/>
        <s v="JC808"/>
        <s v="JC516"/>
        <s v="JC146"/>
        <s v="JC467"/>
        <s v="JC548"/>
        <s v="JC551"/>
        <s v="JC714"/>
        <s v="JC671"/>
        <s v="JC168"/>
        <s v="JC662"/>
        <s v="JC468"/>
        <s v="JC707"/>
        <s v="JC681"/>
        <s v="JC769"/>
        <s v="JC287"/>
        <s v="JC209"/>
        <s v="JC332"/>
        <s v="JC920"/>
        <s v="JC114"/>
        <s v="JC184"/>
        <s v="JC352"/>
        <s v="JC881"/>
        <s v="JC327"/>
        <s v="JC485"/>
        <s v="JC819"/>
        <s v="JC735"/>
        <s v="JC429"/>
        <s v="JC567"/>
        <s v="JC410"/>
        <s v="JC751"/>
        <s v="JC761"/>
        <s v="JC417"/>
        <s v="JC131"/>
        <s v="JC637"/>
        <s v="JC625"/>
        <s v="JC472"/>
        <s v="JC843"/>
        <s v="JC219"/>
        <s v="JC921"/>
        <s v="JC725"/>
        <s v="JC956"/>
        <s v="JC857"/>
        <s v="JC619"/>
        <s v="JC686"/>
        <s v="JC679"/>
        <s v="JC283"/>
        <s v="JC442"/>
        <s v="JC825"/>
        <s v="JC641"/>
        <s v="JC752"/>
        <s v="JC868"/>
        <s v="JC719"/>
        <s v="JC601"/>
        <s v="JC889"/>
        <s v="JC896"/>
        <s v="JC732"/>
        <s v="JC407"/>
        <s v="JC338"/>
        <s v="JC366"/>
        <s v="JC268"/>
        <s v="JC221"/>
        <s v="JC243"/>
        <s v="JC173"/>
        <s v="JC949"/>
        <s v="JC132"/>
        <s v="JC164"/>
        <s v="JC792"/>
        <s v="JC228"/>
        <s v="JC369"/>
        <s v="JC851"/>
        <s v="JC683"/>
        <s v="JC306"/>
        <s v="JC795"/>
        <s v="JC862"/>
        <s v="JC188"/>
        <s v="JC623"/>
        <s v="JC166"/>
        <s v="JC249"/>
        <s v="JC579"/>
        <s v="JC670"/>
        <s v="JC876"/>
        <s v="JC722"/>
        <s v="JC322"/>
        <s v="JC434"/>
        <s v="JC643"/>
        <s v="JC543"/>
        <s v="JC602"/>
        <s v="JC878"/>
        <s v="JC315"/>
        <s v="JC297"/>
        <s v="JC393"/>
        <s v="JC321"/>
        <s v="JC616"/>
        <s v="JC381"/>
        <s v="JC237"/>
        <s v="JC858"/>
        <s v="JC421"/>
        <s v="JC524"/>
        <s v="JC330"/>
        <s v="JC448"/>
        <s v="JC559"/>
        <s v="JC238"/>
        <s v="JC817"/>
        <s v="JC492"/>
        <s v="JC145"/>
        <s v="JC799"/>
        <s v="JC522"/>
        <s v="JC446"/>
        <s v="JC895"/>
        <s v="JC502"/>
        <s v="JC216"/>
        <s v="JC925"/>
        <s v="JC192"/>
        <s v="JC348"/>
        <s v="JC370"/>
        <s v="JC264"/>
        <s v="JC471"/>
        <s v="JC284"/>
        <s v="JC444"/>
        <s v="JC215"/>
        <s v="JC964"/>
        <s v="JC217"/>
        <s v="JC779"/>
        <s v="JC632"/>
        <s v="JC335"/>
        <s v="JC511"/>
        <s v="JC460"/>
        <s v="JC373"/>
        <s v="JC110"/>
        <s v="JC540"/>
        <s v="JC733"/>
        <s v="JC382"/>
        <s v="JC699"/>
        <s v="JC685"/>
        <s v="JC234"/>
        <s v="JC178"/>
        <s v="JC535"/>
        <s v="JC211"/>
        <s v="JC847"/>
        <s v="JC831"/>
        <s v="JC614"/>
        <s v="JC479"/>
        <s v="JC823"/>
        <s v="JC630"/>
        <s v="JC126"/>
        <s v="JC397"/>
        <s v="JC141"/>
        <s v="JC680"/>
        <s v="JC596"/>
        <s v="JC912"/>
        <s v="JC280"/>
        <s v="JC231"/>
        <s v="JC922"/>
        <s v="JC672"/>
        <s v="JC328"/>
        <s v="JC745"/>
        <s v="JC453"/>
        <s v="JC891"/>
        <s v="JC152"/>
        <s v="JC577"/>
        <s v="JC930"/>
        <s v="JC695"/>
        <s v="JC620"/>
        <s v="JC836"/>
        <s v="JC154"/>
        <s v="JC220"/>
        <s v="JC840"/>
        <s v="JC609"/>
        <s v="JC740"/>
        <s v="JC431"/>
        <s v="JC278"/>
        <s v="JC507"/>
        <s v="JC855"/>
        <s v="JC425"/>
        <s v="JC501"/>
        <s v="JC913"/>
        <s v="JC694"/>
        <s v="JC232"/>
        <s v="JC908"/>
        <s v="JC385"/>
        <s v="JC691"/>
        <s v="JC329"/>
        <s v="JC852"/>
        <s v="JC713"/>
        <s v="JC107"/>
        <s v="JC404"/>
        <s v="JC565"/>
        <s v="JC167"/>
        <s v="JC731"/>
        <s v="JC213"/>
        <s v="JC936"/>
        <s v="JC202"/>
        <s v="JC276"/>
        <s v="JC344"/>
        <s v="JC705"/>
        <s v="JC170"/>
        <s v="JC875"/>
        <s v="JC392"/>
        <s v="JC128"/>
        <s v="JC142"/>
        <s v="JC927"/>
        <s v="JC343"/>
        <s v="JC783"/>
        <s v="JC304"/>
        <s v="JC298"/>
        <s v="JC897"/>
        <s v="JC438"/>
        <s v="JC193"/>
        <s v="JC347"/>
        <s v="JC361"/>
      </sharedItems>
    </cacheField>
    <cacheField name="Designation" numFmtId="0">
      <sharedItems count="7">
        <s v="Consultant"/>
        <s v="Assistant"/>
        <s v="Lead"/>
        <s v="Manager"/>
        <s v="Analyst"/>
        <s v="Executive"/>
        <s v="Engineer"/>
      </sharedItems>
    </cacheField>
    <cacheField name="Working Experience" numFmtId="0">
      <sharedItems containsSemiMixedTypes="0" containsString="0" containsNumber="1" containsInteger="1" minValue="3" maxValue="55" count="53">
        <n v="11"/>
        <n v="7"/>
        <n v="15"/>
        <n v="25"/>
        <n v="39"/>
        <n v="55"/>
        <n v="26"/>
        <n v="27"/>
        <n v="6"/>
        <n v="20"/>
        <n v="22"/>
        <n v="24"/>
        <n v="40"/>
        <n v="53"/>
        <n v="47"/>
        <n v="44"/>
        <n v="13"/>
        <n v="17"/>
        <n v="50"/>
        <n v="19"/>
        <n v="42"/>
        <n v="36"/>
        <n v="14"/>
        <n v="28"/>
        <n v="33"/>
        <n v="16"/>
        <n v="49"/>
        <n v="23"/>
        <n v="21"/>
        <n v="52"/>
        <n v="29"/>
        <n v="48"/>
        <n v="5"/>
        <n v="45"/>
        <n v="34"/>
        <n v="18"/>
        <n v="46"/>
        <n v="37"/>
        <n v="41"/>
        <n v="3"/>
        <n v="12"/>
        <n v="30"/>
        <n v="32"/>
        <n v="10"/>
        <n v="54"/>
        <n v="31"/>
        <n v="38"/>
        <n v="8"/>
        <n v="9"/>
        <n v="51"/>
        <n v="35"/>
        <n v="43"/>
        <n v="4"/>
      </sharedItems>
    </cacheField>
  </cacheFields>
  <extLst>
    <ext xmlns:x14="http://schemas.microsoft.com/office/spreadsheetml/2009/9/main" uri="{725AE2AE-9491-48be-B2B4-4EB974FC3084}">
      <x14:pivotCacheDefinition pivotCacheId="8144994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97">
  <r>
    <x v="0"/>
    <x v="0"/>
    <d v="1960-09-21T00:00:00"/>
    <d v="2014-07-19T00:00:00"/>
    <x v="0"/>
    <x v="0"/>
    <x v="0"/>
    <x v="0"/>
    <x v="0"/>
    <x v="0"/>
    <x v="0"/>
  </r>
  <r>
    <x v="1"/>
    <x v="1"/>
    <d v="2000-04-20T00:00:00"/>
    <d v="2018-03-04T00:00:00"/>
    <x v="1"/>
    <x v="1"/>
    <x v="1"/>
    <x v="0"/>
    <x v="1"/>
    <x v="1"/>
    <x v="1"/>
  </r>
  <r>
    <x v="2"/>
    <x v="2"/>
    <d v="1994-07-07T00:00:00"/>
    <d v="2010-05-27T00:00:00"/>
    <x v="0"/>
    <x v="2"/>
    <x v="0"/>
    <x v="1"/>
    <x v="2"/>
    <x v="2"/>
    <x v="2"/>
  </r>
  <r>
    <x v="3"/>
    <x v="3"/>
    <d v="1998-06-30T00:00:00"/>
    <d v="2000-10-11T00:00:00"/>
    <x v="2"/>
    <x v="3"/>
    <x v="2"/>
    <x v="1"/>
    <x v="3"/>
    <x v="1"/>
    <x v="3"/>
  </r>
  <r>
    <x v="4"/>
    <x v="4"/>
    <d v="1961-06-09T00:00:00"/>
    <d v="1986-03-30T00:00:00"/>
    <x v="3"/>
    <x v="4"/>
    <x v="2"/>
    <x v="1"/>
    <x v="4"/>
    <x v="2"/>
    <x v="4"/>
  </r>
  <r>
    <x v="5"/>
    <x v="5"/>
    <d v="1991-12-26T00:00:00"/>
    <d v="1970-09-07T00:00:00"/>
    <x v="1"/>
    <x v="5"/>
    <x v="3"/>
    <x v="0"/>
    <x v="5"/>
    <x v="2"/>
    <x v="5"/>
  </r>
  <r>
    <x v="6"/>
    <x v="6"/>
    <d v="1980-07-23T00:00:00"/>
    <d v="1999-06-09T00:00:00"/>
    <x v="4"/>
    <x v="6"/>
    <x v="4"/>
    <x v="1"/>
    <x v="6"/>
    <x v="2"/>
    <x v="6"/>
  </r>
  <r>
    <x v="7"/>
    <x v="7"/>
    <d v="1979-07-23T00:00:00"/>
    <d v="2000-10-19T00:00:00"/>
    <x v="2"/>
    <x v="7"/>
    <x v="5"/>
    <x v="1"/>
    <x v="7"/>
    <x v="2"/>
    <x v="3"/>
  </r>
  <r>
    <x v="8"/>
    <x v="8"/>
    <d v="2002-12-29T00:00:00"/>
    <d v="1970-11-10T00:00:00"/>
    <x v="5"/>
    <x v="8"/>
    <x v="5"/>
    <x v="1"/>
    <x v="8"/>
    <x v="3"/>
    <x v="5"/>
  </r>
  <r>
    <x v="9"/>
    <x v="9"/>
    <d v="1992-12-31T00:00:00"/>
    <d v="1998-05-01T00:00:00"/>
    <x v="3"/>
    <x v="9"/>
    <x v="3"/>
    <x v="0"/>
    <x v="9"/>
    <x v="4"/>
    <x v="7"/>
  </r>
  <r>
    <x v="10"/>
    <x v="10"/>
    <d v="1978-03-30T00:00:00"/>
    <d v="2019-09-27T00:00:00"/>
    <x v="6"/>
    <x v="10"/>
    <x v="2"/>
    <x v="1"/>
    <x v="10"/>
    <x v="2"/>
    <x v="8"/>
  </r>
  <r>
    <x v="11"/>
    <x v="11"/>
    <d v="1978-07-13T00:00:00"/>
    <d v="2005-11-19T00:00:00"/>
    <x v="6"/>
    <x v="11"/>
    <x v="2"/>
    <x v="0"/>
    <x v="11"/>
    <x v="3"/>
    <x v="9"/>
  </r>
  <r>
    <x v="12"/>
    <x v="12"/>
    <d v="1992-09-21T00:00:00"/>
    <d v="2003-08-18T00:00:00"/>
    <x v="4"/>
    <x v="12"/>
    <x v="6"/>
    <x v="0"/>
    <x v="12"/>
    <x v="1"/>
    <x v="10"/>
  </r>
  <r>
    <x v="13"/>
    <x v="13"/>
    <d v="1997-10-06T00:00:00"/>
    <d v="2001-03-05T00:00:00"/>
    <x v="6"/>
    <x v="13"/>
    <x v="1"/>
    <x v="0"/>
    <x v="13"/>
    <x v="3"/>
    <x v="11"/>
  </r>
  <r>
    <x v="14"/>
    <x v="14"/>
    <d v="2000-11-08T00:00:00"/>
    <d v="1985-07-25T00:00:00"/>
    <x v="3"/>
    <x v="14"/>
    <x v="4"/>
    <x v="1"/>
    <x v="14"/>
    <x v="3"/>
    <x v="12"/>
  </r>
  <r>
    <x v="15"/>
    <x v="15"/>
    <d v="1979-05-25T00:00:00"/>
    <d v="2000-02-01T00:00:00"/>
    <x v="1"/>
    <x v="15"/>
    <x v="5"/>
    <x v="1"/>
    <x v="15"/>
    <x v="4"/>
    <x v="3"/>
  </r>
  <r>
    <x v="16"/>
    <x v="16"/>
    <d v="1977-04-28T00:00:00"/>
    <d v="1972-05-19T00:00:00"/>
    <x v="2"/>
    <x v="16"/>
    <x v="5"/>
    <x v="0"/>
    <x v="16"/>
    <x v="4"/>
    <x v="13"/>
  </r>
  <r>
    <x v="17"/>
    <x v="17"/>
    <d v="1990-08-28T00:00:00"/>
    <d v="1978-04-08T00:00:00"/>
    <x v="1"/>
    <x v="17"/>
    <x v="7"/>
    <x v="0"/>
    <x v="17"/>
    <x v="5"/>
    <x v="14"/>
  </r>
  <r>
    <x v="18"/>
    <x v="18"/>
    <d v="1976-08-13T00:00:00"/>
    <d v="1981-10-14T00:00:00"/>
    <x v="6"/>
    <x v="18"/>
    <x v="0"/>
    <x v="0"/>
    <x v="18"/>
    <x v="3"/>
    <x v="15"/>
  </r>
  <r>
    <x v="19"/>
    <x v="19"/>
    <d v="1970-10-20T00:00:00"/>
    <d v="2012-10-05T00:00:00"/>
    <x v="6"/>
    <x v="19"/>
    <x v="0"/>
    <x v="1"/>
    <x v="19"/>
    <x v="3"/>
    <x v="16"/>
  </r>
  <r>
    <x v="20"/>
    <x v="20"/>
    <d v="1964-10-24T00:00:00"/>
    <d v="2008-10-01T00:00:00"/>
    <x v="0"/>
    <x v="20"/>
    <x v="6"/>
    <x v="1"/>
    <x v="20"/>
    <x v="1"/>
    <x v="17"/>
  </r>
  <r>
    <x v="21"/>
    <x v="21"/>
    <d v="1999-08-26T00:00:00"/>
    <d v="1975-02-15T00:00:00"/>
    <x v="3"/>
    <x v="21"/>
    <x v="2"/>
    <x v="0"/>
    <x v="21"/>
    <x v="3"/>
    <x v="18"/>
  </r>
  <r>
    <x v="22"/>
    <x v="22"/>
    <d v="1991-03-12T00:00:00"/>
    <d v="2006-12-15T00:00:00"/>
    <x v="4"/>
    <x v="22"/>
    <x v="5"/>
    <x v="1"/>
    <x v="22"/>
    <x v="5"/>
    <x v="19"/>
  </r>
  <r>
    <x v="23"/>
    <x v="23"/>
    <d v="1979-10-29T00:00:00"/>
    <d v="2010-05-26T00:00:00"/>
    <x v="1"/>
    <x v="23"/>
    <x v="8"/>
    <x v="0"/>
    <x v="23"/>
    <x v="2"/>
    <x v="2"/>
  </r>
  <r>
    <x v="24"/>
    <x v="24"/>
    <d v="1997-11-24T00:00:00"/>
    <d v="1983-10-14T00:00:00"/>
    <x v="2"/>
    <x v="24"/>
    <x v="9"/>
    <x v="1"/>
    <x v="24"/>
    <x v="2"/>
    <x v="20"/>
  </r>
  <r>
    <x v="25"/>
    <x v="25"/>
    <d v="1981-03-01T00:00:00"/>
    <d v="1999-04-28T00:00:00"/>
    <x v="3"/>
    <x v="25"/>
    <x v="4"/>
    <x v="1"/>
    <x v="25"/>
    <x v="3"/>
    <x v="6"/>
  </r>
  <r>
    <x v="26"/>
    <x v="26"/>
    <d v="1984-05-26T00:00:00"/>
    <d v="1989-01-22T00:00:00"/>
    <x v="0"/>
    <x v="26"/>
    <x v="3"/>
    <x v="1"/>
    <x v="26"/>
    <x v="4"/>
    <x v="21"/>
  </r>
  <r>
    <x v="27"/>
    <x v="27"/>
    <d v="1985-09-01T00:00:00"/>
    <d v="2001-07-22T00:00:00"/>
    <x v="5"/>
    <x v="27"/>
    <x v="9"/>
    <x v="1"/>
    <x v="27"/>
    <x v="2"/>
    <x v="11"/>
  </r>
  <r>
    <x v="28"/>
    <x v="28"/>
    <d v="1988-02-10T00:00:00"/>
    <d v="1981-06-02T00:00:00"/>
    <x v="4"/>
    <x v="28"/>
    <x v="0"/>
    <x v="0"/>
    <x v="28"/>
    <x v="2"/>
    <x v="15"/>
  </r>
  <r>
    <x v="29"/>
    <x v="29"/>
    <d v="1959-04-09T00:00:00"/>
    <d v="2011-07-02T00:00:00"/>
    <x v="6"/>
    <x v="29"/>
    <x v="6"/>
    <x v="1"/>
    <x v="29"/>
    <x v="6"/>
    <x v="22"/>
  </r>
  <r>
    <x v="30"/>
    <x v="30"/>
    <d v="1976-01-04T00:00:00"/>
    <d v="1997-10-29T00:00:00"/>
    <x v="2"/>
    <x v="30"/>
    <x v="7"/>
    <x v="0"/>
    <x v="30"/>
    <x v="2"/>
    <x v="23"/>
  </r>
  <r>
    <x v="31"/>
    <x v="31"/>
    <d v="1972-11-11T00:00:00"/>
    <d v="1992-07-01T00:00:00"/>
    <x v="0"/>
    <x v="31"/>
    <x v="2"/>
    <x v="1"/>
    <x v="31"/>
    <x v="4"/>
    <x v="24"/>
  </r>
  <r>
    <x v="32"/>
    <x v="32"/>
    <d v="2002-02-13T00:00:00"/>
    <d v="2009-08-13T00:00:00"/>
    <x v="1"/>
    <x v="32"/>
    <x v="9"/>
    <x v="0"/>
    <x v="32"/>
    <x v="6"/>
    <x v="25"/>
  </r>
  <r>
    <x v="33"/>
    <x v="33"/>
    <d v="1967-03-23T00:00:00"/>
    <d v="1999-03-30T00:00:00"/>
    <x v="0"/>
    <x v="33"/>
    <x v="9"/>
    <x v="0"/>
    <x v="33"/>
    <x v="3"/>
    <x v="6"/>
  </r>
  <r>
    <x v="34"/>
    <x v="34"/>
    <d v="1997-05-19T00:00:00"/>
    <d v="1976-03-16T00:00:00"/>
    <x v="2"/>
    <x v="34"/>
    <x v="7"/>
    <x v="0"/>
    <x v="9"/>
    <x v="6"/>
    <x v="26"/>
  </r>
  <r>
    <x v="35"/>
    <x v="35"/>
    <d v="1994-06-15T00:00:00"/>
    <d v="1997-08-17T00:00:00"/>
    <x v="3"/>
    <x v="35"/>
    <x v="0"/>
    <x v="1"/>
    <x v="34"/>
    <x v="3"/>
    <x v="23"/>
  </r>
  <r>
    <x v="36"/>
    <x v="36"/>
    <d v="1979-08-10T00:00:00"/>
    <d v="2010-11-27T00:00:00"/>
    <x v="2"/>
    <x v="36"/>
    <x v="6"/>
    <x v="1"/>
    <x v="35"/>
    <x v="2"/>
    <x v="2"/>
  </r>
  <r>
    <x v="37"/>
    <x v="37"/>
    <d v="1999-07-21T00:00:00"/>
    <d v="2002-08-10T00:00:00"/>
    <x v="4"/>
    <x v="37"/>
    <x v="7"/>
    <x v="1"/>
    <x v="36"/>
    <x v="5"/>
    <x v="27"/>
  </r>
  <r>
    <x v="38"/>
    <x v="38"/>
    <d v="1986-04-23T00:00:00"/>
    <d v="2004-03-08T00:00:00"/>
    <x v="6"/>
    <x v="38"/>
    <x v="7"/>
    <x v="1"/>
    <x v="37"/>
    <x v="6"/>
    <x v="28"/>
  </r>
  <r>
    <x v="39"/>
    <x v="39"/>
    <d v="1965-09-20T00:00:00"/>
    <d v="1972-07-25T00:00:00"/>
    <x v="3"/>
    <x v="39"/>
    <x v="5"/>
    <x v="1"/>
    <x v="38"/>
    <x v="3"/>
    <x v="13"/>
  </r>
  <r>
    <x v="40"/>
    <x v="40"/>
    <d v="1984-03-27T00:00:00"/>
    <d v="2005-11-05T00:00:00"/>
    <x v="0"/>
    <x v="40"/>
    <x v="3"/>
    <x v="1"/>
    <x v="39"/>
    <x v="1"/>
    <x v="9"/>
  </r>
  <r>
    <x v="41"/>
    <x v="41"/>
    <d v="1996-06-25T00:00:00"/>
    <d v="1981-08-03T00:00:00"/>
    <x v="0"/>
    <x v="41"/>
    <x v="0"/>
    <x v="0"/>
    <x v="40"/>
    <x v="5"/>
    <x v="15"/>
  </r>
  <r>
    <x v="42"/>
    <x v="42"/>
    <d v="1986-07-30T00:00:00"/>
    <d v="1973-01-08T00:00:00"/>
    <x v="4"/>
    <x v="42"/>
    <x v="1"/>
    <x v="1"/>
    <x v="41"/>
    <x v="3"/>
    <x v="29"/>
  </r>
  <r>
    <x v="43"/>
    <x v="43"/>
    <d v="1977-12-23T00:00:00"/>
    <d v="1996-05-21T00:00:00"/>
    <x v="5"/>
    <x v="43"/>
    <x v="8"/>
    <x v="1"/>
    <x v="42"/>
    <x v="0"/>
    <x v="30"/>
  </r>
  <r>
    <x v="44"/>
    <x v="44"/>
    <d v="1976-01-01T00:00:00"/>
    <d v="2002-03-20T00:00:00"/>
    <x v="1"/>
    <x v="44"/>
    <x v="0"/>
    <x v="1"/>
    <x v="43"/>
    <x v="4"/>
    <x v="27"/>
  </r>
  <r>
    <x v="45"/>
    <x v="45"/>
    <d v="1995-09-12T00:00:00"/>
    <d v="1978-04-11T00:00:00"/>
    <x v="2"/>
    <x v="45"/>
    <x v="2"/>
    <x v="1"/>
    <x v="44"/>
    <x v="4"/>
    <x v="14"/>
  </r>
  <r>
    <x v="46"/>
    <x v="46"/>
    <d v="2001-09-23T00:00:00"/>
    <d v="1973-02-21T00:00:00"/>
    <x v="2"/>
    <x v="46"/>
    <x v="1"/>
    <x v="0"/>
    <x v="10"/>
    <x v="1"/>
    <x v="29"/>
  </r>
  <r>
    <x v="47"/>
    <x v="47"/>
    <d v="1987-03-03T00:00:00"/>
    <d v="1977-05-06T00:00:00"/>
    <x v="5"/>
    <x v="47"/>
    <x v="3"/>
    <x v="0"/>
    <x v="13"/>
    <x v="4"/>
    <x v="31"/>
  </r>
  <r>
    <x v="48"/>
    <x v="48"/>
    <d v="1979-12-07T00:00:00"/>
    <d v="2005-04-09T00:00:00"/>
    <x v="2"/>
    <x v="48"/>
    <x v="2"/>
    <x v="0"/>
    <x v="45"/>
    <x v="3"/>
    <x v="9"/>
  </r>
  <r>
    <x v="49"/>
    <x v="49"/>
    <d v="1997-07-11T00:00:00"/>
    <d v="2009-03-18T00:00:00"/>
    <x v="4"/>
    <x v="49"/>
    <x v="5"/>
    <x v="0"/>
    <x v="0"/>
    <x v="0"/>
    <x v="25"/>
  </r>
  <r>
    <x v="50"/>
    <x v="50"/>
    <d v="1987-04-12T00:00:00"/>
    <d v="2008-08-28T00:00:00"/>
    <x v="4"/>
    <x v="50"/>
    <x v="7"/>
    <x v="0"/>
    <x v="46"/>
    <x v="6"/>
    <x v="17"/>
  </r>
  <r>
    <x v="51"/>
    <x v="51"/>
    <d v="1983-10-29T00:00:00"/>
    <d v="2020-12-29T00:00:00"/>
    <x v="0"/>
    <x v="51"/>
    <x v="7"/>
    <x v="0"/>
    <x v="47"/>
    <x v="2"/>
    <x v="32"/>
  </r>
  <r>
    <x v="52"/>
    <x v="52"/>
    <d v="1975-07-02T00:00:00"/>
    <d v="1980-08-04T00:00:00"/>
    <x v="5"/>
    <x v="52"/>
    <x v="6"/>
    <x v="0"/>
    <x v="48"/>
    <x v="6"/>
    <x v="33"/>
  </r>
  <r>
    <x v="53"/>
    <x v="53"/>
    <d v="1997-05-04T00:00:00"/>
    <d v="1991-01-31T00:00:00"/>
    <x v="2"/>
    <x v="53"/>
    <x v="9"/>
    <x v="0"/>
    <x v="49"/>
    <x v="6"/>
    <x v="34"/>
  </r>
  <r>
    <x v="54"/>
    <x v="54"/>
    <d v="1982-12-18T00:00:00"/>
    <d v="2007-01-01T00:00:00"/>
    <x v="6"/>
    <x v="54"/>
    <x v="5"/>
    <x v="1"/>
    <x v="50"/>
    <x v="4"/>
    <x v="35"/>
  </r>
  <r>
    <x v="55"/>
    <x v="55"/>
    <d v="1977-05-19T00:00:00"/>
    <d v="1979-10-12T00:00:00"/>
    <x v="4"/>
    <x v="55"/>
    <x v="2"/>
    <x v="0"/>
    <x v="51"/>
    <x v="0"/>
    <x v="36"/>
  </r>
  <r>
    <x v="56"/>
    <x v="56"/>
    <d v="1979-05-15T00:00:00"/>
    <d v="2001-03-13T00:00:00"/>
    <x v="4"/>
    <x v="56"/>
    <x v="2"/>
    <x v="0"/>
    <x v="52"/>
    <x v="3"/>
    <x v="11"/>
  </r>
  <r>
    <x v="57"/>
    <x v="57"/>
    <d v="1987-12-09T00:00:00"/>
    <d v="2005-08-13T00:00:00"/>
    <x v="2"/>
    <x v="57"/>
    <x v="9"/>
    <x v="1"/>
    <x v="53"/>
    <x v="6"/>
    <x v="9"/>
  </r>
  <r>
    <x v="58"/>
    <x v="58"/>
    <d v="2000-03-29T00:00:00"/>
    <d v="2014-01-17T00:00:00"/>
    <x v="5"/>
    <x v="58"/>
    <x v="6"/>
    <x v="0"/>
    <x v="54"/>
    <x v="5"/>
    <x v="0"/>
  </r>
  <r>
    <x v="59"/>
    <x v="59"/>
    <d v="1989-10-11T00:00:00"/>
    <d v="1972-12-13T00:00:00"/>
    <x v="4"/>
    <x v="59"/>
    <x v="5"/>
    <x v="0"/>
    <x v="55"/>
    <x v="6"/>
    <x v="13"/>
  </r>
  <r>
    <x v="60"/>
    <x v="60"/>
    <d v="1979-10-11T00:00:00"/>
    <d v="1988-09-10T00:00:00"/>
    <x v="1"/>
    <x v="60"/>
    <x v="2"/>
    <x v="1"/>
    <x v="56"/>
    <x v="4"/>
    <x v="37"/>
  </r>
  <r>
    <x v="61"/>
    <x v="61"/>
    <d v="2001-03-08T00:00:00"/>
    <d v="1997-05-18T00:00:00"/>
    <x v="0"/>
    <x v="61"/>
    <x v="6"/>
    <x v="1"/>
    <x v="57"/>
    <x v="3"/>
    <x v="23"/>
  </r>
  <r>
    <x v="62"/>
    <x v="62"/>
    <d v="1970-07-17T00:00:00"/>
    <d v="1976-11-08T00:00:00"/>
    <x v="3"/>
    <x v="62"/>
    <x v="0"/>
    <x v="0"/>
    <x v="58"/>
    <x v="4"/>
    <x v="26"/>
  </r>
  <r>
    <x v="63"/>
    <x v="63"/>
    <d v="1973-02-17T00:00:00"/>
    <d v="1973-11-11T00:00:00"/>
    <x v="0"/>
    <x v="63"/>
    <x v="3"/>
    <x v="0"/>
    <x v="20"/>
    <x v="6"/>
    <x v="29"/>
  </r>
  <r>
    <x v="64"/>
    <x v="64"/>
    <d v="1997-03-09T00:00:00"/>
    <d v="2008-02-09T00:00:00"/>
    <x v="3"/>
    <x v="64"/>
    <x v="6"/>
    <x v="1"/>
    <x v="59"/>
    <x v="4"/>
    <x v="17"/>
  </r>
  <r>
    <x v="65"/>
    <x v="65"/>
    <d v="1983-01-27T00:00:00"/>
    <d v="1972-07-23T00:00:00"/>
    <x v="3"/>
    <x v="65"/>
    <x v="8"/>
    <x v="0"/>
    <x v="33"/>
    <x v="0"/>
    <x v="13"/>
  </r>
  <r>
    <x v="66"/>
    <x v="66"/>
    <d v="1987-01-10T00:00:00"/>
    <d v="2000-10-21T00:00:00"/>
    <x v="6"/>
    <x v="66"/>
    <x v="8"/>
    <x v="1"/>
    <x v="60"/>
    <x v="1"/>
    <x v="3"/>
  </r>
  <r>
    <x v="67"/>
    <x v="67"/>
    <d v="1976-03-24T00:00:00"/>
    <d v="1984-09-11T00:00:00"/>
    <x v="4"/>
    <x v="67"/>
    <x v="9"/>
    <x v="0"/>
    <x v="61"/>
    <x v="0"/>
    <x v="38"/>
  </r>
  <r>
    <x v="68"/>
    <x v="68"/>
    <d v="1984-03-18T00:00:00"/>
    <d v="1983-02-17T00:00:00"/>
    <x v="2"/>
    <x v="68"/>
    <x v="9"/>
    <x v="0"/>
    <x v="62"/>
    <x v="5"/>
    <x v="20"/>
  </r>
  <r>
    <x v="69"/>
    <x v="69"/>
    <d v="1975-04-28T00:00:00"/>
    <d v="1983-03-10T00:00:00"/>
    <x v="4"/>
    <x v="69"/>
    <x v="3"/>
    <x v="1"/>
    <x v="63"/>
    <x v="1"/>
    <x v="20"/>
  </r>
  <r>
    <x v="70"/>
    <x v="70"/>
    <d v="2000-05-30T00:00:00"/>
    <d v="2005-05-04T00:00:00"/>
    <x v="6"/>
    <x v="70"/>
    <x v="7"/>
    <x v="1"/>
    <x v="64"/>
    <x v="0"/>
    <x v="9"/>
  </r>
  <r>
    <x v="71"/>
    <x v="71"/>
    <d v="2001-09-17T00:00:00"/>
    <d v="2019-02-18T00:00:00"/>
    <x v="3"/>
    <x v="71"/>
    <x v="4"/>
    <x v="0"/>
    <x v="65"/>
    <x v="0"/>
    <x v="8"/>
  </r>
  <r>
    <x v="72"/>
    <x v="72"/>
    <d v="1997-07-23T00:00:00"/>
    <d v="2008-09-29T00:00:00"/>
    <x v="5"/>
    <x v="72"/>
    <x v="0"/>
    <x v="0"/>
    <x v="36"/>
    <x v="1"/>
    <x v="17"/>
  </r>
  <r>
    <x v="73"/>
    <x v="73"/>
    <d v="2001-09-25T00:00:00"/>
    <d v="1988-10-21T00:00:00"/>
    <x v="2"/>
    <x v="73"/>
    <x v="9"/>
    <x v="1"/>
    <x v="66"/>
    <x v="2"/>
    <x v="37"/>
  </r>
  <r>
    <x v="74"/>
    <x v="74"/>
    <d v="1978-06-29T00:00:00"/>
    <d v="1992-04-29T00:00:00"/>
    <x v="3"/>
    <x v="74"/>
    <x v="9"/>
    <x v="0"/>
    <x v="67"/>
    <x v="4"/>
    <x v="24"/>
  </r>
  <r>
    <x v="75"/>
    <x v="75"/>
    <d v="1982-06-19T00:00:00"/>
    <d v="2022-07-05T00:00:00"/>
    <x v="4"/>
    <x v="75"/>
    <x v="1"/>
    <x v="1"/>
    <x v="68"/>
    <x v="2"/>
    <x v="39"/>
  </r>
  <r>
    <x v="76"/>
    <x v="76"/>
    <d v="1960-03-24T00:00:00"/>
    <d v="2013-04-04T00:00:00"/>
    <x v="5"/>
    <x v="76"/>
    <x v="2"/>
    <x v="1"/>
    <x v="69"/>
    <x v="0"/>
    <x v="40"/>
  </r>
  <r>
    <x v="77"/>
    <x v="77"/>
    <d v="2002-08-11T00:00:00"/>
    <d v="1976-07-17T00:00:00"/>
    <x v="0"/>
    <x v="77"/>
    <x v="1"/>
    <x v="1"/>
    <x v="70"/>
    <x v="0"/>
    <x v="26"/>
  </r>
  <r>
    <x v="78"/>
    <x v="78"/>
    <d v="2000-11-05T00:00:00"/>
    <d v="1995-05-11T00:00:00"/>
    <x v="1"/>
    <x v="78"/>
    <x v="8"/>
    <x v="0"/>
    <x v="71"/>
    <x v="4"/>
    <x v="41"/>
  </r>
  <r>
    <x v="79"/>
    <x v="79"/>
    <d v="1972-05-10T00:00:00"/>
    <d v="2002-09-15T00:00:00"/>
    <x v="6"/>
    <x v="79"/>
    <x v="9"/>
    <x v="1"/>
    <x v="72"/>
    <x v="1"/>
    <x v="27"/>
  </r>
  <r>
    <x v="80"/>
    <x v="80"/>
    <d v="1982-12-12T00:00:00"/>
    <d v="1996-08-03T00:00:00"/>
    <x v="1"/>
    <x v="80"/>
    <x v="5"/>
    <x v="1"/>
    <x v="73"/>
    <x v="5"/>
    <x v="30"/>
  </r>
  <r>
    <x v="81"/>
    <x v="81"/>
    <d v="1986-04-16T00:00:00"/>
    <d v="1978-04-12T00:00:00"/>
    <x v="0"/>
    <x v="81"/>
    <x v="4"/>
    <x v="1"/>
    <x v="74"/>
    <x v="4"/>
    <x v="14"/>
  </r>
  <r>
    <x v="82"/>
    <x v="82"/>
    <d v="1970-11-20T00:00:00"/>
    <d v="2010-04-10T00:00:00"/>
    <x v="0"/>
    <x v="82"/>
    <x v="4"/>
    <x v="0"/>
    <x v="75"/>
    <x v="2"/>
    <x v="2"/>
  </r>
  <r>
    <x v="83"/>
    <x v="83"/>
    <d v="1991-03-16T00:00:00"/>
    <d v="1985-11-09T00:00:00"/>
    <x v="0"/>
    <x v="83"/>
    <x v="3"/>
    <x v="0"/>
    <x v="76"/>
    <x v="3"/>
    <x v="12"/>
  </r>
  <r>
    <x v="84"/>
    <x v="84"/>
    <d v="1998-10-03T00:00:00"/>
    <d v="1993-01-17T00:00:00"/>
    <x v="2"/>
    <x v="84"/>
    <x v="2"/>
    <x v="0"/>
    <x v="77"/>
    <x v="1"/>
    <x v="42"/>
  </r>
  <r>
    <x v="85"/>
    <x v="85"/>
    <d v="1972-06-19T00:00:00"/>
    <d v="2015-02-09T00:00:00"/>
    <x v="1"/>
    <x v="85"/>
    <x v="8"/>
    <x v="1"/>
    <x v="78"/>
    <x v="6"/>
    <x v="43"/>
  </r>
  <r>
    <x v="86"/>
    <x v="86"/>
    <d v="1996-12-27T00:00:00"/>
    <d v="1979-01-14T00:00:00"/>
    <x v="4"/>
    <x v="86"/>
    <x v="0"/>
    <x v="0"/>
    <x v="79"/>
    <x v="4"/>
    <x v="36"/>
  </r>
  <r>
    <x v="87"/>
    <x v="87"/>
    <d v="1995-05-22T00:00:00"/>
    <d v="1973-08-23T00:00:00"/>
    <x v="5"/>
    <x v="87"/>
    <x v="4"/>
    <x v="0"/>
    <x v="80"/>
    <x v="0"/>
    <x v="29"/>
  </r>
  <r>
    <x v="88"/>
    <x v="88"/>
    <d v="1960-05-27T00:00:00"/>
    <d v="2009-04-09T00:00:00"/>
    <x v="6"/>
    <x v="88"/>
    <x v="5"/>
    <x v="1"/>
    <x v="81"/>
    <x v="5"/>
    <x v="25"/>
  </r>
  <r>
    <x v="89"/>
    <x v="89"/>
    <d v="2000-12-16T00:00:00"/>
    <d v="2000-12-03T00:00:00"/>
    <x v="3"/>
    <x v="89"/>
    <x v="8"/>
    <x v="0"/>
    <x v="82"/>
    <x v="4"/>
    <x v="3"/>
  </r>
  <r>
    <x v="90"/>
    <x v="90"/>
    <d v="1982-12-21T00:00:00"/>
    <d v="1970-04-01T00:00:00"/>
    <x v="0"/>
    <x v="90"/>
    <x v="9"/>
    <x v="1"/>
    <x v="83"/>
    <x v="2"/>
    <x v="5"/>
  </r>
  <r>
    <x v="91"/>
    <x v="91"/>
    <d v="1981-01-26T00:00:00"/>
    <d v="1971-03-25T00:00:00"/>
    <x v="0"/>
    <x v="91"/>
    <x v="2"/>
    <x v="0"/>
    <x v="84"/>
    <x v="6"/>
    <x v="44"/>
  </r>
  <r>
    <x v="92"/>
    <x v="92"/>
    <d v="1981-12-20T00:00:00"/>
    <d v="2000-05-30T00:00:00"/>
    <x v="2"/>
    <x v="92"/>
    <x v="4"/>
    <x v="0"/>
    <x v="85"/>
    <x v="6"/>
    <x v="3"/>
  </r>
  <r>
    <x v="93"/>
    <x v="93"/>
    <d v="1978-09-27T00:00:00"/>
    <d v="1973-02-09T00:00:00"/>
    <x v="2"/>
    <x v="93"/>
    <x v="0"/>
    <x v="0"/>
    <x v="52"/>
    <x v="2"/>
    <x v="29"/>
  </r>
  <r>
    <x v="94"/>
    <x v="94"/>
    <d v="1983-04-18T00:00:00"/>
    <d v="2003-10-28T00:00:00"/>
    <x v="1"/>
    <x v="94"/>
    <x v="1"/>
    <x v="0"/>
    <x v="86"/>
    <x v="1"/>
    <x v="10"/>
  </r>
  <r>
    <x v="95"/>
    <x v="95"/>
    <d v="1980-12-09T00:00:00"/>
    <d v="2014-03-02T00:00:00"/>
    <x v="2"/>
    <x v="95"/>
    <x v="2"/>
    <x v="0"/>
    <x v="87"/>
    <x v="3"/>
    <x v="0"/>
  </r>
  <r>
    <x v="96"/>
    <x v="96"/>
    <d v="1988-09-18T00:00:00"/>
    <d v="2013-10-17T00:00:00"/>
    <x v="5"/>
    <x v="96"/>
    <x v="5"/>
    <x v="1"/>
    <x v="88"/>
    <x v="3"/>
    <x v="40"/>
  </r>
  <r>
    <x v="97"/>
    <x v="97"/>
    <d v="1994-07-01T00:00:00"/>
    <d v="2013-08-02T00:00:00"/>
    <x v="4"/>
    <x v="97"/>
    <x v="8"/>
    <x v="0"/>
    <x v="89"/>
    <x v="3"/>
    <x v="40"/>
  </r>
  <r>
    <x v="98"/>
    <x v="98"/>
    <d v="1998-05-28T00:00:00"/>
    <d v="1986-04-04T00:00:00"/>
    <x v="5"/>
    <x v="98"/>
    <x v="9"/>
    <x v="0"/>
    <x v="90"/>
    <x v="0"/>
    <x v="4"/>
  </r>
  <r>
    <x v="99"/>
    <x v="99"/>
    <d v="1965-05-07T00:00:00"/>
    <d v="1994-06-23T00:00:00"/>
    <x v="6"/>
    <x v="99"/>
    <x v="9"/>
    <x v="1"/>
    <x v="91"/>
    <x v="5"/>
    <x v="45"/>
  </r>
  <r>
    <x v="100"/>
    <x v="100"/>
    <d v="1997-02-03T00:00:00"/>
    <d v="1978-05-31T00:00:00"/>
    <x v="1"/>
    <x v="100"/>
    <x v="1"/>
    <x v="0"/>
    <x v="92"/>
    <x v="4"/>
    <x v="14"/>
  </r>
  <r>
    <x v="101"/>
    <x v="101"/>
    <d v="1961-07-31T00:00:00"/>
    <d v="2001-10-02T00:00:00"/>
    <x v="3"/>
    <x v="101"/>
    <x v="9"/>
    <x v="1"/>
    <x v="93"/>
    <x v="2"/>
    <x v="11"/>
  </r>
  <r>
    <x v="102"/>
    <x v="102"/>
    <d v="1960-08-05T00:00:00"/>
    <d v="1997-04-15T00:00:00"/>
    <x v="6"/>
    <x v="102"/>
    <x v="5"/>
    <x v="1"/>
    <x v="19"/>
    <x v="1"/>
    <x v="23"/>
  </r>
  <r>
    <x v="103"/>
    <x v="103"/>
    <d v="1959-01-10T00:00:00"/>
    <d v="1992-11-26T00:00:00"/>
    <x v="3"/>
    <x v="103"/>
    <x v="0"/>
    <x v="1"/>
    <x v="94"/>
    <x v="6"/>
    <x v="24"/>
  </r>
  <r>
    <x v="104"/>
    <x v="104"/>
    <d v="1973-02-25T00:00:00"/>
    <d v="1996-02-15T00:00:00"/>
    <x v="4"/>
    <x v="104"/>
    <x v="9"/>
    <x v="0"/>
    <x v="95"/>
    <x v="0"/>
    <x v="30"/>
  </r>
  <r>
    <x v="105"/>
    <x v="105"/>
    <d v="2000-12-08T00:00:00"/>
    <d v="2020-09-09T00:00:00"/>
    <x v="6"/>
    <x v="105"/>
    <x v="9"/>
    <x v="1"/>
    <x v="96"/>
    <x v="4"/>
    <x v="32"/>
  </r>
  <r>
    <x v="106"/>
    <x v="106"/>
    <d v="1997-04-24T00:00:00"/>
    <d v="2002-11-09T00:00:00"/>
    <x v="3"/>
    <x v="106"/>
    <x v="9"/>
    <x v="0"/>
    <x v="97"/>
    <x v="1"/>
    <x v="27"/>
  </r>
  <r>
    <x v="107"/>
    <x v="107"/>
    <d v="1977-12-15T00:00:00"/>
    <d v="1984-07-14T00:00:00"/>
    <x v="1"/>
    <x v="107"/>
    <x v="4"/>
    <x v="1"/>
    <x v="98"/>
    <x v="1"/>
    <x v="38"/>
  </r>
  <r>
    <x v="108"/>
    <x v="108"/>
    <d v="1983-04-03T00:00:00"/>
    <d v="1998-06-03T00:00:00"/>
    <x v="5"/>
    <x v="108"/>
    <x v="4"/>
    <x v="0"/>
    <x v="99"/>
    <x v="2"/>
    <x v="7"/>
  </r>
  <r>
    <x v="109"/>
    <x v="109"/>
    <d v="1982-11-12T00:00:00"/>
    <d v="2001-04-13T00:00:00"/>
    <x v="6"/>
    <x v="109"/>
    <x v="1"/>
    <x v="0"/>
    <x v="100"/>
    <x v="5"/>
    <x v="11"/>
  </r>
  <r>
    <x v="110"/>
    <x v="110"/>
    <d v="1965-05-27T00:00:00"/>
    <d v="1993-11-23T00:00:00"/>
    <x v="4"/>
    <x v="110"/>
    <x v="4"/>
    <x v="0"/>
    <x v="101"/>
    <x v="5"/>
    <x v="42"/>
  </r>
  <r>
    <x v="111"/>
    <x v="111"/>
    <d v="1987-05-25T00:00:00"/>
    <d v="1980-05-08T00:00:00"/>
    <x v="1"/>
    <x v="111"/>
    <x v="1"/>
    <x v="0"/>
    <x v="23"/>
    <x v="1"/>
    <x v="33"/>
  </r>
  <r>
    <x v="112"/>
    <x v="112"/>
    <d v="2002-12-05T00:00:00"/>
    <d v="1998-08-15T00:00:00"/>
    <x v="3"/>
    <x v="112"/>
    <x v="8"/>
    <x v="0"/>
    <x v="102"/>
    <x v="6"/>
    <x v="7"/>
  </r>
  <r>
    <x v="113"/>
    <x v="113"/>
    <d v="1960-06-30T00:00:00"/>
    <d v="1972-02-05T00:00:00"/>
    <x v="4"/>
    <x v="113"/>
    <x v="7"/>
    <x v="1"/>
    <x v="103"/>
    <x v="2"/>
    <x v="13"/>
  </r>
  <r>
    <x v="114"/>
    <x v="114"/>
    <d v="2001-12-28T00:00:00"/>
    <d v="1981-12-14T00:00:00"/>
    <x v="1"/>
    <x v="114"/>
    <x v="0"/>
    <x v="0"/>
    <x v="13"/>
    <x v="4"/>
    <x v="15"/>
  </r>
  <r>
    <x v="115"/>
    <x v="115"/>
    <d v="1991-03-13T00:00:00"/>
    <d v="2022-08-13T00:00:00"/>
    <x v="3"/>
    <x v="115"/>
    <x v="6"/>
    <x v="0"/>
    <x v="104"/>
    <x v="0"/>
    <x v="39"/>
  </r>
  <r>
    <x v="116"/>
    <x v="116"/>
    <d v="2000-04-15T00:00:00"/>
    <d v="1987-09-03T00:00:00"/>
    <x v="0"/>
    <x v="116"/>
    <x v="7"/>
    <x v="0"/>
    <x v="55"/>
    <x v="3"/>
    <x v="46"/>
  </r>
  <r>
    <x v="117"/>
    <x v="117"/>
    <d v="1960-09-20T00:00:00"/>
    <d v="2000-05-11T00:00:00"/>
    <x v="2"/>
    <x v="117"/>
    <x v="2"/>
    <x v="1"/>
    <x v="105"/>
    <x v="4"/>
    <x v="3"/>
  </r>
  <r>
    <x v="118"/>
    <x v="118"/>
    <d v="1967-04-19T00:00:00"/>
    <d v="2014-09-29T00:00:00"/>
    <x v="3"/>
    <x v="118"/>
    <x v="9"/>
    <x v="1"/>
    <x v="106"/>
    <x v="2"/>
    <x v="0"/>
  </r>
  <r>
    <x v="119"/>
    <x v="119"/>
    <d v="2001-06-04T00:00:00"/>
    <d v="1987-09-23T00:00:00"/>
    <x v="0"/>
    <x v="119"/>
    <x v="8"/>
    <x v="1"/>
    <x v="107"/>
    <x v="6"/>
    <x v="46"/>
  </r>
  <r>
    <x v="120"/>
    <x v="120"/>
    <d v="1961-03-15T00:00:00"/>
    <d v="1997-11-12T00:00:00"/>
    <x v="6"/>
    <x v="120"/>
    <x v="9"/>
    <x v="1"/>
    <x v="108"/>
    <x v="3"/>
    <x v="23"/>
  </r>
  <r>
    <x v="121"/>
    <x v="121"/>
    <d v="1994-05-17T00:00:00"/>
    <d v="2006-10-15T00:00:00"/>
    <x v="5"/>
    <x v="121"/>
    <x v="4"/>
    <x v="0"/>
    <x v="109"/>
    <x v="6"/>
    <x v="19"/>
  </r>
  <r>
    <x v="122"/>
    <x v="122"/>
    <d v="1977-11-14T00:00:00"/>
    <d v="1985-08-19T00:00:00"/>
    <x v="0"/>
    <x v="122"/>
    <x v="5"/>
    <x v="1"/>
    <x v="110"/>
    <x v="5"/>
    <x v="12"/>
  </r>
  <r>
    <x v="123"/>
    <x v="123"/>
    <d v="2002-10-04T00:00:00"/>
    <d v="2020-08-07T00:00:00"/>
    <x v="6"/>
    <x v="123"/>
    <x v="1"/>
    <x v="0"/>
    <x v="111"/>
    <x v="0"/>
    <x v="32"/>
  </r>
  <r>
    <x v="124"/>
    <x v="124"/>
    <d v="1976-09-06T00:00:00"/>
    <d v="2003-10-18T00:00:00"/>
    <x v="3"/>
    <x v="124"/>
    <x v="7"/>
    <x v="1"/>
    <x v="112"/>
    <x v="2"/>
    <x v="10"/>
  </r>
  <r>
    <x v="125"/>
    <x v="125"/>
    <d v="1998-02-12T00:00:00"/>
    <d v="1987-10-10T00:00:00"/>
    <x v="2"/>
    <x v="125"/>
    <x v="5"/>
    <x v="0"/>
    <x v="18"/>
    <x v="2"/>
    <x v="46"/>
  </r>
  <r>
    <x v="126"/>
    <x v="126"/>
    <d v="1988-11-02T00:00:00"/>
    <d v="1986-01-25T00:00:00"/>
    <x v="6"/>
    <x v="126"/>
    <x v="7"/>
    <x v="0"/>
    <x v="113"/>
    <x v="2"/>
    <x v="4"/>
  </r>
  <r>
    <x v="127"/>
    <x v="127"/>
    <d v="2002-07-26T00:00:00"/>
    <d v="1999-02-20T00:00:00"/>
    <x v="4"/>
    <x v="127"/>
    <x v="1"/>
    <x v="0"/>
    <x v="114"/>
    <x v="4"/>
    <x v="6"/>
  </r>
  <r>
    <x v="128"/>
    <x v="128"/>
    <d v="1971-07-23T00:00:00"/>
    <d v="2018-12-24T00:00:00"/>
    <x v="4"/>
    <x v="128"/>
    <x v="8"/>
    <x v="1"/>
    <x v="115"/>
    <x v="1"/>
    <x v="1"/>
  </r>
  <r>
    <x v="129"/>
    <x v="129"/>
    <d v="1972-12-01T00:00:00"/>
    <d v="2009-04-09T00:00:00"/>
    <x v="1"/>
    <x v="129"/>
    <x v="9"/>
    <x v="0"/>
    <x v="116"/>
    <x v="3"/>
    <x v="25"/>
  </r>
  <r>
    <x v="130"/>
    <x v="130"/>
    <d v="1963-06-08T00:00:00"/>
    <d v="1985-01-30T00:00:00"/>
    <x v="5"/>
    <x v="130"/>
    <x v="1"/>
    <x v="0"/>
    <x v="41"/>
    <x v="6"/>
    <x v="12"/>
  </r>
  <r>
    <x v="131"/>
    <x v="131"/>
    <d v="1993-11-19T00:00:00"/>
    <d v="2011-09-24T00:00:00"/>
    <x v="6"/>
    <x v="131"/>
    <x v="2"/>
    <x v="0"/>
    <x v="117"/>
    <x v="3"/>
    <x v="22"/>
  </r>
  <r>
    <x v="132"/>
    <x v="132"/>
    <d v="1982-05-23T00:00:00"/>
    <d v="1991-05-23T00:00:00"/>
    <x v="0"/>
    <x v="132"/>
    <x v="1"/>
    <x v="0"/>
    <x v="118"/>
    <x v="2"/>
    <x v="34"/>
  </r>
  <r>
    <x v="133"/>
    <x v="133"/>
    <d v="2002-06-06T00:00:00"/>
    <d v="2012-06-30T00:00:00"/>
    <x v="6"/>
    <x v="133"/>
    <x v="8"/>
    <x v="1"/>
    <x v="119"/>
    <x v="6"/>
    <x v="16"/>
  </r>
  <r>
    <x v="134"/>
    <x v="134"/>
    <d v="1976-01-26T00:00:00"/>
    <d v="2008-09-29T00:00:00"/>
    <x v="5"/>
    <x v="134"/>
    <x v="3"/>
    <x v="1"/>
    <x v="28"/>
    <x v="2"/>
    <x v="17"/>
  </r>
  <r>
    <x v="135"/>
    <x v="135"/>
    <d v="1998-03-21T00:00:00"/>
    <d v="1981-11-03T00:00:00"/>
    <x v="0"/>
    <x v="135"/>
    <x v="4"/>
    <x v="1"/>
    <x v="120"/>
    <x v="2"/>
    <x v="15"/>
  </r>
  <r>
    <x v="136"/>
    <x v="136"/>
    <d v="1999-05-21T00:00:00"/>
    <d v="1985-05-30T00:00:00"/>
    <x v="5"/>
    <x v="136"/>
    <x v="0"/>
    <x v="1"/>
    <x v="121"/>
    <x v="1"/>
    <x v="12"/>
  </r>
  <r>
    <x v="137"/>
    <x v="137"/>
    <d v="1976-05-15T00:00:00"/>
    <d v="2020-06-04T00:00:00"/>
    <x v="2"/>
    <x v="137"/>
    <x v="9"/>
    <x v="1"/>
    <x v="122"/>
    <x v="3"/>
    <x v="32"/>
  </r>
  <r>
    <x v="138"/>
    <x v="138"/>
    <d v="1994-09-30T00:00:00"/>
    <d v="1984-08-07T00:00:00"/>
    <x v="2"/>
    <x v="138"/>
    <x v="6"/>
    <x v="0"/>
    <x v="123"/>
    <x v="5"/>
    <x v="38"/>
  </r>
  <r>
    <x v="139"/>
    <x v="139"/>
    <d v="1963-03-25T00:00:00"/>
    <d v="1998-10-19T00:00:00"/>
    <x v="6"/>
    <x v="139"/>
    <x v="8"/>
    <x v="1"/>
    <x v="124"/>
    <x v="0"/>
    <x v="7"/>
  </r>
  <r>
    <x v="140"/>
    <x v="140"/>
    <d v="1960-12-14T00:00:00"/>
    <d v="2009-07-22T00:00:00"/>
    <x v="6"/>
    <x v="140"/>
    <x v="7"/>
    <x v="1"/>
    <x v="125"/>
    <x v="0"/>
    <x v="25"/>
  </r>
  <r>
    <x v="141"/>
    <x v="141"/>
    <d v="1976-09-20T00:00:00"/>
    <d v="2017-02-24T00:00:00"/>
    <x v="0"/>
    <x v="141"/>
    <x v="8"/>
    <x v="0"/>
    <x v="126"/>
    <x v="3"/>
    <x v="47"/>
  </r>
  <r>
    <x v="142"/>
    <x v="142"/>
    <d v="1961-09-30T00:00:00"/>
    <d v="2017-01-17T00:00:00"/>
    <x v="4"/>
    <x v="142"/>
    <x v="6"/>
    <x v="0"/>
    <x v="127"/>
    <x v="2"/>
    <x v="47"/>
  </r>
  <r>
    <x v="143"/>
    <x v="143"/>
    <d v="1976-07-31T00:00:00"/>
    <d v="1988-10-22T00:00:00"/>
    <x v="6"/>
    <x v="143"/>
    <x v="0"/>
    <x v="0"/>
    <x v="128"/>
    <x v="3"/>
    <x v="37"/>
  </r>
  <r>
    <x v="144"/>
    <x v="144"/>
    <d v="1983-11-30T00:00:00"/>
    <d v="1970-03-28T00:00:00"/>
    <x v="3"/>
    <x v="144"/>
    <x v="6"/>
    <x v="0"/>
    <x v="129"/>
    <x v="2"/>
    <x v="5"/>
  </r>
  <r>
    <x v="145"/>
    <x v="145"/>
    <d v="1989-04-09T00:00:00"/>
    <d v="2007-05-23T00:00:00"/>
    <x v="6"/>
    <x v="145"/>
    <x v="7"/>
    <x v="1"/>
    <x v="130"/>
    <x v="6"/>
    <x v="35"/>
  </r>
  <r>
    <x v="146"/>
    <x v="146"/>
    <d v="1977-05-02T00:00:00"/>
    <d v="2001-04-06T00:00:00"/>
    <x v="2"/>
    <x v="146"/>
    <x v="7"/>
    <x v="1"/>
    <x v="131"/>
    <x v="1"/>
    <x v="11"/>
  </r>
  <r>
    <x v="147"/>
    <x v="147"/>
    <d v="1987-11-11T00:00:00"/>
    <d v="1973-10-31T00:00:00"/>
    <x v="4"/>
    <x v="147"/>
    <x v="1"/>
    <x v="0"/>
    <x v="132"/>
    <x v="1"/>
    <x v="29"/>
  </r>
  <r>
    <x v="148"/>
    <x v="148"/>
    <d v="1974-10-19T00:00:00"/>
    <d v="1991-11-14T00:00:00"/>
    <x v="2"/>
    <x v="148"/>
    <x v="1"/>
    <x v="1"/>
    <x v="113"/>
    <x v="5"/>
    <x v="34"/>
  </r>
  <r>
    <x v="149"/>
    <x v="149"/>
    <d v="1988-06-02T00:00:00"/>
    <d v="1992-11-19T00:00:00"/>
    <x v="5"/>
    <x v="149"/>
    <x v="4"/>
    <x v="0"/>
    <x v="133"/>
    <x v="2"/>
    <x v="24"/>
  </r>
  <r>
    <x v="150"/>
    <x v="150"/>
    <d v="1996-08-10T00:00:00"/>
    <d v="2004-11-16T00:00:00"/>
    <x v="5"/>
    <x v="150"/>
    <x v="5"/>
    <x v="1"/>
    <x v="134"/>
    <x v="3"/>
    <x v="28"/>
  </r>
  <r>
    <x v="151"/>
    <x v="151"/>
    <d v="1963-10-22T00:00:00"/>
    <d v="1977-09-05T00:00:00"/>
    <x v="3"/>
    <x v="151"/>
    <x v="5"/>
    <x v="0"/>
    <x v="114"/>
    <x v="0"/>
    <x v="31"/>
  </r>
  <r>
    <x v="152"/>
    <x v="152"/>
    <d v="1966-05-26T00:00:00"/>
    <d v="2000-06-10T00:00:00"/>
    <x v="4"/>
    <x v="152"/>
    <x v="0"/>
    <x v="1"/>
    <x v="135"/>
    <x v="0"/>
    <x v="3"/>
  </r>
  <r>
    <x v="153"/>
    <x v="153"/>
    <d v="1976-12-31T00:00:00"/>
    <d v="2005-12-10T00:00:00"/>
    <x v="3"/>
    <x v="153"/>
    <x v="8"/>
    <x v="0"/>
    <x v="71"/>
    <x v="1"/>
    <x v="9"/>
  </r>
  <r>
    <x v="154"/>
    <x v="154"/>
    <d v="1991-02-24T00:00:00"/>
    <d v="2018-12-05T00:00:00"/>
    <x v="3"/>
    <x v="154"/>
    <x v="0"/>
    <x v="1"/>
    <x v="136"/>
    <x v="2"/>
    <x v="1"/>
  </r>
  <r>
    <x v="155"/>
    <x v="155"/>
    <d v="1965-07-21T00:00:00"/>
    <d v="2016-06-29T00:00:00"/>
    <x v="6"/>
    <x v="155"/>
    <x v="3"/>
    <x v="0"/>
    <x v="137"/>
    <x v="6"/>
    <x v="48"/>
  </r>
  <r>
    <x v="156"/>
    <x v="156"/>
    <d v="1971-01-21T00:00:00"/>
    <d v="1974-09-25T00:00:00"/>
    <x v="3"/>
    <x v="156"/>
    <x v="9"/>
    <x v="1"/>
    <x v="138"/>
    <x v="6"/>
    <x v="49"/>
  </r>
  <r>
    <x v="157"/>
    <x v="157"/>
    <d v="1981-07-19T00:00:00"/>
    <d v="1992-01-28T00:00:00"/>
    <x v="2"/>
    <x v="157"/>
    <x v="5"/>
    <x v="0"/>
    <x v="139"/>
    <x v="3"/>
    <x v="24"/>
  </r>
  <r>
    <x v="158"/>
    <x v="158"/>
    <d v="1959-11-01T00:00:00"/>
    <d v="1990-06-08T00:00:00"/>
    <x v="1"/>
    <x v="158"/>
    <x v="1"/>
    <x v="0"/>
    <x v="140"/>
    <x v="5"/>
    <x v="50"/>
  </r>
  <r>
    <x v="159"/>
    <x v="159"/>
    <d v="1967-08-01T00:00:00"/>
    <d v="1974-05-23T00:00:00"/>
    <x v="5"/>
    <x v="159"/>
    <x v="5"/>
    <x v="0"/>
    <x v="141"/>
    <x v="6"/>
    <x v="49"/>
  </r>
  <r>
    <x v="160"/>
    <x v="160"/>
    <d v="1979-01-22T00:00:00"/>
    <d v="1983-08-17T00:00:00"/>
    <x v="5"/>
    <x v="160"/>
    <x v="6"/>
    <x v="1"/>
    <x v="142"/>
    <x v="6"/>
    <x v="20"/>
  </r>
  <r>
    <x v="161"/>
    <x v="161"/>
    <d v="1973-12-05T00:00:00"/>
    <d v="1976-03-17T00:00:00"/>
    <x v="5"/>
    <x v="161"/>
    <x v="2"/>
    <x v="0"/>
    <x v="143"/>
    <x v="1"/>
    <x v="26"/>
  </r>
  <r>
    <x v="162"/>
    <x v="162"/>
    <d v="1990-07-31T00:00:00"/>
    <d v="2018-11-20T00:00:00"/>
    <x v="5"/>
    <x v="162"/>
    <x v="5"/>
    <x v="0"/>
    <x v="144"/>
    <x v="2"/>
    <x v="1"/>
  </r>
  <r>
    <x v="163"/>
    <x v="163"/>
    <d v="1989-08-23T00:00:00"/>
    <d v="1972-08-08T00:00:00"/>
    <x v="4"/>
    <x v="163"/>
    <x v="1"/>
    <x v="0"/>
    <x v="133"/>
    <x v="4"/>
    <x v="13"/>
  </r>
  <r>
    <x v="164"/>
    <x v="164"/>
    <d v="1975-11-24T00:00:00"/>
    <d v="1982-03-10T00:00:00"/>
    <x v="4"/>
    <x v="164"/>
    <x v="2"/>
    <x v="1"/>
    <x v="110"/>
    <x v="0"/>
    <x v="51"/>
  </r>
  <r>
    <x v="165"/>
    <x v="165"/>
    <d v="1991-10-05T00:00:00"/>
    <d v="1976-11-04T00:00:00"/>
    <x v="5"/>
    <x v="165"/>
    <x v="9"/>
    <x v="1"/>
    <x v="145"/>
    <x v="5"/>
    <x v="26"/>
  </r>
  <r>
    <x v="166"/>
    <x v="166"/>
    <d v="1991-04-04T00:00:00"/>
    <d v="1971-10-06T00:00:00"/>
    <x v="3"/>
    <x v="166"/>
    <x v="2"/>
    <x v="0"/>
    <x v="146"/>
    <x v="1"/>
    <x v="44"/>
  </r>
  <r>
    <x v="167"/>
    <x v="167"/>
    <d v="1992-05-27T00:00:00"/>
    <d v="2004-10-09T00:00:00"/>
    <x v="6"/>
    <x v="167"/>
    <x v="1"/>
    <x v="1"/>
    <x v="147"/>
    <x v="0"/>
    <x v="28"/>
  </r>
  <r>
    <x v="168"/>
    <x v="168"/>
    <d v="1998-05-18T00:00:00"/>
    <d v="1975-09-01T00:00:00"/>
    <x v="0"/>
    <x v="168"/>
    <x v="9"/>
    <x v="1"/>
    <x v="148"/>
    <x v="0"/>
    <x v="18"/>
  </r>
  <r>
    <x v="169"/>
    <x v="169"/>
    <d v="1990-06-20T00:00:00"/>
    <d v="2008-08-01T00:00:00"/>
    <x v="0"/>
    <x v="169"/>
    <x v="4"/>
    <x v="1"/>
    <x v="149"/>
    <x v="2"/>
    <x v="17"/>
  </r>
  <r>
    <x v="170"/>
    <x v="170"/>
    <d v="1985-03-29T00:00:00"/>
    <d v="1971-07-03T00:00:00"/>
    <x v="5"/>
    <x v="170"/>
    <x v="5"/>
    <x v="1"/>
    <x v="55"/>
    <x v="1"/>
    <x v="44"/>
  </r>
  <r>
    <x v="171"/>
    <x v="171"/>
    <d v="1984-09-17T00:00:00"/>
    <d v="2006-12-10T00:00:00"/>
    <x v="3"/>
    <x v="171"/>
    <x v="6"/>
    <x v="0"/>
    <x v="150"/>
    <x v="4"/>
    <x v="19"/>
  </r>
  <r>
    <x v="172"/>
    <x v="172"/>
    <d v="2000-06-29T00:00:00"/>
    <d v="1998-04-06T00:00:00"/>
    <x v="5"/>
    <x v="172"/>
    <x v="6"/>
    <x v="1"/>
    <x v="151"/>
    <x v="5"/>
    <x v="7"/>
  </r>
  <r>
    <x v="173"/>
    <x v="173"/>
    <d v="1989-12-19T00:00:00"/>
    <d v="1981-03-19T00:00:00"/>
    <x v="6"/>
    <x v="173"/>
    <x v="7"/>
    <x v="1"/>
    <x v="152"/>
    <x v="2"/>
    <x v="15"/>
  </r>
  <r>
    <x v="174"/>
    <x v="174"/>
    <d v="1993-10-17T00:00:00"/>
    <d v="2010-12-29T00:00:00"/>
    <x v="4"/>
    <x v="174"/>
    <x v="3"/>
    <x v="0"/>
    <x v="153"/>
    <x v="3"/>
    <x v="2"/>
  </r>
  <r>
    <x v="175"/>
    <x v="175"/>
    <d v="1986-09-02T00:00:00"/>
    <d v="2014-04-11T00:00:00"/>
    <x v="1"/>
    <x v="175"/>
    <x v="9"/>
    <x v="1"/>
    <x v="151"/>
    <x v="4"/>
    <x v="0"/>
  </r>
  <r>
    <x v="176"/>
    <x v="176"/>
    <d v="1961-04-17T00:00:00"/>
    <d v="2015-02-17T00:00:00"/>
    <x v="5"/>
    <x v="176"/>
    <x v="4"/>
    <x v="1"/>
    <x v="154"/>
    <x v="0"/>
    <x v="43"/>
  </r>
  <r>
    <x v="177"/>
    <x v="177"/>
    <d v="1999-07-12T00:00:00"/>
    <d v="1994-03-13T00:00:00"/>
    <x v="6"/>
    <x v="177"/>
    <x v="9"/>
    <x v="1"/>
    <x v="155"/>
    <x v="5"/>
    <x v="45"/>
  </r>
  <r>
    <x v="178"/>
    <x v="178"/>
    <d v="1962-09-26T00:00:00"/>
    <d v="1992-02-19T00:00:00"/>
    <x v="3"/>
    <x v="178"/>
    <x v="3"/>
    <x v="0"/>
    <x v="156"/>
    <x v="0"/>
    <x v="24"/>
  </r>
  <r>
    <x v="179"/>
    <x v="179"/>
    <d v="1969-05-20T00:00:00"/>
    <d v="2022-02-23T00:00:00"/>
    <x v="2"/>
    <x v="179"/>
    <x v="5"/>
    <x v="1"/>
    <x v="157"/>
    <x v="0"/>
    <x v="39"/>
  </r>
  <r>
    <x v="180"/>
    <x v="180"/>
    <d v="1983-05-17T00:00:00"/>
    <d v="1990-12-01T00:00:00"/>
    <x v="3"/>
    <x v="180"/>
    <x v="9"/>
    <x v="0"/>
    <x v="158"/>
    <x v="6"/>
    <x v="50"/>
  </r>
  <r>
    <x v="181"/>
    <x v="181"/>
    <d v="1990-07-11T00:00:00"/>
    <d v="1975-09-26T00:00:00"/>
    <x v="5"/>
    <x v="181"/>
    <x v="1"/>
    <x v="0"/>
    <x v="159"/>
    <x v="1"/>
    <x v="18"/>
  </r>
  <r>
    <x v="182"/>
    <x v="182"/>
    <d v="2001-09-08T00:00:00"/>
    <d v="1975-04-13T00:00:00"/>
    <x v="6"/>
    <x v="182"/>
    <x v="0"/>
    <x v="0"/>
    <x v="160"/>
    <x v="0"/>
    <x v="18"/>
  </r>
  <r>
    <x v="183"/>
    <x v="183"/>
    <d v="1964-10-24T00:00:00"/>
    <d v="1987-02-10T00:00:00"/>
    <x v="5"/>
    <x v="183"/>
    <x v="5"/>
    <x v="1"/>
    <x v="161"/>
    <x v="5"/>
    <x v="46"/>
  </r>
  <r>
    <x v="184"/>
    <x v="184"/>
    <d v="1997-10-21T00:00:00"/>
    <d v="2001-01-16T00:00:00"/>
    <x v="6"/>
    <x v="184"/>
    <x v="5"/>
    <x v="0"/>
    <x v="162"/>
    <x v="5"/>
    <x v="11"/>
  </r>
  <r>
    <x v="185"/>
    <x v="185"/>
    <d v="1992-12-04T00:00:00"/>
    <d v="1986-10-20T00:00:00"/>
    <x v="4"/>
    <x v="185"/>
    <x v="0"/>
    <x v="1"/>
    <x v="163"/>
    <x v="6"/>
    <x v="4"/>
  </r>
  <r>
    <x v="186"/>
    <x v="186"/>
    <d v="1967-08-04T00:00:00"/>
    <d v="2019-06-02T00:00:00"/>
    <x v="4"/>
    <x v="186"/>
    <x v="4"/>
    <x v="0"/>
    <x v="164"/>
    <x v="0"/>
    <x v="8"/>
  </r>
  <r>
    <x v="187"/>
    <x v="187"/>
    <d v="1964-06-28T00:00:00"/>
    <d v="2011-03-31T00:00:00"/>
    <x v="3"/>
    <x v="187"/>
    <x v="6"/>
    <x v="0"/>
    <x v="165"/>
    <x v="6"/>
    <x v="22"/>
  </r>
  <r>
    <x v="188"/>
    <x v="188"/>
    <d v="1964-10-18T00:00:00"/>
    <d v="2019-07-24T00:00:00"/>
    <x v="6"/>
    <x v="188"/>
    <x v="8"/>
    <x v="1"/>
    <x v="166"/>
    <x v="0"/>
    <x v="8"/>
  </r>
  <r>
    <x v="189"/>
    <x v="189"/>
    <d v="1985-11-01T00:00:00"/>
    <d v="2008-12-23T00:00:00"/>
    <x v="0"/>
    <x v="189"/>
    <x v="6"/>
    <x v="1"/>
    <x v="154"/>
    <x v="3"/>
    <x v="17"/>
  </r>
  <r>
    <x v="190"/>
    <x v="190"/>
    <d v="1986-10-29T00:00:00"/>
    <d v="2002-09-28T00:00:00"/>
    <x v="3"/>
    <x v="190"/>
    <x v="4"/>
    <x v="1"/>
    <x v="167"/>
    <x v="6"/>
    <x v="27"/>
  </r>
  <r>
    <x v="191"/>
    <x v="191"/>
    <d v="2000-12-08T00:00:00"/>
    <d v="2018-12-30T00:00:00"/>
    <x v="3"/>
    <x v="191"/>
    <x v="8"/>
    <x v="1"/>
    <x v="168"/>
    <x v="6"/>
    <x v="1"/>
  </r>
  <r>
    <x v="192"/>
    <x v="192"/>
    <d v="1961-07-28T00:00:00"/>
    <d v="1976-01-28T00:00:00"/>
    <x v="3"/>
    <x v="192"/>
    <x v="9"/>
    <x v="0"/>
    <x v="169"/>
    <x v="6"/>
    <x v="26"/>
  </r>
  <r>
    <x v="193"/>
    <x v="193"/>
    <d v="1990-06-04T00:00:00"/>
    <d v="2015-08-03T00:00:00"/>
    <x v="2"/>
    <x v="193"/>
    <x v="7"/>
    <x v="1"/>
    <x v="170"/>
    <x v="2"/>
    <x v="43"/>
  </r>
  <r>
    <x v="194"/>
    <x v="194"/>
    <d v="1972-11-03T00:00:00"/>
    <d v="2020-11-11T00:00:00"/>
    <x v="6"/>
    <x v="194"/>
    <x v="8"/>
    <x v="0"/>
    <x v="171"/>
    <x v="5"/>
    <x v="32"/>
  </r>
  <r>
    <x v="195"/>
    <x v="195"/>
    <d v="1982-10-23T00:00:00"/>
    <d v="1994-12-23T00:00:00"/>
    <x v="6"/>
    <x v="195"/>
    <x v="4"/>
    <x v="0"/>
    <x v="172"/>
    <x v="2"/>
    <x v="45"/>
  </r>
  <r>
    <x v="196"/>
    <x v="196"/>
    <d v="1990-01-17T00:00:00"/>
    <d v="1980-10-10T00:00:00"/>
    <x v="2"/>
    <x v="196"/>
    <x v="6"/>
    <x v="0"/>
    <x v="55"/>
    <x v="5"/>
    <x v="33"/>
  </r>
  <r>
    <x v="197"/>
    <x v="197"/>
    <d v="1984-10-25T00:00:00"/>
    <d v="2019-03-30T00:00:00"/>
    <x v="0"/>
    <x v="197"/>
    <x v="2"/>
    <x v="0"/>
    <x v="173"/>
    <x v="1"/>
    <x v="8"/>
  </r>
  <r>
    <x v="198"/>
    <x v="198"/>
    <d v="1972-08-29T00:00:00"/>
    <d v="2016-04-18T00:00:00"/>
    <x v="2"/>
    <x v="198"/>
    <x v="3"/>
    <x v="0"/>
    <x v="167"/>
    <x v="3"/>
    <x v="48"/>
  </r>
  <r>
    <x v="199"/>
    <x v="199"/>
    <d v="1982-07-11T00:00:00"/>
    <d v="2010-02-06T00:00:00"/>
    <x v="2"/>
    <x v="199"/>
    <x v="9"/>
    <x v="1"/>
    <x v="1"/>
    <x v="3"/>
    <x v="2"/>
  </r>
  <r>
    <x v="200"/>
    <x v="200"/>
    <d v="1991-03-06T00:00:00"/>
    <d v="2010-09-13T00:00:00"/>
    <x v="6"/>
    <x v="200"/>
    <x v="1"/>
    <x v="0"/>
    <x v="174"/>
    <x v="3"/>
    <x v="2"/>
  </r>
  <r>
    <x v="201"/>
    <x v="201"/>
    <d v="1963-04-01T00:00:00"/>
    <d v="1979-12-27T00:00:00"/>
    <x v="2"/>
    <x v="201"/>
    <x v="3"/>
    <x v="0"/>
    <x v="175"/>
    <x v="1"/>
    <x v="36"/>
  </r>
  <r>
    <x v="202"/>
    <x v="202"/>
    <d v="1992-02-16T00:00:00"/>
    <d v="1979-05-04T00:00:00"/>
    <x v="4"/>
    <x v="202"/>
    <x v="7"/>
    <x v="1"/>
    <x v="176"/>
    <x v="6"/>
    <x v="36"/>
  </r>
  <r>
    <x v="203"/>
    <x v="203"/>
    <d v="1969-09-07T00:00:00"/>
    <d v="1985-03-19T00:00:00"/>
    <x v="2"/>
    <x v="203"/>
    <x v="2"/>
    <x v="0"/>
    <x v="177"/>
    <x v="0"/>
    <x v="12"/>
  </r>
  <r>
    <x v="204"/>
    <x v="204"/>
    <d v="1999-09-08T00:00:00"/>
    <d v="2004-04-01T00:00:00"/>
    <x v="5"/>
    <x v="204"/>
    <x v="3"/>
    <x v="1"/>
    <x v="178"/>
    <x v="2"/>
    <x v="28"/>
  </r>
  <r>
    <x v="205"/>
    <x v="205"/>
    <d v="1987-05-25T00:00:00"/>
    <d v="2017-12-28T00:00:00"/>
    <x v="0"/>
    <x v="205"/>
    <x v="1"/>
    <x v="1"/>
    <x v="179"/>
    <x v="1"/>
    <x v="47"/>
  </r>
  <r>
    <x v="206"/>
    <x v="206"/>
    <d v="1972-01-19T00:00:00"/>
    <d v="2001-02-21T00:00:00"/>
    <x v="1"/>
    <x v="206"/>
    <x v="1"/>
    <x v="0"/>
    <x v="180"/>
    <x v="3"/>
    <x v="11"/>
  </r>
  <r>
    <x v="207"/>
    <x v="207"/>
    <d v="1980-08-23T00:00:00"/>
    <d v="1984-09-12T00:00:00"/>
    <x v="5"/>
    <x v="207"/>
    <x v="5"/>
    <x v="1"/>
    <x v="181"/>
    <x v="1"/>
    <x v="38"/>
  </r>
  <r>
    <x v="208"/>
    <x v="208"/>
    <d v="1970-05-06T00:00:00"/>
    <d v="1973-04-11T00:00:00"/>
    <x v="3"/>
    <x v="208"/>
    <x v="0"/>
    <x v="0"/>
    <x v="182"/>
    <x v="0"/>
    <x v="29"/>
  </r>
  <r>
    <x v="209"/>
    <x v="209"/>
    <d v="1961-03-19T00:00:00"/>
    <d v="1983-12-02T00:00:00"/>
    <x v="5"/>
    <x v="209"/>
    <x v="8"/>
    <x v="0"/>
    <x v="183"/>
    <x v="1"/>
    <x v="20"/>
  </r>
  <r>
    <x v="210"/>
    <x v="210"/>
    <d v="1987-08-17T00:00:00"/>
    <d v="2015-11-08T00:00:00"/>
    <x v="1"/>
    <x v="210"/>
    <x v="4"/>
    <x v="0"/>
    <x v="153"/>
    <x v="5"/>
    <x v="43"/>
  </r>
  <r>
    <x v="211"/>
    <x v="211"/>
    <d v="1980-11-23T00:00:00"/>
    <d v="1972-04-20T00:00:00"/>
    <x v="1"/>
    <x v="211"/>
    <x v="2"/>
    <x v="0"/>
    <x v="184"/>
    <x v="6"/>
    <x v="13"/>
  </r>
  <r>
    <x v="212"/>
    <x v="212"/>
    <d v="1973-01-07T00:00:00"/>
    <d v="1977-03-01T00:00:00"/>
    <x v="6"/>
    <x v="212"/>
    <x v="9"/>
    <x v="1"/>
    <x v="185"/>
    <x v="3"/>
    <x v="31"/>
  </r>
  <r>
    <x v="213"/>
    <x v="213"/>
    <d v="1972-08-22T00:00:00"/>
    <d v="1976-12-31T00:00:00"/>
    <x v="0"/>
    <x v="213"/>
    <x v="7"/>
    <x v="0"/>
    <x v="186"/>
    <x v="6"/>
    <x v="26"/>
  </r>
  <r>
    <x v="214"/>
    <x v="214"/>
    <d v="1975-03-04T00:00:00"/>
    <d v="1990-04-08T00:00:00"/>
    <x v="0"/>
    <x v="214"/>
    <x v="5"/>
    <x v="1"/>
    <x v="178"/>
    <x v="5"/>
    <x v="50"/>
  </r>
  <r>
    <x v="215"/>
    <x v="215"/>
    <d v="1978-01-30T00:00:00"/>
    <d v="2012-03-05T00:00:00"/>
    <x v="4"/>
    <x v="215"/>
    <x v="2"/>
    <x v="0"/>
    <x v="187"/>
    <x v="4"/>
    <x v="16"/>
  </r>
  <r>
    <x v="216"/>
    <x v="216"/>
    <d v="1984-09-08T00:00:00"/>
    <d v="1994-10-26T00:00:00"/>
    <x v="1"/>
    <x v="216"/>
    <x v="3"/>
    <x v="0"/>
    <x v="173"/>
    <x v="2"/>
    <x v="45"/>
  </r>
  <r>
    <x v="217"/>
    <x v="217"/>
    <d v="1998-04-02T00:00:00"/>
    <d v="2006-10-08T00:00:00"/>
    <x v="3"/>
    <x v="217"/>
    <x v="9"/>
    <x v="1"/>
    <x v="188"/>
    <x v="3"/>
    <x v="19"/>
  </r>
  <r>
    <x v="218"/>
    <x v="218"/>
    <d v="1980-12-14T00:00:00"/>
    <d v="1996-10-09T00:00:00"/>
    <x v="3"/>
    <x v="218"/>
    <x v="9"/>
    <x v="1"/>
    <x v="189"/>
    <x v="5"/>
    <x v="30"/>
  </r>
  <r>
    <x v="219"/>
    <x v="219"/>
    <d v="1966-12-12T00:00:00"/>
    <d v="2001-04-08T00:00:00"/>
    <x v="3"/>
    <x v="219"/>
    <x v="5"/>
    <x v="0"/>
    <x v="175"/>
    <x v="6"/>
    <x v="11"/>
  </r>
  <r>
    <x v="220"/>
    <x v="220"/>
    <d v="1982-08-21T00:00:00"/>
    <d v="1977-04-04T00:00:00"/>
    <x v="1"/>
    <x v="220"/>
    <x v="4"/>
    <x v="1"/>
    <x v="190"/>
    <x v="3"/>
    <x v="31"/>
  </r>
  <r>
    <x v="221"/>
    <x v="221"/>
    <d v="1994-05-21T00:00:00"/>
    <d v="1983-06-21T00:00:00"/>
    <x v="5"/>
    <x v="221"/>
    <x v="0"/>
    <x v="0"/>
    <x v="191"/>
    <x v="1"/>
    <x v="20"/>
  </r>
  <r>
    <x v="222"/>
    <x v="222"/>
    <d v="1979-01-19T00:00:00"/>
    <d v="2005-04-29T00:00:00"/>
    <x v="1"/>
    <x v="222"/>
    <x v="9"/>
    <x v="1"/>
    <x v="192"/>
    <x v="5"/>
    <x v="9"/>
  </r>
  <r>
    <x v="223"/>
    <x v="223"/>
    <d v="1973-01-19T00:00:00"/>
    <d v="2015-01-23T00:00:00"/>
    <x v="1"/>
    <x v="223"/>
    <x v="8"/>
    <x v="1"/>
    <x v="193"/>
    <x v="6"/>
    <x v="43"/>
  </r>
  <r>
    <x v="224"/>
    <x v="224"/>
    <d v="1968-04-05T00:00:00"/>
    <d v="1975-09-18T00:00:00"/>
    <x v="1"/>
    <x v="224"/>
    <x v="9"/>
    <x v="1"/>
    <x v="178"/>
    <x v="0"/>
    <x v="18"/>
  </r>
  <r>
    <x v="225"/>
    <x v="225"/>
    <d v="1974-10-24T00:00:00"/>
    <d v="2013-10-11T00:00:00"/>
    <x v="5"/>
    <x v="225"/>
    <x v="1"/>
    <x v="0"/>
    <x v="194"/>
    <x v="3"/>
    <x v="40"/>
  </r>
  <r>
    <x v="226"/>
    <x v="226"/>
    <d v="1978-04-11T00:00:00"/>
    <d v="2015-06-09T00:00:00"/>
    <x v="0"/>
    <x v="226"/>
    <x v="2"/>
    <x v="0"/>
    <x v="149"/>
    <x v="6"/>
    <x v="43"/>
  </r>
  <r>
    <x v="227"/>
    <x v="227"/>
    <d v="1997-09-14T00:00:00"/>
    <d v="2008-03-28T00:00:00"/>
    <x v="0"/>
    <x v="227"/>
    <x v="4"/>
    <x v="1"/>
    <x v="195"/>
    <x v="5"/>
    <x v="17"/>
  </r>
  <r>
    <x v="228"/>
    <x v="228"/>
    <d v="1982-02-18T00:00:00"/>
    <d v="2003-07-25T00:00:00"/>
    <x v="3"/>
    <x v="228"/>
    <x v="1"/>
    <x v="1"/>
    <x v="196"/>
    <x v="1"/>
    <x v="10"/>
  </r>
  <r>
    <x v="229"/>
    <x v="229"/>
    <d v="1959-05-20T00:00:00"/>
    <d v="2011-10-10T00:00:00"/>
    <x v="5"/>
    <x v="229"/>
    <x v="6"/>
    <x v="0"/>
    <x v="122"/>
    <x v="1"/>
    <x v="22"/>
  </r>
  <r>
    <x v="230"/>
    <x v="230"/>
    <d v="1980-10-06T00:00:00"/>
    <d v="1977-08-05T00:00:00"/>
    <x v="3"/>
    <x v="230"/>
    <x v="3"/>
    <x v="1"/>
    <x v="197"/>
    <x v="5"/>
    <x v="31"/>
  </r>
  <r>
    <x v="231"/>
    <x v="231"/>
    <d v="1984-01-11T00:00:00"/>
    <d v="2012-10-22T00:00:00"/>
    <x v="2"/>
    <x v="231"/>
    <x v="4"/>
    <x v="1"/>
    <x v="12"/>
    <x v="6"/>
    <x v="16"/>
  </r>
  <r>
    <x v="232"/>
    <x v="232"/>
    <d v="2001-02-25T00:00:00"/>
    <d v="1981-12-29T00:00:00"/>
    <x v="4"/>
    <x v="232"/>
    <x v="7"/>
    <x v="1"/>
    <x v="42"/>
    <x v="2"/>
    <x v="15"/>
  </r>
  <r>
    <x v="233"/>
    <x v="233"/>
    <d v="1975-09-18T00:00:00"/>
    <d v="1988-12-22T00:00:00"/>
    <x v="0"/>
    <x v="233"/>
    <x v="6"/>
    <x v="0"/>
    <x v="198"/>
    <x v="5"/>
    <x v="37"/>
  </r>
  <r>
    <x v="234"/>
    <x v="234"/>
    <d v="1970-01-31T00:00:00"/>
    <d v="1978-02-27T00:00:00"/>
    <x v="4"/>
    <x v="234"/>
    <x v="6"/>
    <x v="0"/>
    <x v="199"/>
    <x v="2"/>
    <x v="14"/>
  </r>
  <r>
    <x v="235"/>
    <x v="235"/>
    <d v="1965-04-08T00:00:00"/>
    <d v="2003-05-02T00:00:00"/>
    <x v="3"/>
    <x v="235"/>
    <x v="2"/>
    <x v="0"/>
    <x v="200"/>
    <x v="4"/>
    <x v="10"/>
  </r>
  <r>
    <x v="236"/>
    <x v="236"/>
    <d v="1987-06-12T00:00:00"/>
    <d v="2007-11-24T00:00:00"/>
    <x v="2"/>
    <x v="236"/>
    <x v="5"/>
    <x v="0"/>
    <x v="201"/>
    <x v="5"/>
    <x v="35"/>
  </r>
  <r>
    <x v="237"/>
    <x v="237"/>
    <d v="1997-08-25T00:00:00"/>
    <d v="1970-12-05T00:00:00"/>
    <x v="2"/>
    <x v="237"/>
    <x v="6"/>
    <x v="0"/>
    <x v="202"/>
    <x v="5"/>
    <x v="5"/>
  </r>
  <r>
    <x v="238"/>
    <x v="238"/>
    <d v="1962-11-19T00:00:00"/>
    <d v="1996-12-22T00:00:00"/>
    <x v="4"/>
    <x v="238"/>
    <x v="0"/>
    <x v="1"/>
    <x v="203"/>
    <x v="1"/>
    <x v="30"/>
  </r>
  <r>
    <x v="239"/>
    <x v="239"/>
    <d v="1962-02-03T00:00:00"/>
    <d v="1995-09-26T00:00:00"/>
    <x v="5"/>
    <x v="239"/>
    <x v="1"/>
    <x v="1"/>
    <x v="204"/>
    <x v="5"/>
    <x v="41"/>
  </r>
  <r>
    <x v="240"/>
    <x v="240"/>
    <d v="1967-08-20T00:00:00"/>
    <d v="2006-07-06T00:00:00"/>
    <x v="0"/>
    <x v="240"/>
    <x v="4"/>
    <x v="0"/>
    <x v="205"/>
    <x v="6"/>
    <x v="19"/>
  </r>
  <r>
    <x v="241"/>
    <x v="241"/>
    <d v="1981-03-03T00:00:00"/>
    <d v="1975-07-01T00:00:00"/>
    <x v="3"/>
    <x v="241"/>
    <x v="0"/>
    <x v="1"/>
    <x v="206"/>
    <x v="2"/>
    <x v="18"/>
  </r>
  <r>
    <x v="242"/>
    <x v="242"/>
    <d v="1984-03-24T00:00:00"/>
    <d v="2010-08-14T00:00:00"/>
    <x v="5"/>
    <x v="242"/>
    <x v="9"/>
    <x v="0"/>
    <x v="207"/>
    <x v="5"/>
    <x v="2"/>
  </r>
  <r>
    <x v="243"/>
    <x v="243"/>
    <d v="1970-12-26T00:00:00"/>
    <d v="1971-06-19T00:00:00"/>
    <x v="4"/>
    <x v="243"/>
    <x v="7"/>
    <x v="1"/>
    <x v="208"/>
    <x v="5"/>
    <x v="44"/>
  </r>
  <r>
    <x v="244"/>
    <x v="244"/>
    <d v="1979-09-03T00:00:00"/>
    <d v="1976-12-27T00:00:00"/>
    <x v="3"/>
    <x v="244"/>
    <x v="7"/>
    <x v="1"/>
    <x v="209"/>
    <x v="5"/>
    <x v="26"/>
  </r>
  <r>
    <x v="245"/>
    <x v="245"/>
    <d v="1988-07-10T00:00:00"/>
    <d v="2014-04-09T00:00:00"/>
    <x v="6"/>
    <x v="245"/>
    <x v="6"/>
    <x v="1"/>
    <x v="210"/>
    <x v="4"/>
    <x v="0"/>
  </r>
  <r>
    <x v="246"/>
    <x v="246"/>
    <d v="1986-10-14T00:00:00"/>
    <d v="2013-05-09T00:00:00"/>
    <x v="5"/>
    <x v="246"/>
    <x v="2"/>
    <x v="1"/>
    <x v="211"/>
    <x v="3"/>
    <x v="40"/>
  </r>
  <r>
    <x v="247"/>
    <x v="247"/>
    <d v="1977-12-05T00:00:00"/>
    <d v="2007-05-24T00:00:00"/>
    <x v="3"/>
    <x v="247"/>
    <x v="9"/>
    <x v="0"/>
    <x v="212"/>
    <x v="1"/>
    <x v="35"/>
  </r>
  <r>
    <x v="248"/>
    <x v="248"/>
    <d v="1967-12-24T00:00:00"/>
    <d v="2019-05-15T00:00:00"/>
    <x v="6"/>
    <x v="248"/>
    <x v="3"/>
    <x v="0"/>
    <x v="213"/>
    <x v="4"/>
    <x v="8"/>
  </r>
  <r>
    <x v="249"/>
    <x v="249"/>
    <d v="1996-04-02T00:00:00"/>
    <d v="1989-08-12T00:00:00"/>
    <x v="1"/>
    <x v="249"/>
    <x v="6"/>
    <x v="1"/>
    <x v="214"/>
    <x v="0"/>
    <x v="21"/>
  </r>
  <r>
    <x v="250"/>
    <x v="250"/>
    <d v="1999-02-08T00:00:00"/>
    <d v="2012-11-04T00:00:00"/>
    <x v="6"/>
    <x v="250"/>
    <x v="4"/>
    <x v="0"/>
    <x v="215"/>
    <x v="5"/>
    <x v="16"/>
  </r>
  <r>
    <x v="251"/>
    <x v="251"/>
    <d v="1976-07-26T00:00:00"/>
    <d v="1994-06-01T00:00:00"/>
    <x v="1"/>
    <x v="251"/>
    <x v="6"/>
    <x v="0"/>
    <x v="91"/>
    <x v="3"/>
    <x v="45"/>
  </r>
  <r>
    <x v="252"/>
    <x v="252"/>
    <d v="1981-11-29T00:00:00"/>
    <d v="2006-11-29T00:00:00"/>
    <x v="0"/>
    <x v="252"/>
    <x v="6"/>
    <x v="1"/>
    <x v="84"/>
    <x v="0"/>
    <x v="19"/>
  </r>
  <r>
    <x v="253"/>
    <x v="253"/>
    <d v="1959-11-13T00:00:00"/>
    <d v="2005-04-14T00:00:00"/>
    <x v="2"/>
    <x v="253"/>
    <x v="2"/>
    <x v="1"/>
    <x v="87"/>
    <x v="5"/>
    <x v="9"/>
  </r>
  <r>
    <x v="254"/>
    <x v="254"/>
    <d v="1994-01-26T00:00:00"/>
    <d v="1997-04-17T00:00:00"/>
    <x v="5"/>
    <x v="254"/>
    <x v="2"/>
    <x v="1"/>
    <x v="216"/>
    <x v="4"/>
    <x v="23"/>
  </r>
  <r>
    <x v="255"/>
    <x v="255"/>
    <d v="1974-10-16T00:00:00"/>
    <d v="1982-04-18T00:00:00"/>
    <x v="6"/>
    <x v="255"/>
    <x v="8"/>
    <x v="0"/>
    <x v="217"/>
    <x v="1"/>
    <x v="51"/>
  </r>
  <r>
    <x v="256"/>
    <x v="256"/>
    <d v="1965-03-28T00:00:00"/>
    <d v="1989-04-19T00:00:00"/>
    <x v="6"/>
    <x v="256"/>
    <x v="3"/>
    <x v="0"/>
    <x v="218"/>
    <x v="2"/>
    <x v="21"/>
  </r>
  <r>
    <x v="257"/>
    <x v="257"/>
    <d v="1991-03-06T00:00:00"/>
    <d v="1982-03-15T00:00:00"/>
    <x v="0"/>
    <x v="257"/>
    <x v="4"/>
    <x v="1"/>
    <x v="146"/>
    <x v="5"/>
    <x v="51"/>
  </r>
  <r>
    <x v="258"/>
    <x v="258"/>
    <d v="1997-08-30T00:00:00"/>
    <d v="1997-04-19T00:00:00"/>
    <x v="1"/>
    <x v="258"/>
    <x v="8"/>
    <x v="1"/>
    <x v="53"/>
    <x v="6"/>
    <x v="23"/>
  </r>
  <r>
    <x v="259"/>
    <x v="259"/>
    <d v="1974-11-30T00:00:00"/>
    <d v="1977-05-12T00:00:00"/>
    <x v="3"/>
    <x v="259"/>
    <x v="7"/>
    <x v="1"/>
    <x v="219"/>
    <x v="4"/>
    <x v="31"/>
  </r>
  <r>
    <x v="260"/>
    <x v="260"/>
    <d v="1977-10-30T00:00:00"/>
    <d v="1978-03-05T00:00:00"/>
    <x v="2"/>
    <x v="260"/>
    <x v="3"/>
    <x v="0"/>
    <x v="220"/>
    <x v="3"/>
    <x v="14"/>
  </r>
  <r>
    <x v="261"/>
    <x v="261"/>
    <d v="1998-03-05T00:00:00"/>
    <d v="1972-01-18T00:00:00"/>
    <x v="6"/>
    <x v="261"/>
    <x v="0"/>
    <x v="0"/>
    <x v="221"/>
    <x v="1"/>
    <x v="13"/>
  </r>
  <r>
    <x v="262"/>
    <x v="262"/>
    <d v="2000-01-20T00:00:00"/>
    <d v="1985-07-06T00:00:00"/>
    <x v="6"/>
    <x v="262"/>
    <x v="9"/>
    <x v="0"/>
    <x v="42"/>
    <x v="0"/>
    <x v="12"/>
  </r>
  <r>
    <x v="263"/>
    <x v="263"/>
    <d v="1971-11-24T00:00:00"/>
    <d v="2021-10-11T00:00:00"/>
    <x v="6"/>
    <x v="263"/>
    <x v="0"/>
    <x v="0"/>
    <x v="222"/>
    <x v="1"/>
    <x v="52"/>
  </r>
  <r>
    <x v="264"/>
    <x v="264"/>
    <d v="1963-04-12T00:00:00"/>
    <d v="1998-11-12T00:00:00"/>
    <x v="5"/>
    <x v="264"/>
    <x v="8"/>
    <x v="0"/>
    <x v="223"/>
    <x v="4"/>
    <x v="7"/>
  </r>
  <r>
    <x v="265"/>
    <x v="265"/>
    <d v="1959-07-09T00:00:00"/>
    <d v="2011-06-15T00:00:00"/>
    <x v="4"/>
    <x v="265"/>
    <x v="0"/>
    <x v="1"/>
    <x v="20"/>
    <x v="5"/>
    <x v="22"/>
  </r>
  <r>
    <x v="266"/>
    <x v="266"/>
    <d v="1991-10-07T00:00:00"/>
    <d v="1981-09-27T00:00:00"/>
    <x v="1"/>
    <x v="266"/>
    <x v="9"/>
    <x v="1"/>
    <x v="224"/>
    <x v="5"/>
    <x v="15"/>
  </r>
  <r>
    <x v="267"/>
    <x v="267"/>
    <d v="2000-08-18T00:00:00"/>
    <d v="1984-07-13T00:00:00"/>
    <x v="4"/>
    <x v="267"/>
    <x v="8"/>
    <x v="0"/>
    <x v="166"/>
    <x v="4"/>
    <x v="38"/>
  </r>
  <r>
    <x v="268"/>
    <x v="268"/>
    <d v="1985-10-01T00:00:00"/>
    <d v="1984-12-03T00:00:00"/>
    <x v="5"/>
    <x v="268"/>
    <x v="2"/>
    <x v="0"/>
    <x v="225"/>
    <x v="6"/>
    <x v="38"/>
  </r>
  <r>
    <x v="269"/>
    <x v="269"/>
    <d v="1977-06-06T00:00:00"/>
    <d v="1980-10-27T00:00:00"/>
    <x v="6"/>
    <x v="269"/>
    <x v="0"/>
    <x v="1"/>
    <x v="226"/>
    <x v="0"/>
    <x v="33"/>
  </r>
  <r>
    <x v="270"/>
    <x v="270"/>
    <d v="1976-05-23T00:00:00"/>
    <d v="1980-12-10T00:00:00"/>
    <x v="5"/>
    <x v="270"/>
    <x v="4"/>
    <x v="0"/>
    <x v="227"/>
    <x v="4"/>
    <x v="33"/>
  </r>
  <r>
    <x v="271"/>
    <x v="271"/>
    <d v="1999-07-28T00:00:00"/>
    <d v="2018-06-16T00:00:00"/>
    <x v="1"/>
    <x v="271"/>
    <x v="9"/>
    <x v="1"/>
    <x v="34"/>
    <x v="0"/>
    <x v="1"/>
  </r>
  <r>
    <x v="272"/>
    <x v="272"/>
    <d v="1986-02-11T00:00:00"/>
    <d v="1980-06-19T00:00:00"/>
    <x v="3"/>
    <x v="272"/>
    <x v="0"/>
    <x v="1"/>
    <x v="228"/>
    <x v="4"/>
    <x v="33"/>
  </r>
  <r>
    <x v="273"/>
    <x v="273"/>
    <d v="1962-05-24T00:00:00"/>
    <d v="1970-08-06T00:00:00"/>
    <x v="2"/>
    <x v="273"/>
    <x v="6"/>
    <x v="1"/>
    <x v="229"/>
    <x v="4"/>
    <x v="5"/>
  </r>
  <r>
    <x v="274"/>
    <x v="274"/>
    <d v="1980-01-29T00:00:00"/>
    <d v="1998-08-03T00:00:00"/>
    <x v="5"/>
    <x v="274"/>
    <x v="8"/>
    <x v="1"/>
    <x v="154"/>
    <x v="6"/>
    <x v="7"/>
  </r>
  <r>
    <x v="275"/>
    <x v="275"/>
    <d v="1990-11-04T00:00:00"/>
    <d v="1985-01-17T00:00:00"/>
    <x v="5"/>
    <x v="275"/>
    <x v="4"/>
    <x v="1"/>
    <x v="230"/>
    <x v="6"/>
    <x v="12"/>
  </r>
  <r>
    <x v="276"/>
    <x v="276"/>
    <d v="1991-01-24T00:00:00"/>
    <d v="1977-03-23T00:00:00"/>
    <x v="0"/>
    <x v="276"/>
    <x v="7"/>
    <x v="0"/>
    <x v="231"/>
    <x v="1"/>
    <x v="31"/>
  </r>
  <r>
    <x v="277"/>
    <x v="277"/>
    <d v="1966-03-08T00:00:00"/>
    <d v="2022-04-17T00:00:00"/>
    <x v="0"/>
    <x v="277"/>
    <x v="9"/>
    <x v="0"/>
    <x v="232"/>
    <x v="3"/>
    <x v="39"/>
  </r>
  <r>
    <x v="278"/>
    <x v="278"/>
    <d v="1972-05-03T00:00:00"/>
    <d v="1972-05-29T00:00:00"/>
    <x v="0"/>
    <x v="278"/>
    <x v="7"/>
    <x v="0"/>
    <x v="233"/>
    <x v="6"/>
    <x v="13"/>
  </r>
  <r>
    <x v="279"/>
    <x v="279"/>
    <d v="2002-05-30T00:00:00"/>
    <d v="2019-10-10T00:00:00"/>
    <x v="3"/>
    <x v="279"/>
    <x v="4"/>
    <x v="0"/>
    <x v="12"/>
    <x v="1"/>
    <x v="8"/>
  </r>
  <r>
    <x v="280"/>
    <x v="280"/>
    <d v="1969-10-25T00:00:00"/>
    <d v="1983-07-25T00:00:00"/>
    <x v="0"/>
    <x v="280"/>
    <x v="3"/>
    <x v="1"/>
    <x v="234"/>
    <x v="2"/>
    <x v="20"/>
  </r>
  <r>
    <x v="281"/>
    <x v="281"/>
    <d v="2002-03-27T00:00:00"/>
    <d v="2010-09-14T00:00:00"/>
    <x v="5"/>
    <x v="281"/>
    <x v="2"/>
    <x v="1"/>
    <x v="235"/>
    <x v="2"/>
    <x v="2"/>
  </r>
  <r>
    <x v="282"/>
    <x v="282"/>
    <d v="1990-03-10T00:00:00"/>
    <d v="1995-10-30T00:00:00"/>
    <x v="6"/>
    <x v="282"/>
    <x v="2"/>
    <x v="1"/>
    <x v="236"/>
    <x v="4"/>
    <x v="41"/>
  </r>
  <r>
    <x v="283"/>
    <x v="283"/>
    <d v="1974-07-10T00:00:00"/>
    <d v="1970-08-26T00:00:00"/>
    <x v="3"/>
    <x v="283"/>
    <x v="1"/>
    <x v="0"/>
    <x v="198"/>
    <x v="5"/>
    <x v="5"/>
  </r>
  <r>
    <x v="284"/>
    <x v="284"/>
    <d v="2001-08-23T00:00:00"/>
    <d v="1998-06-23T00:00:00"/>
    <x v="3"/>
    <x v="284"/>
    <x v="4"/>
    <x v="0"/>
    <x v="237"/>
    <x v="6"/>
    <x v="7"/>
  </r>
  <r>
    <x v="285"/>
    <x v="285"/>
    <d v="1966-02-04T00:00:00"/>
    <d v="1980-04-07T00:00:00"/>
    <x v="0"/>
    <x v="285"/>
    <x v="1"/>
    <x v="0"/>
    <x v="238"/>
    <x v="2"/>
    <x v="33"/>
  </r>
  <r>
    <x v="286"/>
    <x v="286"/>
    <d v="1970-07-24T00:00:00"/>
    <d v="1970-07-12T00:00:00"/>
    <x v="0"/>
    <x v="286"/>
    <x v="8"/>
    <x v="1"/>
    <x v="2"/>
    <x v="6"/>
    <x v="5"/>
  </r>
  <r>
    <x v="287"/>
    <x v="287"/>
    <d v="1972-02-19T00:00:00"/>
    <d v="2020-04-21T00:00:00"/>
    <x v="4"/>
    <x v="287"/>
    <x v="5"/>
    <x v="1"/>
    <x v="239"/>
    <x v="3"/>
    <x v="32"/>
  </r>
  <r>
    <x v="288"/>
    <x v="288"/>
    <d v="1963-05-13T00:00:00"/>
    <d v="1977-11-17T00:00:00"/>
    <x v="1"/>
    <x v="288"/>
    <x v="1"/>
    <x v="0"/>
    <x v="240"/>
    <x v="3"/>
    <x v="31"/>
  </r>
  <r>
    <x v="289"/>
    <x v="289"/>
    <d v="1980-08-21T00:00:00"/>
    <d v="1977-11-08T00:00:00"/>
    <x v="2"/>
    <x v="289"/>
    <x v="5"/>
    <x v="1"/>
    <x v="241"/>
    <x v="3"/>
    <x v="31"/>
  </r>
  <r>
    <x v="290"/>
    <x v="290"/>
    <d v="1965-05-02T00:00:00"/>
    <d v="1990-03-05T00:00:00"/>
    <x v="2"/>
    <x v="290"/>
    <x v="8"/>
    <x v="0"/>
    <x v="242"/>
    <x v="1"/>
    <x v="50"/>
  </r>
  <r>
    <x v="291"/>
    <x v="291"/>
    <d v="1991-11-11T00:00:00"/>
    <d v="2018-10-15T00:00:00"/>
    <x v="2"/>
    <x v="291"/>
    <x v="2"/>
    <x v="1"/>
    <x v="194"/>
    <x v="1"/>
    <x v="1"/>
  </r>
  <r>
    <x v="292"/>
    <x v="292"/>
    <d v="2000-01-02T00:00:00"/>
    <d v="1970-02-25T00:00:00"/>
    <x v="4"/>
    <x v="292"/>
    <x v="3"/>
    <x v="1"/>
    <x v="243"/>
    <x v="6"/>
    <x v="5"/>
  </r>
  <r>
    <x v="293"/>
    <x v="293"/>
    <d v="1963-03-16T00:00:00"/>
    <d v="1992-03-08T00:00:00"/>
    <x v="6"/>
    <x v="293"/>
    <x v="6"/>
    <x v="1"/>
    <x v="244"/>
    <x v="5"/>
    <x v="24"/>
  </r>
  <r>
    <x v="294"/>
    <x v="294"/>
    <d v="1982-08-15T00:00:00"/>
    <d v="1990-11-22T00:00:00"/>
    <x v="4"/>
    <x v="294"/>
    <x v="2"/>
    <x v="1"/>
    <x v="245"/>
    <x v="0"/>
    <x v="50"/>
  </r>
  <r>
    <x v="295"/>
    <x v="295"/>
    <d v="1969-08-15T00:00:00"/>
    <d v="1997-04-11T00:00:00"/>
    <x v="3"/>
    <x v="295"/>
    <x v="8"/>
    <x v="0"/>
    <x v="185"/>
    <x v="4"/>
    <x v="23"/>
  </r>
  <r>
    <x v="296"/>
    <x v="296"/>
    <d v="1992-05-06T00:00:00"/>
    <d v="2006-08-01T00:00:00"/>
    <x v="4"/>
    <x v="296"/>
    <x v="9"/>
    <x v="1"/>
    <x v="246"/>
    <x v="1"/>
    <x v="19"/>
  </r>
  <r>
    <x v="297"/>
    <x v="297"/>
    <d v="1983-12-12T00:00:00"/>
    <d v="2019-12-07T00:00:00"/>
    <x v="4"/>
    <x v="297"/>
    <x v="8"/>
    <x v="1"/>
    <x v="247"/>
    <x v="6"/>
    <x v="8"/>
  </r>
  <r>
    <x v="298"/>
    <x v="298"/>
    <d v="1975-02-21T00:00:00"/>
    <d v="1982-07-27T00:00:00"/>
    <x v="5"/>
    <x v="298"/>
    <x v="7"/>
    <x v="1"/>
    <x v="163"/>
    <x v="4"/>
    <x v="51"/>
  </r>
  <r>
    <x v="299"/>
    <x v="299"/>
    <d v="1959-02-24T00:00:00"/>
    <d v="2014-06-08T00:00:00"/>
    <x v="3"/>
    <x v="299"/>
    <x v="3"/>
    <x v="0"/>
    <x v="248"/>
    <x v="5"/>
    <x v="0"/>
  </r>
  <r>
    <x v="300"/>
    <x v="300"/>
    <d v="1978-09-30T00:00:00"/>
    <d v="1995-05-29T00:00:00"/>
    <x v="2"/>
    <x v="300"/>
    <x v="6"/>
    <x v="1"/>
    <x v="249"/>
    <x v="3"/>
    <x v="41"/>
  </r>
  <r>
    <x v="301"/>
    <x v="301"/>
    <d v="1983-01-06T00:00:00"/>
    <d v="1974-06-20T00:00:00"/>
    <x v="6"/>
    <x v="301"/>
    <x v="5"/>
    <x v="0"/>
    <x v="250"/>
    <x v="3"/>
    <x v="49"/>
  </r>
  <r>
    <x v="302"/>
    <x v="302"/>
    <d v="1985-04-24T00:00:00"/>
    <d v="2004-10-30T00:00:00"/>
    <x v="6"/>
    <x v="302"/>
    <x v="4"/>
    <x v="0"/>
    <x v="251"/>
    <x v="0"/>
    <x v="28"/>
  </r>
  <r>
    <x v="303"/>
    <x v="303"/>
    <d v="1989-07-07T00:00:00"/>
    <d v="1978-01-14T00:00:00"/>
    <x v="4"/>
    <x v="303"/>
    <x v="8"/>
    <x v="0"/>
    <x v="252"/>
    <x v="2"/>
    <x v="14"/>
  </r>
  <r>
    <x v="304"/>
    <x v="304"/>
    <d v="1977-12-09T00:00:00"/>
    <d v="2002-01-05T00:00:00"/>
    <x v="5"/>
    <x v="304"/>
    <x v="0"/>
    <x v="1"/>
    <x v="225"/>
    <x v="1"/>
    <x v="27"/>
  </r>
  <r>
    <x v="305"/>
    <x v="305"/>
    <d v="1981-03-06T00:00:00"/>
    <d v="2012-07-02T00:00:00"/>
    <x v="0"/>
    <x v="305"/>
    <x v="7"/>
    <x v="0"/>
    <x v="225"/>
    <x v="0"/>
    <x v="16"/>
  </r>
  <r>
    <x v="306"/>
    <x v="306"/>
    <d v="1973-12-08T00:00:00"/>
    <d v="2002-09-16T00:00:00"/>
    <x v="3"/>
    <x v="306"/>
    <x v="6"/>
    <x v="1"/>
    <x v="253"/>
    <x v="5"/>
    <x v="27"/>
  </r>
  <r>
    <x v="307"/>
    <x v="307"/>
    <d v="1973-10-29T00:00:00"/>
    <d v="2008-08-21T00:00:00"/>
    <x v="3"/>
    <x v="307"/>
    <x v="0"/>
    <x v="0"/>
    <x v="147"/>
    <x v="4"/>
    <x v="17"/>
  </r>
  <r>
    <x v="308"/>
    <x v="308"/>
    <d v="1993-06-12T00:00:00"/>
    <d v="1983-09-06T00:00:00"/>
    <x v="1"/>
    <x v="308"/>
    <x v="1"/>
    <x v="0"/>
    <x v="254"/>
    <x v="4"/>
    <x v="20"/>
  </r>
  <r>
    <x v="309"/>
    <x v="309"/>
    <d v="2002-06-11T00:00:00"/>
    <d v="1978-06-10T00:00:00"/>
    <x v="5"/>
    <x v="309"/>
    <x v="7"/>
    <x v="1"/>
    <x v="255"/>
    <x v="5"/>
    <x v="14"/>
  </r>
  <r>
    <x v="310"/>
    <x v="310"/>
    <d v="1976-12-07T00:00:00"/>
    <d v="2003-06-20T00:00:00"/>
    <x v="4"/>
    <x v="310"/>
    <x v="4"/>
    <x v="1"/>
    <x v="256"/>
    <x v="6"/>
    <x v="10"/>
  </r>
  <r>
    <x v="311"/>
    <x v="311"/>
    <d v="1972-03-31T00:00:00"/>
    <d v="1984-11-22T00:00:00"/>
    <x v="3"/>
    <x v="311"/>
    <x v="2"/>
    <x v="0"/>
    <x v="257"/>
    <x v="3"/>
    <x v="38"/>
  </r>
  <r>
    <x v="312"/>
    <x v="312"/>
    <d v="1998-09-05T00:00:00"/>
    <d v="2011-01-04T00:00:00"/>
    <x v="4"/>
    <x v="312"/>
    <x v="6"/>
    <x v="0"/>
    <x v="258"/>
    <x v="1"/>
    <x v="22"/>
  </r>
  <r>
    <x v="313"/>
    <x v="313"/>
    <d v="1975-08-09T00:00:00"/>
    <d v="1970-08-01T00:00:00"/>
    <x v="0"/>
    <x v="313"/>
    <x v="6"/>
    <x v="1"/>
    <x v="259"/>
    <x v="3"/>
    <x v="5"/>
  </r>
  <r>
    <x v="314"/>
    <x v="314"/>
    <d v="2002-07-23T00:00:00"/>
    <d v="1986-08-14T00:00:00"/>
    <x v="0"/>
    <x v="314"/>
    <x v="6"/>
    <x v="0"/>
    <x v="260"/>
    <x v="4"/>
    <x v="4"/>
  </r>
  <r>
    <x v="315"/>
    <x v="315"/>
    <d v="1990-01-08T00:00:00"/>
    <d v="2014-09-14T00:00:00"/>
    <x v="2"/>
    <x v="315"/>
    <x v="0"/>
    <x v="0"/>
    <x v="58"/>
    <x v="4"/>
    <x v="0"/>
  </r>
  <r>
    <x v="316"/>
    <x v="316"/>
    <d v="1968-10-26T00:00:00"/>
    <d v="1972-07-11T00:00:00"/>
    <x v="5"/>
    <x v="316"/>
    <x v="9"/>
    <x v="0"/>
    <x v="261"/>
    <x v="0"/>
    <x v="13"/>
  </r>
  <r>
    <x v="317"/>
    <x v="317"/>
    <d v="1996-11-11T00:00:00"/>
    <d v="1970-05-24T00:00:00"/>
    <x v="1"/>
    <x v="317"/>
    <x v="0"/>
    <x v="0"/>
    <x v="59"/>
    <x v="1"/>
    <x v="5"/>
  </r>
  <r>
    <x v="318"/>
    <x v="318"/>
    <d v="1999-11-16T00:00:00"/>
    <d v="1970-01-15T00:00:00"/>
    <x v="2"/>
    <x v="318"/>
    <x v="5"/>
    <x v="1"/>
    <x v="262"/>
    <x v="0"/>
    <x v="5"/>
  </r>
  <r>
    <x v="319"/>
    <x v="319"/>
    <d v="1995-03-15T00:00:00"/>
    <d v="1994-10-13T00:00:00"/>
    <x v="6"/>
    <x v="319"/>
    <x v="3"/>
    <x v="1"/>
    <x v="49"/>
    <x v="5"/>
    <x v="45"/>
  </r>
  <r>
    <x v="320"/>
    <x v="320"/>
    <d v="1985-11-11T00:00:00"/>
    <d v="1985-01-14T00:00:00"/>
    <x v="3"/>
    <x v="320"/>
    <x v="8"/>
    <x v="1"/>
    <x v="263"/>
    <x v="5"/>
    <x v="12"/>
  </r>
  <r>
    <x v="321"/>
    <x v="321"/>
    <d v="1992-10-17T00:00:00"/>
    <d v="1993-10-27T00:00:00"/>
    <x v="3"/>
    <x v="321"/>
    <x v="7"/>
    <x v="0"/>
    <x v="264"/>
    <x v="0"/>
    <x v="42"/>
  </r>
  <r>
    <x v="322"/>
    <x v="322"/>
    <d v="1969-06-08T00:00:00"/>
    <d v="2003-12-11T00:00:00"/>
    <x v="3"/>
    <x v="322"/>
    <x v="9"/>
    <x v="1"/>
    <x v="265"/>
    <x v="1"/>
    <x v="10"/>
  </r>
  <r>
    <x v="323"/>
    <x v="323"/>
    <d v="1973-10-11T00:00:00"/>
    <d v="2004-10-16T00:00:00"/>
    <x v="6"/>
    <x v="323"/>
    <x v="6"/>
    <x v="1"/>
    <x v="266"/>
    <x v="6"/>
    <x v="28"/>
  </r>
  <r>
    <x v="324"/>
    <x v="324"/>
    <d v="1976-11-12T00:00:00"/>
    <d v="1981-09-27T00:00:00"/>
    <x v="3"/>
    <x v="324"/>
    <x v="5"/>
    <x v="0"/>
    <x v="267"/>
    <x v="2"/>
    <x v="15"/>
  </r>
  <r>
    <x v="325"/>
    <x v="325"/>
    <d v="1985-06-01T00:00:00"/>
    <d v="2014-06-02T00:00:00"/>
    <x v="6"/>
    <x v="325"/>
    <x v="6"/>
    <x v="0"/>
    <x v="268"/>
    <x v="1"/>
    <x v="0"/>
  </r>
  <r>
    <x v="326"/>
    <x v="326"/>
    <d v="1979-01-04T00:00:00"/>
    <d v="1975-04-25T00:00:00"/>
    <x v="6"/>
    <x v="326"/>
    <x v="3"/>
    <x v="0"/>
    <x v="269"/>
    <x v="6"/>
    <x v="18"/>
  </r>
  <r>
    <x v="327"/>
    <x v="327"/>
    <d v="1989-02-16T00:00:00"/>
    <d v="2002-04-30T00:00:00"/>
    <x v="0"/>
    <x v="327"/>
    <x v="1"/>
    <x v="0"/>
    <x v="140"/>
    <x v="0"/>
    <x v="27"/>
  </r>
  <r>
    <x v="328"/>
    <x v="328"/>
    <d v="1969-04-28T00:00:00"/>
    <d v="2016-06-23T00:00:00"/>
    <x v="2"/>
    <x v="328"/>
    <x v="5"/>
    <x v="0"/>
    <x v="88"/>
    <x v="6"/>
    <x v="48"/>
  </r>
  <r>
    <x v="329"/>
    <x v="329"/>
    <d v="1964-05-01T00:00:00"/>
    <d v="1981-01-11T00:00:00"/>
    <x v="4"/>
    <x v="329"/>
    <x v="6"/>
    <x v="0"/>
    <x v="270"/>
    <x v="5"/>
    <x v="15"/>
  </r>
  <r>
    <x v="330"/>
    <x v="330"/>
    <d v="1961-03-11T00:00:00"/>
    <d v="1972-03-12T00:00:00"/>
    <x v="3"/>
    <x v="330"/>
    <x v="1"/>
    <x v="1"/>
    <x v="64"/>
    <x v="5"/>
    <x v="13"/>
  </r>
  <r>
    <x v="331"/>
    <x v="331"/>
    <d v="1969-04-07T00:00:00"/>
    <d v="1987-02-24T00:00:00"/>
    <x v="1"/>
    <x v="331"/>
    <x v="7"/>
    <x v="1"/>
    <x v="271"/>
    <x v="5"/>
    <x v="46"/>
  </r>
  <r>
    <x v="332"/>
    <x v="332"/>
    <d v="1963-10-11T00:00:00"/>
    <d v="2018-09-18T00:00:00"/>
    <x v="3"/>
    <x v="332"/>
    <x v="1"/>
    <x v="0"/>
    <x v="272"/>
    <x v="4"/>
    <x v="1"/>
  </r>
  <r>
    <x v="333"/>
    <x v="333"/>
    <d v="1987-04-11T00:00:00"/>
    <d v="1984-09-18T00:00:00"/>
    <x v="5"/>
    <x v="333"/>
    <x v="9"/>
    <x v="1"/>
    <x v="118"/>
    <x v="4"/>
    <x v="38"/>
  </r>
  <r>
    <x v="334"/>
    <x v="334"/>
    <d v="1985-11-02T00:00:00"/>
    <d v="2011-10-03T00:00:00"/>
    <x v="4"/>
    <x v="334"/>
    <x v="5"/>
    <x v="1"/>
    <x v="273"/>
    <x v="5"/>
    <x v="22"/>
  </r>
  <r>
    <x v="335"/>
    <x v="335"/>
    <d v="1983-09-22T00:00:00"/>
    <d v="2004-03-04T00:00:00"/>
    <x v="4"/>
    <x v="335"/>
    <x v="9"/>
    <x v="1"/>
    <x v="274"/>
    <x v="3"/>
    <x v="28"/>
  </r>
  <r>
    <x v="336"/>
    <x v="336"/>
    <d v="1988-07-01T00:00:00"/>
    <d v="1984-08-03T00:00:00"/>
    <x v="3"/>
    <x v="336"/>
    <x v="4"/>
    <x v="0"/>
    <x v="275"/>
    <x v="4"/>
    <x v="38"/>
  </r>
  <r>
    <x v="337"/>
    <x v="337"/>
    <d v="1988-08-31T00:00:00"/>
    <d v="2016-06-09T00:00:00"/>
    <x v="3"/>
    <x v="337"/>
    <x v="9"/>
    <x v="1"/>
    <x v="276"/>
    <x v="0"/>
    <x v="48"/>
  </r>
  <r>
    <x v="338"/>
    <x v="338"/>
    <d v="1977-12-06T00:00:00"/>
    <d v="1972-03-24T00:00:00"/>
    <x v="4"/>
    <x v="338"/>
    <x v="0"/>
    <x v="1"/>
    <x v="277"/>
    <x v="4"/>
    <x v="13"/>
  </r>
  <r>
    <x v="339"/>
    <x v="339"/>
    <d v="1989-12-30T00:00:00"/>
    <d v="2016-03-23T00:00:00"/>
    <x v="0"/>
    <x v="339"/>
    <x v="9"/>
    <x v="1"/>
    <x v="278"/>
    <x v="5"/>
    <x v="48"/>
  </r>
  <r>
    <x v="340"/>
    <x v="340"/>
    <d v="1984-04-28T00:00:00"/>
    <d v="1996-09-27T00:00:00"/>
    <x v="4"/>
    <x v="340"/>
    <x v="7"/>
    <x v="1"/>
    <x v="279"/>
    <x v="4"/>
    <x v="30"/>
  </r>
  <r>
    <x v="341"/>
    <x v="341"/>
    <d v="1997-02-02T00:00:00"/>
    <d v="2003-11-22T00:00:00"/>
    <x v="5"/>
    <x v="341"/>
    <x v="5"/>
    <x v="1"/>
    <x v="280"/>
    <x v="4"/>
    <x v="10"/>
  </r>
  <r>
    <x v="342"/>
    <x v="342"/>
    <d v="1991-11-11T00:00:00"/>
    <d v="1980-02-13T00:00:00"/>
    <x v="1"/>
    <x v="342"/>
    <x v="4"/>
    <x v="0"/>
    <x v="213"/>
    <x v="5"/>
    <x v="33"/>
  </r>
  <r>
    <x v="343"/>
    <x v="343"/>
    <d v="1995-11-09T00:00:00"/>
    <d v="2000-10-17T00:00:00"/>
    <x v="0"/>
    <x v="343"/>
    <x v="0"/>
    <x v="0"/>
    <x v="281"/>
    <x v="4"/>
    <x v="3"/>
  </r>
  <r>
    <x v="344"/>
    <x v="344"/>
    <d v="1988-09-19T00:00:00"/>
    <d v="2009-10-14T00:00:00"/>
    <x v="0"/>
    <x v="344"/>
    <x v="6"/>
    <x v="0"/>
    <x v="282"/>
    <x v="2"/>
    <x v="25"/>
  </r>
  <r>
    <x v="345"/>
    <x v="345"/>
    <d v="1959-12-10T00:00:00"/>
    <d v="1973-05-04T00:00:00"/>
    <x v="3"/>
    <x v="345"/>
    <x v="8"/>
    <x v="0"/>
    <x v="283"/>
    <x v="3"/>
    <x v="29"/>
  </r>
  <r>
    <x v="346"/>
    <x v="346"/>
    <d v="1997-04-24T00:00:00"/>
    <d v="2008-02-07T00:00:00"/>
    <x v="2"/>
    <x v="346"/>
    <x v="4"/>
    <x v="0"/>
    <x v="49"/>
    <x v="2"/>
    <x v="17"/>
  </r>
  <r>
    <x v="347"/>
    <x v="347"/>
    <d v="1960-05-30T00:00:00"/>
    <d v="1970-05-18T00:00:00"/>
    <x v="0"/>
    <x v="347"/>
    <x v="8"/>
    <x v="0"/>
    <x v="50"/>
    <x v="3"/>
    <x v="5"/>
  </r>
  <r>
    <x v="348"/>
    <x v="348"/>
    <d v="1995-06-25T00:00:00"/>
    <d v="2014-09-24T00:00:00"/>
    <x v="1"/>
    <x v="348"/>
    <x v="1"/>
    <x v="0"/>
    <x v="284"/>
    <x v="5"/>
    <x v="0"/>
  </r>
  <r>
    <x v="349"/>
    <x v="349"/>
    <d v="1976-07-01T00:00:00"/>
    <d v="2016-06-14T00:00:00"/>
    <x v="0"/>
    <x v="349"/>
    <x v="5"/>
    <x v="0"/>
    <x v="285"/>
    <x v="2"/>
    <x v="48"/>
  </r>
  <r>
    <x v="350"/>
    <x v="350"/>
    <d v="1968-06-07T00:00:00"/>
    <d v="1980-04-07T00:00:00"/>
    <x v="0"/>
    <x v="350"/>
    <x v="2"/>
    <x v="0"/>
    <x v="286"/>
    <x v="3"/>
    <x v="33"/>
  </r>
  <r>
    <x v="351"/>
    <x v="351"/>
    <d v="1959-11-09T00:00:00"/>
    <d v="2020-04-21T00:00:00"/>
    <x v="3"/>
    <x v="351"/>
    <x v="0"/>
    <x v="1"/>
    <x v="287"/>
    <x v="4"/>
    <x v="32"/>
  </r>
  <r>
    <x v="352"/>
    <x v="352"/>
    <d v="1977-01-10T00:00:00"/>
    <d v="2006-12-30T00:00:00"/>
    <x v="5"/>
    <x v="352"/>
    <x v="4"/>
    <x v="0"/>
    <x v="288"/>
    <x v="0"/>
    <x v="19"/>
  </r>
  <r>
    <x v="353"/>
    <x v="353"/>
    <d v="1985-06-11T00:00:00"/>
    <d v="1986-12-05T00:00:00"/>
    <x v="0"/>
    <x v="353"/>
    <x v="9"/>
    <x v="1"/>
    <x v="289"/>
    <x v="5"/>
    <x v="4"/>
  </r>
  <r>
    <x v="354"/>
    <x v="354"/>
    <d v="1965-02-24T00:00:00"/>
    <d v="2011-05-07T00:00:00"/>
    <x v="6"/>
    <x v="354"/>
    <x v="9"/>
    <x v="1"/>
    <x v="183"/>
    <x v="4"/>
    <x v="22"/>
  </r>
  <r>
    <x v="355"/>
    <x v="355"/>
    <d v="1971-12-08T00:00:00"/>
    <d v="1971-05-28T00:00:00"/>
    <x v="3"/>
    <x v="355"/>
    <x v="5"/>
    <x v="0"/>
    <x v="281"/>
    <x v="3"/>
    <x v="44"/>
  </r>
  <r>
    <x v="356"/>
    <x v="356"/>
    <d v="1974-03-30T00:00:00"/>
    <d v="2012-08-26T00:00:00"/>
    <x v="3"/>
    <x v="356"/>
    <x v="0"/>
    <x v="0"/>
    <x v="290"/>
    <x v="2"/>
    <x v="16"/>
  </r>
  <r>
    <x v="357"/>
    <x v="357"/>
    <d v="1983-03-27T00:00:00"/>
    <d v="2002-09-05T00:00:00"/>
    <x v="4"/>
    <x v="357"/>
    <x v="6"/>
    <x v="1"/>
    <x v="291"/>
    <x v="2"/>
    <x v="27"/>
  </r>
  <r>
    <x v="358"/>
    <x v="358"/>
    <d v="1968-09-27T00:00:00"/>
    <d v="1991-08-11T00:00:00"/>
    <x v="2"/>
    <x v="358"/>
    <x v="6"/>
    <x v="1"/>
    <x v="292"/>
    <x v="1"/>
    <x v="34"/>
  </r>
  <r>
    <x v="359"/>
    <x v="359"/>
    <d v="1988-01-01T00:00:00"/>
    <d v="2004-06-22T00:00:00"/>
    <x v="4"/>
    <x v="359"/>
    <x v="9"/>
    <x v="0"/>
    <x v="293"/>
    <x v="3"/>
    <x v="28"/>
  </r>
  <r>
    <x v="360"/>
    <x v="360"/>
    <d v="1995-01-24T00:00:00"/>
    <d v="1980-02-19T00:00:00"/>
    <x v="3"/>
    <x v="360"/>
    <x v="6"/>
    <x v="0"/>
    <x v="294"/>
    <x v="0"/>
    <x v="33"/>
  </r>
  <r>
    <x v="361"/>
    <x v="361"/>
    <d v="1985-10-19T00:00:00"/>
    <d v="1972-06-11T00:00:00"/>
    <x v="5"/>
    <x v="361"/>
    <x v="3"/>
    <x v="1"/>
    <x v="153"/>
    <x v="0"/>
    <x v="13"/>
  </r>
  <r>
    <x v="362"/>
    <x v="362"/>
    <d v="1991-10-28T00:00:00"/>
    <d v="2008-07-19T00:00:00"/>
    <x v="0"/>
    <x v="362"/>
    <x v="1"/>
    <x v="0"/>
    <x v="295"/>
    <x v="3"/>
    <x v="17"/>
  </r>
  <r>
    <x v="363"/>
    <x v="363"/>
    <d v="1967-07-29T00:00:00"/>
    <d v="2011-02-09T00:00:00"/>
    <x v="6"/>
    <x v="363"/>
    <x v="2"/>
    <x v="0"/>
    <x v="224"/>
    <x v="2"/>
    <x v="22"/>
  </r>
  <r>
    <x v="364"/>
    <x v="364"/>
    <d v="2000-06-29T00:00:00"/>
    <d v="1972-11-12T00:00:00"/>
    <x v="1"/>
    <x v="364"/>
    <x v="9"/>
    <x v="1"/>
    <x v="296"/>
    <x v="1"/>
    <x v="13"/>
  </r>
  <r>
    <x v="365"/>
    <x v="365"/>
    <d v="1977-10-20T00:00:00"/>
    <d v="2015-05-14T00:00:00"/>
    <x v="0"/>
    <x v="365"/>
    <x v="3"/>
    <x v="0"/>
    <x v="297"/>
    <x v="3"/>
    <x v="43"/>
  </r>
  <r>
    <x v="366"/>
    <x v="366"/>
    <d v="1959-10-11T00:00:00"/>
    <d v="1981-01-11T00:00:00"/>
    <x v="0"/>
    <x v="366"/>
    <x v="3"/>
    <x v="1"/>
    <x v="298"/>
    <x v="3"/>
    <x v="15"/>
  </r>
  <r>
    <x v="367"/>
    <x v="367"/>
    <d v="1968-11-26T00:00:00"/>
    <d v="1999-10-20T00:00:00"/>
    <x v="0"/>
    <x v="367"/>
    <x v="0"/>
    <x v="1"/>
    <x v="115"/>
    <x v="4"/>
    <x v="6"/>
  </r>
  <r>
    <x v="368"/>
    <x v="368"/>
    <d v="1988-09-04T00:00:00"/>
    <d v="1997-11-26T00:00:00"/>
    <x v="2"/>
    <x v="368"/>
    <x v="3"/>
    <x v="1"/>
    <x v="299"/>
    <x v="0"/>
    <x v="23"/>
  </r>
  <r>
    <x v="369"/>
    <x v="369"/>
    <d v="1999-04-16T00:00:00"/>
    <d v="1997-12-14T00:00:00"/>
    <x v="0"/>
    <x v="369"/>
    <x v="1"/>
    <x v="0"/>
    <x v="300"/>
    <x v="6"/>
    <x v="23"/>
  </r>
  <r>
    <x v="370"/>
    <x v="370"/>
    <d v="1968-02-04T00:00:00"/>
    <d v="1978-10-23T00:00:00"/>
    <x v="5"/>
    <x v="370"/>
    <x v="1"/>
    <x v="1"/>
    <x v="301"/>
    <x v="6"/>
    <x v="14"/>
  </r>
  <r>
    <x v="371"/>
    <x v="371"/>
    <d v="1976-08-21T00:00:00"/>
    <d v="1974-10-30T00:00:00"/>
    <x v="4"/>
    <x v="371"/>
    <x v="6"/>
    <x v="1"/>
    <x v="302"/>
    <x v="1"/>
    <x v="49"/>
  </r>
  <r>
    <x v="372"/>
    <x v="372"/>
    <d v="1976-03-02T00:00:00"/>
    <d v="1990-09-08T00:00:00"/>
    <x v="2"/>
    <x v="372"/>
    <x v="4"/>
    <x v="0"/>
    <x v="44"/>
    <x v="4"/>
    <x v="50"/>
  </r>
  <r>
    <x v="373"/>
    <x v="373"/>
    <d v="1960-09-28T00:00:00"/>
    <d v="2011-09-20T00:00:00"/>
    <x v="6"/>
    <x v="373"/>
    <x v="3"/>
    <x v="0"/>
    <x v="303"/>
    <x v="3"/>
    <x v="22"/>
  </r>
  <r>
    <x v="374"/>
    <x v="374"/>
    <d v="1962-03-24T00:00:00"/>
    <d v="2013-09-07T00:00:00"/>
    <x v="1"/>
    <x v="374"/>
    <x v="6"/>
    <x v="0"/>
    <x v="85"/>
    <x v="0"/>
    <x v="40"/>
  </r>
  <r>
    <x v="375"/>
    <x v="375"/>
    <d v="1961-04-04T00:00:00"/>
    <d v="2020-10-05T00:00:00"/>
    <x v="0"/>
    <x v="375"/>
    <x v="2"/>
    <x v="0"/>
    <x v="145"/>
    <x v="5"/>
    <x v="32"/>
  </r>
  <r>
    <x v="376"/>
    <x v="376"/>
    <d v="1996-10-21T00:00:00"/>
    <d v="1998-05-19T00:00:00"/>
    <x v="2"/>
    <x v="376"/>
    <x v="1"/>
    <x v="0"/>
    <x v="218"/>
    <x v="1"/>
    <x v="7"/>
  </r>
  <r>
    <x v="377"/>
    <x v="377"/>
    <d v="2000-07-17T00:00:00"/>
    <d v="1991-10-22T00:00:00"/>
    <x v="3"/>
    <x v="377"/>
    <x v="5"/>
    <x v="1"/>
    <x v="304"/>
    <x v="3"/>
    <x v="34"/>
  </r>
  <r>
    <x v="378"/>
    <x v="378"/>
    <d v="1964-12-05T00:00:00"/>
    <d v="1983-09-15T00:00:00"/>
    <x v="5"/>
    <x v="378"/>
    <x v="7"/>
    <x v="1"/>
    <x v="90"/>
    <x v="2"/>
    <x v="20"/>
  </r>
  <r>
    <x v="379"/>
    <x v="379"/>
    <d v="1994-12-24T00:00:00"/>
    <d v="1990-02-23T00:00:00"/>
    <x v="6"/>
    <x v="379"/>
    <x v="7"/>
    <x v="0"/>
    <x v="305"/>
    <x v="1"/>
    <x v="50"/>
  </r>
  <r>
    <x v="380"/>
    <x v="380"/>
    <d v="1984-05-20T00:00:00"/>
    <d v="1991-02-09T00:00:00"/>
    <x v="2"/>
    <x v="380"/>
    <x v="3"/>
    <x v="0"/>
    <x v="306"/>
    <x v="1"/>
    <x v="34"/>
  </r>
  <r>
    <x v="381"/>
    <x v="381"/>
    <d v="1993-01-10T00:00:00"/>
    <d v="1990-04-24T00:00:00"/>
    <x v="3"/>
    <x v="381"/>
    <x v="2"/>
    <x v="0"/>
    <x v="73"/>
    <x v="4"/>
    <x v="50"/>
  </r>
  <r>
    <x v="382"/>
    <x v="382"/>
    <d v="1982-02-24T00:00:00"/>
    <d v="1970-01-10T00:00:00"/>
    <x v="3"/>
    <x v="382"/>
    <x v="6"/>
    <x v="0"/>
    <x v="307"/>
    <x v="6"/>
    <x v="5"/>
  </r>
  <r>
    <x v="383"/>
    <x v="383"/>
    <d v="1980-12-08T00:00:00"/>
    <d v="1975-05-09T00:00:00"/>
    <x v="5"/>
    <x v="383"/>
    <x v="0"/>
    <x v="0"/>
    <x v="308"/>
    <x v="2"/>
    <x v="18"/>
  </r>
  <r>
    <x v="384"/>
    <x v="384"/>
    <d v="1963-09-01T00:00:00"/>
    <d v="1976-02-29T00:00:00"/>
    <x v="4"/>
    <x v="384"/>
    <x v="2"/>
    <x v="1"/>
    <x v="309"/>
    <x v="4"/>
    <x v="26"/>
  </r>
  <r>
    <x v="385"/>
    <x v="385"/>
    <d v="1959-05-21T00:00:00"/>
    <d v="1980-06-21T00:00:00"/>
    <x v="6"/>
    <x v="385"/>
    <x v="3"/>
    <x v="1"/>
    <x v="307"/>
    <x v="5"/>
    <x v="33"/>
  </r>
  <r>
    <x v="386"/>
    <x v="386"/>
    <d v="1991-03-29T00:00:00"/>
    <d v="1979-02-08T00:00:00"/>
    <x v="6"/>
    <x v="386"/>
    <x v="7"/>
    <x v="0"/>
    <x v="310"/>
    <x v="5"/>
    <x v="36"/>
  </r>
  <r>
    <x v="387"/>
    <x v="387"/>
    <d v="1988-04-18T00:00:00"/>
    <d v="1979-04-26T00:00:00"/>
    <x v="0"/>
    <x v="387"/>
    <x v="3"/>
    <x v="1"/>
    <x v="311"/>
    <x v="3"/>
    <x v="36"/>
  </r>
  <r>
    <x v="388"/>
    <x v="388"/>
    <d v="1968-12-22T00:00:00"/>
    <d v="2005-12-19T00:00:00"/>
    <x v="1"/>
    <x v="388"/>
    <x v="2"/>
    <x v="0"/>
    <x v="312"/>
    <x v="0"/>
    <x v="9"/>
  </r>
  <r>
    <x v="389"/>
    <x v="389"/>
    <d v="1980-09-23T00:00:00"/>
    <d v="1996-09-28T00:00:00"/>
    <x v="5"/>
    <x v="389"/>
    <x v="7"/>
    <x v="1"/>
    <x v="303"/>
    <x v="3"/>
    <x v="30"/>
  </r>
  <r>
    <x v="390"/>
    <x v="390"/>
    <d v="1997-09-24T00:00:00"/>
    <d v="1972-01-01T00:00:00"/>
    <x v="6"/>
    <x v="390"/>
    <x v="0"/>
    <x v="1"/>
    <x v="20"/>
    <x v="5"/>
    <x v="13"/>
  </r>
  <r>
    <x v="391"/>
    <x v="391"/>
    <d v="1985-10-05T00:00:00"/>
    <d v="1998-09-02T00:00:00"/>
    <x v="5"/>
    <x v="391"/>
    <x v="7"/>
    <x v="1"/>
    <x v="313"/>
    <x v="0"/>
    <x v="7"/>
  </r>
  <r>
    <x v="392"/>
    <x v="392"/>
    <d v="1979-02-16T00:00:00"/>
    <d v="2020-10-07T00:00:00"/>
    <x v="0"/>
    <x v="392"/>
    <x v="6"/>
    <x v="0"/>
    <x v="230"/>
    <x v="6"/>
    <x v="32"/>
  </r>
  <r>
    <x v="393"/>
    <x v="393"/>
    <d v="1989-06-18T00:00:00"/>
    <d v="2012-01-18T00:00:00"/>
    <x v="1"/>
    <x v="393"/>
    <x v="2"/>
    <x v="0"/>
    <x v="314"/>
    <x v="0"/>
    <x v="16"/>
  </r>
  <r>
    <x v="394"/>
    <x v="394"/>
    <d v="1960-04-25T00:00:00"/>
    <d v="1980-10-02T00:00:00"/>
    <x v="2"/>
    <x v="394"/>
    <x v="1"/>
    <x v="1"/>
    <x v="69"/>
    <x v="6"/>
    <x v="33"/>
  </r>
  <r>
    <x v="395"/>
    <x v="395"/>
    <d v="1976-08-19T00:00:00"/>
    <d v="1982-05-09T00:00:00"/>
    <x v="4"/>
    <x v="395"/>
    <x v="0"/>
    <x v="1"/>
    <x v="315"/>
    <x v="2"/>
    <x v="51"/>
  </r>
  <r>
    <x v="396"/>
    <x v="396"/>
    <d v="1980-04-27T00:00:00"/>
    <d v="1983-02-03T00:00:00"/>
    <x v="5"/>
    <x v="396"/>
    <x v="3"/>
    <x v="1"/>
    <x v="235"/>
    <x v="3"/>
    <x v="20"/>
  </r>
  <r>
    <x v="397"/>
    <x v="397"/>
    <d v="1967-10-01T00:00:00"/>
    <d v="1989-09-22T00:00:00"/>
    <x v="4"/>
    <x v="397"/>
    <x v="9"/>
    <x v="0"/>
    <x v="316"/>
    <x v="5"/>
    <x v="21"/>
  </r>
  <r>
    <x v="398"/>
    <x v="398"/>
    <d v="1961-12-08T00:00:00"/>
    <d v="1976-03-28T00:00:00"/>
    <x v="0"/>
    <x v="398"/>
    <x v="6"/>
    <x v="1"/>
    <x v="199"/>
    <x v="0"/>
    <x v="26"/>
  </r>
  <r>
    <x v="399"/>
    <x v="399"/>
    <d v="1991-07-02T00:00:00"/>
    <d v="2008-01-17T00:00:00"/>
    <x v="2"/>
    <x v="399"/>
    <x v="3"/>
    <x v="1"/>
    <x v="317"/>
    <x v="5"/>
    <x v="17"/>
  </r>
  <r>
    <x v="400"/>
    <x v="400"/>
    <d v="1964-02-15T00:00:00"/>
    <d v="2004-02-23T00:00:00"/>
    <x v="0"/>
    <x v="400"/>
    <x v="9"/>
    <x v="1"/>
    <x v="318"/>
    <x v="1"/>
    <x v="28"/>
  </r>
  <r>
    <x v="401"/>
    <x v="401"/>
    <d v="1998-03-09T00:00:00"/>
    <d v="2019-02-08T00:00:00"/>
    <x v="6"/>
    <x v="401"/>
    <x v="1"/>
    <x v="1"/>
    <x v="147"/>
    <x v="2"/>
    <x v="8"/>
  </r>
  <r>
    <x v="402"/>
    <x v="402"/>
    <d v="1988-03-24T00:00:00"/>
    <d v="2003-05-27T00:00:00"/>
    <x v="1"/>
    <x v="402"/>
    <x v="9"/>
    <x v="0"/>
    <x v="319"/>
    <x v="5"/>
    <x v="10"/>
  </r>
  <r>
    <x v="403"/>
    <x v="403"/>
    <d v="1982-06-08T00:00:00"/>
    <d v="2022-06-15T00:00:00"/>
    <x v="1"/>
    <x v="403"/>
    <x v="7"/>
    <x v="1"/>
    <x v="17"/>
    <x v="0"/>
    <x v="39"/>
  </r>
  <r>
    <x v="404"/>
    <x v="404"/>
    <d v="1990-09-02T00:00:00"/>
    <d v="1991-11-26T00:00:00"/>
    <x v="5"/>
    <x v="404"/>
    <x v="8"/>
    <x v="1"/>
    <x v="320"/>
    <x v="0"/>
    <x v="34"/>
  </r>
  <r>
    <x v="405"/>
    <x v="405"/>
    <d v="1993-11-16T00:00:00"/>
    <d v="2021-02-04T00:00:00"/>
    <x v="3"/>
    <x v="405"/>
    <x v="8"/>
    <x v="1"/>
    <x v="321"/>
    <x v="5"/>
    <x v="52"/>
  </r>
  <r>
    <x v="406"/>
    <x v="406"/>
    <d v="1968-02-26T00:00:00"/>
    <d v="2008-07-07T00:00:00"/>
    <x v="6"/>
    <x v="406"/>
    <x v="8"/>
    <x v="1"/>
    <x v="218"/>
    <x v="0"/>
    <x v="17"/>
  </r>
  <r>
    <x v="407"/>
    <x v="407"/>
    <d v="1974-08-23T00:00:00"/>
    <d v="1982-09-15T00:00:00"/>
    <x v="1"/>
    <x v="407"/>
    <x v="9"/>
    <x v="1"/>
    <x v="322"/>
    <x v="3"/>
    <x v="51"/>
  </r>
  <r>
    <x v="408"/>
    <x v="408"/>
    <d v="1961-08-27T00:00:00"/>
    <d v="2019-12-06T00:00:00"/>
    <x v="4"/>
    <x v="408"/>
    <x v="4"/>
    <x v="1"/>
    <x v="323"/>
    <x v="0"/>
    <x v="8"/>
  </r>
  <r>
    <x v="409"/>
    <x v="409"/>
    <d v="1994-12-24T00:00:00"/>
    <d v="2003-11-19T00:00:00"/>
    <x v="5"/>
    <x v="409"/>
    <x v="7"/>
    <x v="1"/>
    <x v="296"/>
    <x v="1"/>
    <x v="10"/>
  </r>
  <r>
    <x v="410"/>
    <x v="410"/>
    <d v="1964-07-27T00:00:00"/>
    <d v="2003-10-26T00:00:00"/>
    <x v="2"/>
    <x v="410"/>
    <x v="3"/>
    <x v="0"/>
    <x v="191"/>
    <x v="4"/>
    <x v="10"/>
  </r>
  <r>
    <x v="411"/>
    <x v="411"/>
    <d v="2000-09-01T00:00:00"/>
    <d v="2002-07-04T00:00:00"/>
    <x v="4"/>
    <x v="411"/>
    <x v="0"/>
    <x v="1"/>
    <x v="259"/>
    <x v="6"/>
    <x v="27"/>
  </r>
  <r>
    <x v="412"/>
    <x v="412"/>
    <d v="1972-09-05T00:00:00"/>
    <d v="2005-11-09T00:00:00"/>
    <x v="2"/>
    <x v="412"/>
    <x v="8"/>
    <x v="1"/>
    <x v="165"/>
    <x v="2"/>
    <x v="9"/>
  </r>
  <r>
    <x v="413"/>
    <x v="413"/>
    <d v="1998-04-27T00:00:00"/>
    <d v="1997-06-10T00:00:00"/>
    <x v="5"/>
    <x v="413"/>
    <x v="9"/>
    <x v="0"/>
    <x v="155"/>
    <x v="2"/>
    <x v="23"/>
  </r>
  <r>
    <x v="414"/>
    <x v="414"/>
    <d v="1985-10-07T00:00:00"/>
    <d v="1994-03-28T00:00:00"/>
    <x v="2"/>
    <x v="414"/>
    <x v="0"/>
    <x v="0"/>
    <x v="319"/>
    <x v="0"/>
    <x v="45"/>
  </r>
  <r>
    <x v="415"/>
    <x v="415"/>
    <d v="1996-04-07T00:00:00"/>
    <d v="1982-11-12T00:00:00"/>
    <x v="2"/>
    <x v="415"/>
    <x v="2"/>
    <x v="0"/>
    <x v="324"/>
    <x v="2"/>
    <x v="51"/>
  </r>
  <r>
    <x v="416"/>
    <x v="416"/>
    <d v="1965-10-01T00:00:00"/>
    <d v="1983-02-14T00:00:00"/>
    <x v="0"/>
    <x v="416"/>
    <x v="8"/>
    <x v="1"/>
    <x v="43"/>
    <x v="3"/>
    <x v="20"/>
  </r>
  <r>
    <x v="417"/>
    <x v="417"/>
    <d v="1984-03-01T00:00:00"/>
    <d v="2003-01-28T00:00:00"/>
    <x v="1"/>
    <x v="417"/>
    <x v="7"/>
    <x v="0"/>
    <x v="126"/>
    <x v="6"/>
    <x v="10"/>
  </r>
  <r>
    <x v="418"/>
    <x v="418"/>
    <d v="1985-03-23T00:00:00"/>
    <d v="2010-10-02T00:00:00"/>
    <x v="0"/>
    <x v="418"/>
    <x v="0"/>
    <x v="0"/>
    <x v="75"/>
    <x v="0"/>
    <x v="2"/>
  </r>
  <r>
    <x v="419"/>
    <x v="419"/>
    <d v="1999-01-15T00:00:00"/>
    <d v="2003-05-31T00:00:00"/>
    <x v="4"/>
    <x v="419"/>
    <x v="5"/>
    <x v="1"/>
    <x v="178"/>
    <x v="1"/>
    <x v="10"/>
  </r>
  <r>
    <x v="420"/>
    <x v="420"/>
    <d v="1964-10-27T00:00:00"/>
    <d v="1980-05-08T00:00:00"/>
    <x v="2"/>
    <x v="420"/>
    <x v="9"/>
    <x v="0"/>
    <x v="178"/>
    <x v="1"/>
    <x v="33"/>
  </r>
  <r>
    <x v="421"/>
    <x v="421"/>
    <d v="1993-01-27T00:00:00"/>
    <d v="2011-11-10T00:00:00"/>
    <x v="3"/>
    <x v="421"/>
    <x v="7"/>
    <x v="0"/>
    <x v="325"/>
    <x v="6"/>
    <x v="22"/>
  </r>
  <r>
    <x v="422"/>
    <x v="422"/>
    <d v="1981-08-15T00:00:00"/>
    <d v="2004-06-03T00:00:00"/>
    <x v="1"/>
    <x v="422"/>
    <x v="6"/>
    <x v="0"/>
    <x v="4"/>
    <x v="3"/>
    <x v="28"/>
  </r>
  <r>
    <x v="423"/>
    <x v="423"/>
    <d v="1977-01-22T00:00:00"/>
    <d v="1995-04-16T00:00:00"/>
    <x v="5"/>
    <x v="423"/>
    <x v="1"/>
    <x v="0"/>
    <x v="326"/>
    <x v="6"/>
    <x v="41"/>
  </r>
  <r>
    <x v="424"/>
    <x v="424"/>
    <d v="1978-12-31T00:00:00"/>
    <d v="1997-05-20T00:00:00"/>
    <x v="4"/>
    <x v="424"/>
    <x v="5"/>
    <x v="0"/>
    <x v="131"/>
    <x v="2"/>
    <x v="23"/>
  </r>
  <r>
    <x v="425"/>
    <x v="425"/>
    <d v="2000-05-12T00:00:00"/>
    <d v="1972-01-26T00:00:00"/>
    <x v="3"/>
    <x v="425"/>
    <x v="2"/>
    <x v="0"/>
    <x v="327"/>
    <x v="2"/>
    <x v="13"/>
  </r>
  <r>
    <x v="426"/>
    <x v="426"/>
    <d v="1965-08-17T00:00:00"/>
    <d v="2011-06-05T00:00:00"/>
    <x v="3"/>
    <x v="426"/>
    <x v="5"/>
    <x v="0"/>
    <x v="271"/>
    <x v="1"/>
    <x v="22"/>
  </r>
  <r>
    <x v="427"/>
    <x v="427"/>
    <d v="1970-04-14T00:00:00"/>
    <d v="1983-06-09T00:00:00"/>
    <x v="2"/>
    <x v="427"/>
    <x v="2"/>
    <x v="1"/>
    <x v="328"/>
    <x v="0"/>
    <x v="20"/>
  </r>
  <r>
    <x v="428"/>
    <x v="428"/>
    <d v="1962-11-26T00:00:00"/>
    <d v="2007-11-14T00:00:00"/>
    <x v="0"/>
    <x v="428"/>
    <x v="0"/>
    <x v="1"/>
    <x v="329"/>
    <x v="4"/>
    <x v="35"/>
  </r>
  <r>
    <x v="429"/>
    <x v="429"/>
    <d v="1990-05-22T00:00:00"/>
    <d v="1979-07-21T00:00:00"/>
    <x v="5"/>
    <x v="429"/>
    <x v="3"/>
    <x v="0"/>
    <x v="330"/>
    <x v="1"/>
    <x v="36"/>
  </r>
  <r>
    <x v="430"/>
    <x v="430"/>
    <d v="1961-01-05T00:00:00"/>
    <d v="1989-05-24T00:00:00"/>
    <x v="4"/>
    <x v="430"/>
    <x v="4"/>
    <x v="1"/>
    <x v="331"/>
    <x v="3"/>
    <x v="21"/>
  </r>
  <r>
    <x v="431"/>
    <x v="431"/>
    <d v="1999-09-25T00:00:00"/>
    <d v="2013-07-06T00:00:00"/>
    <x v="0"/>
    <x v="431"/>
    <x v="4"/>
    <x v="0"/>
    <x v="332"/>
    <x v="5"/>
    <x v="40"/>
  </r>
  <r>
    <x v="432"/>
    <x v="432"/>
    <d v="1985-11-16T00:00:00"/>
    <d v="2001-01-08T00:00:00"/>
    <x v="6"/>
    <x v="432"/>
    <x v="8"/>
    <x v="0"/>
    <x v="333"/>
    <x v="1"/>
    <x v="11"/>
  </r>
  <r>
    <x v="433"/>
    <x v="433"/>
    <d v="1988-08-02T00:00:00"/>
    <d v="1997-06-20T00:00:00"/>
    <x v="0"/>
    <x v="433"/>
    <x v="9"/>
    <x v="0"/>
    <x v="27"/>
    <x v="3"/>
    <x v="23"/>
  </r>
  <r>
    <x v="434"/>
    <x v="434"/>
    <d v="1990-09-04T00:00:00"/>
    <d v="1988-09-05T00:00:00"/>
    <x v="5"/>
    <x v="434"/>
    <x v="0"/>
    <x v="0"/>
    <x v="334"/>
    <x v="6"/>
    <x v="37"/>
  </r>
  <r>
    <x v="435"/>
    <x v="435"/>
    <d v="1985-02-08T00:00:00"/>
    <d v="1978-02-25T00:00:00"/>
    <x v="0"/>
    <x v="435"/>
    <x v="8"/>
    <x v="1"/>
    <x v="335"/>
    <x v="4"/>
    <x v="14"/>
  </r>
  <r>
    <x v="436"/>
    <x v="436"/>
    <d v="1991-01-22T00:00:00"/>
    <d v="1982-03-12T00:00:00"/>
    <x v="2"/>
    <x v="436"/>
    <x v="1"/>
    <x v="1"/>
    <x v="336"/>
    <x v="6"/>
    <x v="51"/>
  </r>
  <r>
    <x v="437"/>
    <x v="437"/>
    <d v="2002-03-27T00:00:00"/>
    <d v="2001-03-25T00:00:00"/>
    <x v="0"/>
    <x v="437"/>
    <x v="0"/>
    <x v="0"/>
    <x v="177"/>
    <x v="0"/>
    <x v="11"/>
  </r>
  <r>
    <x v="438"/>
    <x v="438"/>
    <d v="1975-10-22T00:00:00"/>
    <d v="1985-04-21T00:00:00"/>
    <x v="0"/>
    <x v="438"/>
    <x v="0"/>
    <x v="0"/>
    <x v="337"/>
    <x v="0"/>
    <x v="12"/>
  </r>
  <r>
    <x v="439"/>
    <x v="439"/>
    <d v="1998-06-24T00:00:00"/>
    <d v="1984-11-05T00:00:00"/>
    <x v="2"/>
    <x v="439"/>
    <x v="7"/>
    <x v="1"/>
    <x v="338"/>
    <x v="4"/>
    <x v="38"/>
  </r>
  <r>
    <x v="440"/>
    <x v="440"/>
    <d v="1979-06-12T00:00:00"/>
    <d v="1977-05-17T00:00:00"/>
    <x v="2"/>
    <x v="440"/>
    <x v="4"/>
    <x v="1"/>
    <x v="6"/>
    <x v="6"/>
    <x v="31"/>
  </r>
  <r>
    <x v="441"/>
    <x v="441"/>
    <d v="1985-10-19T00:00:00"/>
    <d v="1972-07-19T00:00:00"/>
    <x v="0"/>
    <x v="441"/>
    <x v="8"/>
    <x v="1"/>
    <x v="49"/>
    <x v="0"/>
    <x v="13"/>
  </r>
  <r>
    <x v="442"/>
    <x v="442"/>
    <d v="1986-07-26T00:00:00"/>
    <d v="2002-01-24T00:00:00"/>
    <x v="4"/>
    <x v="442"/>
    <x v="7"/>
    <x v="1"/>
    <x v="339"/>
    <x v="4"/>
    <x v="27"/>
  </r>
  <r>
    <x v="443"/>
    <x v="443"/>
    <d v="1968-05-09T00:00:00"/>
    <d v="2011-09-21T00:00:00"/>
    <x v="2"/>
    <x v="443"/>
    <x v="4"/>
    <x v="0"/>
    <x v="37"/>
    <x v="6"/>
    <x v="22"/>
  </r>
  <r>
    <x v="444"/>
    <x v="444"/>
    <d v="1963-05-09T00:00:00"/>
    <d v="2012-08-03T00:00:00"/>
    <x v="1"/>
    <x v="444"/>
    <x v="8"/>
    <x v="1"/>
    <x v="252"/>
    <x v="1"/>
    <x v="16"/>
  </r>
  <r>
    <x v="445"/>
    <x v="445"/>
    <d v="1969-07-11T00:00:00"/>
    <d v="1974-01-01T00:00:00"/>
    <x v="5"/>
    <x v="445"/>
    <x v="3"/>
    <x v="1"/>
    <x v="127"/>
    <x v="6"/>
    <x v="49"/>
  </r>
  <r>
    <x v="446"/>
    <x v="446"/>
    <d v="1960-08-17T00:00:00"/>
    <d v="2016-09-23T00:00:00"/>
    <x v="1"/>
    <x v="446"/>
    <x v="3"/>
    <x v="0"/>
    <x v="340"/>
    <x v="5"/>
    <x v="48"/>
  </r>
  <r>
    <x v="447"/>
    <x v="447"/>
    <d v="1965-05-27T00:00:00"/>
    <d v="2009-12-13T00:00:00"/>
    <x v="5"/>
    <x v="447"/>
    <x v="6"/>
    <x v="0"/>
    <x v="341"/>
    <x v="3"/>
    <x v="25"/>
  </r>
  <r>
    <x v="448"/>
    <x v="448"/>
    <d v="1991-05-08T00:00:00"/>
    <d v="1997-11-03T00:00:00"/>
    <x v="0"/>
    <x v="448"/>
    <x v="4"/>
    <x v="0"/>
    <x v="75"/>
    <x v="0"/>
    <x v="23"/>
  </r>
  <r>
    <x v="449"/>
    <x v="449"/>
    <d v="1996-10-04T00:00:00"/>
    <d v="2016-02-27T00:00:00"/>
    <x v="0"/>
    <x v="449"/>
    <x v="1"/>
    <x v="0"/>
    <x v="342"/>
    <x v="0"/>
    <x v="48"/>
  </r>
  <r>
    <x v="450"/>
    <x v="450"/>
    <d v="1966-12-14T00:00:00"/>
    <d v="1972-08-01T00:00:00"/>
    <x v="1"/>
    <x v="450"/>
    <x v="1"/>
    <x v="1"/>
    <x v="343"/>
    <x v="6"/>
    <x v="13"/>
  </r>
  <r>
    <x v="451"/>
    <x v="451"/>
    <d v="1977-07-11T00:00:00"/>
    <d v="1988-08-24T00:00:00"/>
    <x v="6"/>
    <x v="451"/>
    <x v="5"/>
    <x v="0"/>
    <x v="293"/>
    <x v="2"/>
    <x v="37"/>
  </r>
  <r>
    <x v="452"/>
    <x v="452"/>
    <d v="1969-03-12T00:00:00"/>
    <d v="2008-03-13T00:00:00"/>
    <x v="6"/>
    <x v="452"/>
    <x v="6"/>
    <x v="0"/>
    <x v="344"/>
    <x v="1"/>
    <x v="17"/>
  </r>
  <r>
    <x v="453"/>
    <x v="453"/>
    <d v="1991-04-06T00:00:00"/>
    <d v="1988-05-01T00:00:00"/>
    <x v="3"/>
    <x v="453"/>
    <x v="4"/>
    <x v="0"/>
    <x v="345"/>
    <x v="2"/>
    <x v="37"/>
  </r>
  <r>
    <x v="454"/>
    <x v="454"/>
    <d v="1997-07-05T00:00:00"/>
    <d v="2014-01-08T00:00:00"/>
    <x v="6"/>
    <x v="454"/>
    <x v="3"/>
    <x v="1"/>
    <x v="57"/>
    <x v="5"/>
    <x v="0"/>
  </r>
  <r>
    <x v="455"/>
    <x v="455"/>
    <d v="1993-01-24T00:00:00"/>
    <d v="2015-10-01T00:00:00"/>
    <x v="2"/>
    <x v="455"/>
    <x v="3"/>
    <x v="1"/>
    <x v="346"/>
    <x v="3"/>
    <x v="43"/>
  </r>
  <r>
    <x v="456"/>
    <x v="456"/>
    <d v="1976-09-01T00:00:00"/>
    <d v="1981-03-27T00:00:00"/>
    <x v="6"/>
    <x v="456"/>
    <x v="4"/>
    <x v="1"/>
    <x v="347"/>
    <x v="1"/>
    <x v="15"/>
  </r>
  <r>
    <x v="457"/>
    <x v="457"/>
    <d v="1976-09-12T00:00:00"/>
    <d v="1983-04-08T00:00:00"/>
    <x v="0"/>
    <x v="457"/>
    <x v="5"/>
    <x v="0"/>
    <x v="67"/>
    <x v="4"/>
    <x v="20"/>
  </r>
  <r>
    <x v="458"/>
    <x v="458"/>
    <d v="1978-03-18T00:00:00"/>
    <d v="1970-02-14T00:00:00"/>
    <x v="6"/>
    <x v="458"/>
    <x v="1"/>
    <x v="0"/>
    <x v="348"/>
    <x v="1"/>
    <x v="5"/>
  </r>
  <r>
    <x v="459"/>
    <x v="459"/>
    <d v="1985-07-28T00:00:00"/>
    <d v="1985-12-09T00:00:00"/>
    <x v="3"/>
    <x v="459"/>
    <x v="1"/>
    <x v="1"/>
    <x v="349"/>
    <x v="5"/>
    <x v="12"/>
  </r>
  <r>
    <x v="460"/>
    <x v="460"/>
    <d v="1978-06-13T00:00:00"/>
    <d v="1991-01-20T00:00:00"/>
    <x v="5"/>
    <x v="460"/>
    <x v="7"/>
    <x v="1"/>
    <x v="350"/>
    <x v="2"/>
    <x v="34"/>
  </r>
  <r>
    <x v="461"/>
    <x v="461"/>
    <d v="2002-10-22T00:00:00"/>
    <d v="1996-08-25T00:00:00"/>
    <x v="4"/>
    <x v="461"/>
    <x v="7"/>
    <x v="1"/>
    <x v="351"/>
    <x v="3"/>
    <x v="30"/>
  </r>
  <r>
    <x v="462"/>
    <x v="462"/>
    <d v="1969-06-22T00:00:00"/>
    <d v="2007-05-08T00:00:00"/>
    <x v="1"/>
    <x v="462"/>
    <x v="9"/>
    <x v="1"/>
    <x v="352"/>
    <x v="4"/>
    <x v="35"/>
  </r>
  <r>
    <x v="463"/>
    <x v="463"/>
    <d v="1995-04-24T00:00:00"/>
    <d v="1999-07-18T00:00:00"/>
    <x v="4"/>
    <x v="463"/>
    <x v="1"/>
    <x v="0"/>
    <x v="353"/>
    <x v="1"/>
    <x v="6"/>
  </r>
  <r>
    <x v="464"/>
    <x v="464"/>
    <d v="1981-05-15T00:00:00"/>
    <d v="1993-02-14T00:00:00"/>
    <x v="3"/>
    <x v="464"/>
    <x v="1"/>
    <x v="1"/>
    <x v="211"/>
    <x v="4"/>
    <x v="42"/>
  </r>
  <r>
    <x v="465"/>
    <x v="465"/>
    <d v="1965-06-30T00:00:00"/>
    <d v="1989-08-16T00:00:00"/>
    <x v="5"/>
    <x v="465"/>
    <x v="5"/>
    <x v="0"/>
    <x v="354"/>
    <x v="2"/>
    <x v="21"/>
  </r>
  <r>
    <x v="466"/>
    <x v="466"/>
    <d v="1973-05-02T00:00:00"/>
    <d v="2012-08-26T00:00:00"/>
    <x v="1"/>
    <x v="466"/>
    <x v="6"/>
    <x v="0"/>
    <x v="355"/>
    <x v="6"/>
    <x v="16"/>
  </r>
  <r>
    <x v="467"/>
    <x v="467"/>
    <d v="1972-08-04T00:00:00"/>
    <d v="2008-02-12T00:00:00"/>
    <x v="6"/>
    <x v="467"/>
    <x v="8"/>
    <x v="1"/>
    <x v="338"/>
    <x v="6"/>
    <x v="17"/>
  </r>
  <r>
    <x v="468"/>
    <x v="468"/>
    <d v="1991-03-04T00:00:00"/>
    <d v="1972-06-08T00:00:00"/>
    <x v="4"/>
    <x v="468"/>
    <x v="4"/>
    <x v="0"/>
    <x v="356"/>
    <x v="6"/>
    <x v="13"/>
  </r>
  <r>
    <x v="469"/>
    <x v="469"/>
    <d v="1983-03-10T00:00:00"/>
    <d v="2022-05-19T00:00:00"/>
    <x v="6"/>
    <x v="469"/>
    <x v="1"/>
    <x v="1"/>
    <x v="357"/>
    <x v="0"/>
    <x v="39"/>
  </r>
  <r>
    <x v="470"/>
    <x v="470"/>
    <d v="1966-03-22T00:00:00"/>
    <d v="2022-05-05T00:00:00"/>
    <x v="3"/>
    <x v="470"/>
    <x v="2"/>
    <x v="0"/>
    <x v="358"/>
    <x v="2"/>
    <x v="39"/>
  </r>
  <r>
    <x v="471"/>
    <x v="471"/>
    <d v="1972-04-19T00:00:00"/>
    <d v="2000-08-28T00:00:00"/>
    <x v="6"/>
    <x v="471"/>
    <x v="0"/>
    <x v="1"/>
    <x v="359"/>
    <x v="4"/>
    <x v="3"/>
  </r>
  <r>
    <x v="472"/>
    <x v="472"/>
    <d v="1972-03-25T00:00:00"/>
    <d v="1997-04-07T00:00:00"/>
    <x v="3"/>
    <x v="472"/>
    <x v="1"/>
    <x v="0"/>
    <x v="66"/>
    <x v="1"/>
    <x v="23"/>
  </r>
  <r>
    <x v="473"/>
    <x v="473"/>
    <d v="1999-08-22T00:00:00"/>
    <d v="2007-07-26T00:00:00"/>
    <x v="5"/>
    <x v="473"/>
    <x v="9"/>
    <x v="1"/>
    <x v="206"/>
    <x v="5"/>
    <x v="35"/>
  </r>
  <r>
    <x v="474"/>
    <x v="474"/>
    <d v="1981-07-13T00:00:00"/>
    <d v="1984-10-25T00:00:00"/>
    <x v="3"/>
    <x v="474"/>
    <x v="8"/>
    <x v="0"/>
    <x v="269"/>
    <x v="1"/>
    <x v="38"/>
  </r>
  <r>
    <x v="475"/>
    <x v="475"/>
    <d v="1972-11-06T00:00:00"/>
    <d v="2008-09-23T00:00:00"/>
    <x v="3"/>
    <x v="475"/>
    <x v="8"/>
    <x v="1"/>
    <x v="360"/>
    <x v="2"/>
    <x v="17"/>
  </r>
  <r>
    <x v="476"/>
    <x v="476"/>
    <d v="1970-11-09T00:00:00"/>
    <d v="1996-06-24T00:00:00"/>
    <x v="3"/>
    <x v="476"/>
    <x v="9"/>
    <x v="0"/>
    <x v="361"/>
    <x v="6"/>
    <x v="30"/>
  </r>
  <r>
    <x v="477"/>
    <x v="477"/>
    <d v="1973-11-13T00:00:00"/>
    <d v="2009-09-06T00:00:00"/>
    <x v="4"/>
    <x v="477"/>
    <x v="7"/>
    <x v="0"/>
    <x v="45"/>
    <x v="1"/>
    <x v="25"/>
  </r>
  <r>
    <x v="478"/>
    <x v="478"/>
    <d v="2002-01-22T00:00:00"/>
    <d v="2006-12-12T00:00:00"/>
    <x v="4"/>
    <x v="478"/>
    <x v="0"/>
    <x v="1"/>
    <x v="362"/>
    <x v="4"/>
    <x v="19"/>
  </r>
  <r>
    <x v="479"/>
    <x v="479"/>
    <d v="1965-08-28T00:00:00"/>
    <d v="2003-08-28T00:00:00"/>
    <x v="3"/>
    <x v="479"/>
    <x v="8"/>
    <x v="0"/>
    <x v="363"/>
    <x v="6"/>
    <x v="10"/>
  </r>
  <r>
    <x v="480"/>
    <x v="480"/>
    <d v="1973-11-10T00:00:00"/>
    <d v="2000-04-12T00:00:00"/>
    <x v="3"/>
    <x v="480"/>
    <x v="5"/>
    <x v="1"/>
    <x v="243"/>
    <x v="4"/>
    <x v="3"/>
  </r>
  <r>
    <x v="481"/>
    <x v="481"/>
    <d v="1969-02-13T00:00:00"/>
    <d v="2004-04-04T00:00:00"/>
    <x v="2"/>
    <x v="481"/>
    <x v="2"/>
    <x v="1"/>
    <x v="364"/>
    <x v="6"/>
    <x v="28"/>
  </r>
  <r>
    <x v="482"/>
    <x v="482"/>
    <d v="1962-08-10T00:00:00"/>
    <d v="2010-04-16T00:00:00"/>
    <x v="2"/>
    <x v="482"/>
    <x v="8"/>
    <x v="1"/>
    <x v="48"/>
    <x v="6"/>
    <x v="2"/>
  </r>
  <r>
    <x v="483"/>
    <x v="483"/>
    <d v="1967-10-24T00:00:00"/>
    <d v="2021-06-23T00:00:00"/>
    <x v="5"/>
    <x v="483"/>
    <x v="1"/>
    <x v="1"/>
    <x v="365"/>
    <x v="2"/>
    <x v="52"/>
  </r>
  <r>
    <x v="484"/>
    <x v="484"/>
    <d v="1999-10-25T00:00:00"/>
    <d v="1988-03-27T00:00:00"/>
    <x v="4"/>
    <x v="484"/>
    <x v="2"/>
    <x v="0"/>
    <x v="264"/>
    <x v="2"/>
    <x v="37"/>
  </r>
  <r>
    <x v="485"/>
    <x v="485"/>
    <d v="1972-05-30T00:00:00"/>
    <d v="1998-05-05T00:00:00"/>
    <x v="4"/>
    <x v="485"/>
    <x v="6"/>
    <x v="1"/>
    <x v="102"/>
    <x v="2"/>
    <x v="7"/>
  </r>
  <r>
    <x v="486"/>
    <x v="486"/>
    <d v="1997-06-19T00:00:00"/>
    <d v="1970-10-22T00:00:00"/>
    <x v="6"/>
    <x v="486"/>
    <x v="9"/>
    <x v="0"/>
    <x v="133"/>
    <x v="5"/>
    <x v="5"/>
  </r>
  <r>
    <x v="487"/>
    <x v="487"/>
    <d v="2001-10-03T00:00:00"/>
    <d v="2017-09-15T00:00:00"/>
    <x v="2"/>
    <x v="487"/>
    <x v="2"/>
    <x v="1"/>
    <x v="366"/>
    <x v="5"/>
    <x v="47"/>
  </r>
  <r>
    <x v="488"/>
    <x v="488"/>
    <d v="2000-07-02T00:00:00"/>
    <d v="2011-03-08T00:00:00"/>
    <x v="1"/>
    <x v="488"/>
    <x v="6"/>
    <x v="0"/>
    <x v="221"/>
    <x v="4"/>
    <x v="22"/>
  </r>
  <r>
    <x v="489"/>
    <x v="489"/>
    <d v="1982-06-24T00:00:00"/>
    <d v="1978-02-09T00:00:00"/>
    <x v="4"/>
    <x v="489"/>
    <x v="2"/>
    <x v="1"/>
    <x v="367"/>
    <x v="0"/>
    <x v="14"/>
  </r>
  <r>
    <x v="490"/>
    <x v="490"/>
    <d v="1979-10-31T00:00:00"/>
    <d v="1986-08-24T00:00:00"/>
    <x v="4"/>
    <x v="490"/>
    <x v="1"/>
    <x v="0"/>
    <x v="368"/>
    <x v="3"/>
    <x v="4"/>
  </r>
  <r>
    <x v="491"/>
    <x v="491"/>
    <d v="1985-04-13T00:00:00"/>
    <d v="2018-10-26T00:00:00"/>
    <x v="1"/>
    <x v="491"/>
    <x v="4"/>
    <x v="1"/>
    <x v="369"/>
    <x v="1"/>
    <x v="1"/>
  </r>
  <r>
    <x v="492"/>
    <x v="492"/>
    <d v="1987-02-11T00:00:00"/>
    <d v="1983-08-05T00:00:00"/>
    <x v="5"/>
    <x v="492"/>
    <x v="3"/>
    <x v="0"/>
    <x v="370"/>
    <x v="1"/>
    <x v="20"/>
  </r>
  <r>
    <x v="493"/>
    <x v="493"/>
    <d v="1975-07-21T00:00:00"/>
    <d v="1990-09-09T00:00:00"/>
    <x v="3"/>
    <x v="493"/>
    <x v="8"/>
    <x v="1"/>
    <x v="174"/>
    <x v="6"/>
    <x v="50"/>
  </r>
  <r>
    <x v="494"/>
    <x v="494"/>
    <d v="1963-03-21T00:00:00"/>
    <d v="2019-12-21T00:00:00"/>
    <x v="6"/>
    <x v="494"/>
    <x v="8"/>
    <x v="1"/>
    <x v="259"/>
    <x v="1"/>
    <x v="8"/>
  </r>
  <r>
    <x v="495"/>
    <x v="495"/>
    <d v="1974-10-23T00:00:00"/>
    <d v="1996-08-31T00:00:00"/>
    <x v="6"/>
    <x v="495"/>
    <x v="6"/>
    <x v="0"/>
    <x v="311"/>
    <x v="5"/>
    <x v="30"/>
  </r>
  <r>
    <x v="496"/>
    <x v="496"/>
    <d v="1994-08-12T00:00:00"/>
    <d v="1999-08-12T00:00:00"/>
    <x v="0"/>
    <x v="496"/>
    <x v="5"/>
    <x v="1"/>
    <x v="188"/>
    <x v="0"/>
    <x v="6"/>
  </r>
  <r>
    <x v="497"/>
    <x v="297"/>
    <d v="1969-02-14T00:00:00"/>
    <d v="1977-01-14T00:00:00"/>
    <x v="0"/>
    <x v="497"/>
    <x v="2"/>
    <x v="0"/>
    <x v="371"/>
    <x v="1"/>
    <x v="31"/>
  </r>
  <r>
    <x v="498"/>
    <x v="497"/>
    <d v="1967-04-14T00:00:00"/>
    <d v="1970-03-24T00:00:00"/>
    <x v="2"/>
    <x v="498"/>
    <x v="0"/>
    <x v="0"/>
    <x v="26"/>
    <x v="4"/>
    <x v="5"/>
  </r>
  <r>
    <x v="499"/>
    <x v="498"/>
    <d v="1960-12-04T00:00:00"/>
    <d v="2017-11-02T00:00:00"/>
    <x v="6"/>
    <x v="499"/>
    <x v="0"/>
    <x v="0"/>
    <x v="372"/>
    <x v="5"/>
    <x v="47"/>
  </r>
  <r>
    <x v="500"/>
    <x v="499"/>
    <d v="1963-01-31T00:00:00"/>
    <d v="1982-06-24T00:00:00"/>
    <x v="3"/>
    <x v="500"/>
    <x v="2"/>
    <x v="1"/>
    <x v="301"/>
    <x v="6"/>
    <x v="51"/>
  </r>
  <r>
    <x v="501"/>
    <x v="500"/>
    <d v="1985-03-12T00:00:00"/>
    <d v="2001-05-24T00:00:00"/>
    <x v="3"/>
    <x v="501"/>
    <x v="2"/>
    <x v="1"/>
    <x v="120"/>
    <x v="4"/>
    <x v="11"/>
  </r>
  <r>
    <x v="502"/>
    <x v="501"/>
    <d v="1967-06-19T00:00:00"/>
    <d v="1971-10-23T00:00:00"/>
    <x v="6"/>
    <x v="502"/>
    <x v="0"/>
    <x v="1"/>
    <x v="373"/>
    <x v="5"/>
    <x v="44"/>
  </r>
  <r>
    <x v="503"/>
    <x v="502"/>
    <d v="1985-02-28T00:00:00"/>
    <d v="2022-07-26T00:00:00"/>
    <x v="3"/>
    <x v="503"/>
    <x v="9"/>
    <x v="1"/>
    <x v="41"/>
    <x v="3"/>
    <x v="39"/>
  </r>
  <r>
    <x v="504"/>
    <x v="503"/>
    <d v="1970-04-02T00:00:00"/>
    <d v="1989-07-31T00:00:00"/>
    <x v="1"/>
    <x v="504"/>
    <x v="0"/>
    <x v="0"/>
    <x v="374"/>
    <x v="3"/>
    <x v="21"/>
  </r>
  <r>
    <x v="505"/>
    <x v="504"/>
    <d v="1962-05-19T00:00:00"/>
    <d v="1980-09-14T00:00:00"/>
    <x v="3"/>
    <x v="505"/>
    <x v="0"/>
    <x v="1"/>
    <x v="375"/>
    <x v="2"/>
    <x v="33"/>
  </r>
  <r>
    <x v="506"/>
    <x v="505"/>
    <d v="1998-07-14T00:00:00"/>
    <d v="1985-10-21T00:00:00"/>
    <x v="1"/>
    <x v="506"/>
    <x v="0"/>
    <x v="1"/>
    <x v="6"/>
    <x v="1"/>
    <x v="12"/>
  </r>
  <r>
    <x v="507"/>
    <x v="506"/>
    <d v="1972-08-14T00:00:00"/>
    <d v="2010-04-14T00:00:00"/>
    <x v="1"/>
    <x v="507"/>
    <x v="6"/>
    <x v="1"/>
    <x v="160"/>
    <x v="0"/>
    <x v="2"/>
  </r>
  <r>
    <x v="508"/>
    <x v="507"/>
    <d v="1971-05-13T00:00:00"/>
    <d v="2014-10-07T00:00:00"/>
    <x v="3"/>
    <x v="508"/>
    <x v="7"/>
    <x v="0"/>
    <x v="83"/>
    <x v="6"/>
    <x v="0"/>
  </r>
  <r>
    <x v="509"/>
    <x v="508"/>
    <d v="1971-10-13T00:00:00"/>
    <d v="1999-12-25T00:00:00"/>
    <x v="1"/>
    <x v="509"/>
    <x v="6"/>
    <x v="1"/>
    <x v="205"/>
    <x v="3"/>
    <x v="6"/>
  </r>
  <r>
    <x v="510"/>
    <x v="509"/>
    <d v="1971-07-12T00:00:00"/>
    <d v="1975-04-08T00:00:00"/>
    <x v="4"/>
    <x v="510"/>
    <x v="6"/>
    <x v="1"/>
    <x v="7"/>
    <x v="5"/>
    <x v="18"/>
  </r>
  <r>
    <x v="511"/>
    <x v="510"/>
    <d v="1967-08-21T00:00:00"/>
    <d v="1998-01-03T00:00:00"/>
    <x v="3"/>
    <x v="511"/>
    <x v="2"/>
    <x v="1"/>
    <x v="376"/>
    <x v="2"/>
    <x v="7"/>
  </r>
  <r>
    <x v="512"/>
    <x v="511"/>
    <d v="1967-04-09T00:00:00"/>
    <d v="1971-10-30T00:00:00"/>
    <x v="6"/>
    <x v="512"/>
    <x v="1"/>
    <x v="1"/>
    <x v="364"/>
    <x v="6"/>
    <x v="44"/>
  </r>
  <r>
    <x v="513"/>
    <x v="512"/>
    <d v="1971-09-20T00:00:00"/>
    <d v="1977-03-07T00:00:00"/>
    <x v="2"/>
    <x v="513"/>
    <x v="7"/>
    <x v="0"/>
    <x v="141"/>
    <x v="1"/>
    <x v="31"/>
  </r>
  <r>
    <x v="514"/>
    <x v="513"/>
    <d v="1992-10-07T00:00:00"/>
    <d v="2014-03-15T00:00:00"/>
    <x v="1"/>
    <x v="514"/>
    <x v="7"/>
    <x v="1"/>
    <x v="377"/>
    <x v="4"/>
    <x v="0"/>
  </r>
  <r>
    <x v="515"/>
    <x v="514"/>
    <d v="1977-06-15T00:00:00"/>
    <d v="2017-09-04T00:00:00"/>
    <x v="6"/>
    <x v="515"/>
    <x v="7"/>
    <x v="1"/>
    <x v="378"/>
    <x v="2"/>
    <x v="47"/>
  </r>
  <r>
    <x v="516"/>
    <x v="515"/>
    <d v="1959-12-02T00:00:00"/>
    <d v="2004-03-20T00:00:00"/>
    <x v="2"/>
    <x v="516"/>
    <x v="4"/>
    <x v="1"/>
    <x v="379"/>
    <x v="5"/>
    <x v="28"/>
  </r>
  <r>
    <x v="517"/>
    <x v="516"/>
    <d v="1982-06-06T00:00:00"/>
    <d v="1984-12-10T00:00:00"/>
    <x v="1"/>
    <x v="517"/>
    <x v="2"/>
    <x v="1"/>
    <x v="138"/>
    <x v="0"/>
    <x v="38"/>
  </r>
  <r>
    <x v="518"/>
    <x v="517"/>
    <d v="2001-06-08T00:00:00"/>
    <d v="1992-09-14T00:00:00"/>
    <x v="5"/>
    <x v="518"/>
    <x v="5"/>
    <x v="1"/>
    <x v="157"/>
    <x v="6"/>
    <x v="24"/>
  </r>
  <r>
    <x v="519"/>
    <x v="518"/>
    <d v="1961-01-22T00:00:00"/>
    <d v="2020-09-05T00:00:00"/>
    <x v="6"/>
    <x v="519"/>
    <x v="1"/>
    <x v="1"/>
    <x v="380"/>
    <x v="4"/>
    <x v="32"/>
  </r>
  <r>
    <x v="520"/>
    <x v="519"/>
    <d v="1987-12-31T00:00:00"/>
    <d v="1973-11-04T00:00:00"/>
    <x v="2"/>
    <x v="520"/>
    <x v="7"/>
    <x v="0"/>
    <x v="381"/>
    <x v="6"/>
    <x v="29"/>
  </r>
  <r>
    <x v="521"/>
    <x v="520"/>
    <d v="1964-07-09T00:00:00"/>
    <d v="1983-07-16T00:00:00"/>
    <x v="4"/>
    <x v="521"/>
    <x v="4"/>
    <x v="0"/>
    <x v="382"/>
    <x v="1"/>
    <x v="20"/>
  </r>
  <r>
    <x v="522"/>
    <x v="521"/>
    <d v="2000-11-19T00:00:00"/>
    <d v="2004-04-15T00:00:00"/>
    <x v="6"/>
    <x v="522"/>
    <x v="1"/>
    <x v="0"/>
    <x v="262"/>
    <x v="6"/>
    <x v="28"/>
  </r>
  <r>
    <x v="523"/>
    <x v="522"/>
    <d v="1980-04-26T00:00:00"/>
    <d v="1979-02-06T00:00:00"/>
    <x v="3"/>
    <x v="523"/>
    <x v="3"/>
    <x v="1"/>
    <x v="383"/>
    <x v="6"/>
    <x v="36"/>
  </r>
  <r>
    <x v="524"/>
    <x v="523"/>
    <d v="1985-06-22T00:00:00"/>
    <d v="1986-06-10T00:00:00"/>
    <x v="4"/>
    <x v="524"/>
    <x v="1"/>
    <x v="1"/>
    <x v="302"/>
    <x v="2"/>
    <x v="4"/>
  </r>
  <r>
    <x v="525"/>
    <x v="524"/>
    <d v="1962-05-09T00:00:00"/>
    <d v="2004-04-22T00:00:00"/>
    <x v="1"/>
    <x v="525"/>
    <x v="9"/>
    <x v="0"/>
    <x v="33"/>
    <x v="1"/>
    <x v="28"/>
  </r>
  <r>
    <x v="526"/>
    <x v="525"/>
    <d v="1994-04-07T00:00:00"/>
    <d v="2003-09-23T00:00:00"/>
    <x v="1"/>
    <x v="526"/>
    <x v="5"/>
    <x v="0"/>
    <x v="384"/>
    <x v="1"/>
    <x v="10"/>
  </r>
  <r>
    <x v="527"/>
    <x v="526"/>
    <d v="1964-09-19T00:00:00"/>
    <d v="2010-07-20T00:00:00"/>
    <x v="0"/>
    <x v="527"/>
    <x v="9"/>
    <x v="1"/>
    <x v="22"/>
    <x v="2"/>
    <x v="2"/>
  </r>
  <r>
    <x v="528"/>
    <x v="527"/>
    <d v="1988-02-04T00:00:00"/>
    <d v="2002-02-10T00:00:00"/>
    <x v="5"/>
    <x v="528"/>
    <x v="8"/>
    <x v="0"/>
    <x v="385"/>
    <x v="5"/>
    <x v="27"/>
  </r>
  <r>
    <x v="529"/>
    <x v="528"/>
    <d v="1979-05-31T00:00:00"/>
    <d v="1986-05-07T00:00:00"/>
    <x v="1"/>
    <x v="529"/>
    <x v="8"/>
    <x v="0"/>
    <x v="386"/>
    <x v="1"/>
    <x v="4"/>
  </r>
  <r>
    <x v="530"/>
    <x v="529"/>
    <d v="2001-05-17T00:00:00"/>
    <d v="1979-08-04T00:00:00"/>
    <x v="6"/>
    <x v="530"/>
    <x v="4"/>
    <x v="0"/>
    <x v="178"/>
    <x v="4"/>
    <x v="36"/>
  </r>
  <r>
    <x v="531"/>
    <x v="530"/>
    <d v="1992-07-21T00:00:00"/>
    <d v="1996-10-13T00:00:00"/>
    <x v="6"/>
    <x v="531"/>
    <x v="6"/>
    <x v="0"/>
    <x v="189"/>
    <x v="2"/>
    <x v="30"/>
  </r>
  <r>
    <x v="532"/>
    <x v="531"/>
    <d v="1989-10-02T00:00:00"/>
    <d v="1993-11-11T00:00:00"/>
    <x v="0"/>
    <x v="532"/>
    <x v="4"/>
    <x v="0"/>
    <x v="387"/>
    <x v="5"/>
    <x v="42"/>
  </r>
  <r>
    <x v="533"/>
    <x v="532"/>
    <d v="1974-11-19T00:00:00"/>
    <d v="1984-11-01T00:00:00"/>
    <x v="1"/>
    <x v="533"/>
    <x v="5"/>
    <x v="0"/>
    <x v="388"/>
    <x v="1"/>
    <x v="38"/>
  </r>
  <r>
    <x v="534"/>
    <x v="533"/>
    <d v="2002-07-19T00:00:00"/>
    <d v="1980-06-16T00:00:00"/>
    <x v="6"/>
    <x v="534"/>
    <x v="7"/>
    <x v="1"/>
    <x v="389"/>
    <x v="2"/>
    <x v="33"/>
  </r>
  <r>
    <x v="535"/>
    <x v="534"/>
    <d v="1967-04-24T00:00:00"/>
    <d v="1973-12-17T00:00:00"/>
    <x v="5"/>
    <x v="535"/>
    <x v="8"/>
    <x v="0"/>
    <x v="253"/>
    <x v="5"/>
    <x v="29"/>
  </r>
  <r>
    <x v="536"/>
    <x v="535"/>
    <d v="1996-05-03T00:00:00"/>
    <d v="1997-01-24T00:00:00"/>
    <x v="4"/>
    <x v="536"/>
    <x v="9"/>
    <x v="1"/>
    <x v="390"/>
    <x v="0"/>
    <x v="23"/>
  </r>
  <r>
    <x v="537"/>
    <x v="536"/>
    <d v="1980-06-08T00:00:00"/>
    <d v="1987-05-03T00:00:00"/>
    <x v="1"/>
    <x v="537"/>
    <x v="7"/>
    <x v="1"/>
    <x v="88"/>
    <x v="5"/>
    <x v="46"/>
  </r>
  <r>
    <x v="538"/>
    <x v="537"/>
    <d v="1994-09-27T00:00:00"/>
    <d v="2016-03-01T00:00:00"/>
    <x v="2"/>
    <x v="538"/>
    <x v="4"/>
    <x v="0"/>
    <x v="189"/>
    <x v="5"/>
    <x v="48"/>
  </r>
  <r>
    <x v="539"/>
    <x v="538"/>
    <d v="1969-07-05T00:00:00"/>
    <d v="2001-11-23T00:00:00"/>
    <x v="0"/>
    <x v="539"/>
    <x v="6"/>
    <x v="0"/>
    <x v="391"/>
    <x v="1"/>
    <x v="11"/>
  </r>
  <r>
    <x v="540"/>
    <x v="539"/>
    <d v="1973-11-25T00:00:00"/>
    <d v="1985-06-10T00:00:00"/>
    <x v="1"/>
    <x v="540"/>
    <x v="9"/>
    <x v="0"/>
    <x v="108"/>
    <x v="4"/>
    <x v="12"/>
  </r>
  <r>
    <x v="541"/>
    <x v="540"/>
    <d v="1962-01-16T00:00:00"/>
    <d v="2006-09-01T00:00:00"/>
    <x v="0"/>
    <x v="541"/>
    <x v="6"/>
    <x v="0"/>
    <x v="392"/>
    <x v="3"/>
    <x v="19"/>
  </r>
  <r>
    <x v="542"/>
    <x v="541"/>
    <d v="1984-04-07T00:00:00"/>
    <d v="1974-02-19T00:00:00"/>
    <x v="5"/>
    <x v="542"/>
    <x v="7"/>
    <x v="1"/>
    <x v="346"/>
    <x v="1"/>
    <x v="49"/>
  </r>
  <r>
    <x v="543"/>
    <x v="542"/>
    <d v="2000-11-17T00:00:00"/>
    <d v="2020-11-29T00:00:00"/>
    <x v="2"/>
    <x v="543"/>
    <x v="9"/>
    <x v="1"/>
    <x v="205"/>
    <x v="3"/>
    <x v="32"/>
  </r>
  <r>
    <x v="544"/>
    <x v="543"/>
    <d v="1985-07-16T00:00:00"/>
    <d v="1983-01-06T00:00:00"/>
    <x v="4"/>
    <x v="544"/>
    <x v="0"/>
    <x v="0"/>
    <x v="393"/>
    <x v="4"/>
    <x v="20"/>
  </r>
  <r>
    <x v="545"/>
    <x v="544"/>
    <d v="2002-02-05T00:00:00"/>
    <d v="1979-12-27T00:00:00"/>
    <x v="1"/>
    <x v="545"/>
    <x v="4"/>
    <x v="0"/>
    <x v="394"/>
    <x v="5"/>
    <x v="36"/>
  </r>
  <r>
    <x v="546"/>
    <x v="545"/>
    <d v="1972-05-06T00:00:00"/>
    <d v="1979-05-06T00:00:00"/>
    <x v="4"/>
    <x v="546"/>
    <x v="6"/>
    <x v="0"/>
    <x v="395"/>
    <x v="1"/>
    <x v="36"/>
  </r>
  <r>
    <x v="547"/>
    <x v="546"/>
    <d v="2001-05-04T00:00:00"/>
    <d v="1977-01-21T00:00:00"/>
    <x v="6"/>
    <x v="547"/>
    <x v="9"/>
    <x v="0"/>
    <x v="248"/>
    <x v="4"/>
    <x v="31"/>
  </r>
  <r>
    <x v="548"/>
    <x v="547"/>
    <d v="1963-07-02T00:00:00"/>
    <d v="1991-05-02T00:00:00"/>
    <x v="3"/>
    <x v="548"/>
    <x v="6"/>
    <x v="1"/>
    <x v="396"/>
    <x v="0"/>
    <x v="34"/>
  </r>
  <r>
    <x v="549"/>
    <x v="548"/>
    <d v="1999-10-22T00:00:00"/>
    <d v="2009-03-24T00:00:00"/>
    <x v="2"/>
    <x v="549"/>
    <x v="0"/>
    <x v="0"/>
    <x v="397"/>
    <x v="2"/>
    <x v="25"/>
  </r>
  <r>
    <x v="550"/>
    <x v="549"/>
    <d v="1959-10-27T00:00:00"/>
    <d v="1997-07-20T00:00:00"/>
    <x v="6"/>
    <x v="550"/>
    <x v="8"/>
    <x v="0"/>
    <x v="398"/>
    <x v="0"/>
    <x v="23"/>
  </r>
  <r>
    <x v="551"/>
    <x v="550"/>
    <d v="1975-02-28T00:00:00"/>
    <d v="1994-01-11T00:00:00"/>
    <x v="6"/>
    <x v="551"/>
    <x v="0"/>
    <x v="0"/>
    <x v="4"/>
    <x v="4"/>
    <x v="45"/>
  </r>
  <r>
    <x v="552"/>
    <x v="551"/>
    <d v="1978-12-28T00:00:00"/>
    <d v="1983-02-18T00:00:00"/>
    <x v="2"/>
    <x v="552"/>
    <x v="0"/>
    <x v="0"/>
    <x v="249"/>
    <x v="6"/>
    <x v="20"/>
  </r>
  <r>
    <x v="553"/>
    <x v="552"/>
    <d v="2000-04-23T00:00:00"/>
    <d v="1971-08-11T00:00:00"/>
    <x v="2"/>
    <x v="553"/>
    <x v="1"/>
    <x v="1"/>
    <x v="399"/>
    <x v="1"/>
    <x v="44"/>
  </r>
  <r>
    <x v="554"/>
    <x v="553"/>
    <d v="1978-06-05T00:00:00"/>
    <d v="2005-08-13T00:00:00"/>
    <x v="5"/>
    <x v="554"/>
    <x v="1"/>
    <x v="1"/>
    <x v="249"/>
    <x v="6"/>
    <x v="9"/>
  </r>
  <r>
    <x v="555"/>
    <x v="554"/>
    <d v="1992-05-03T00:00:00"/>
    <d v="1988-07-04T00:00:00"/>
    <x v="0"/>
    <x v="555"/>
    <x v="6"/>
    <x v="0"/>
    <x v="400"/>
    <x v="5"/>
    <x v="37"/>
  </r>
  <r>
    <x v="556"/>
    <x v="555"/>
    <d v="1971-11-17T00:00:00"/>
    <d v="1985-03-03T00:00:00"/>
    <x v="2"/>
    <x v="556"/>
    <x v="7"/>
    <x v="1"/>
    <x v="401"/>
    <x v="1"/>
    <x v="12"/>
  </r>
  <r>
    <x v="557"/>
    <x v="556"/>
    <d v="1965-09-21T00:00:00"/>
    <d v="1973-07-07T00:00:00"/>
    <x v="1"/>
    <x v="557"/>
    <x v="4"/>
    <x v="0"/>
    <x v="402"/>
    <x v="4"/>
    <x v="29"/>
  </r>
  <r>
    <x v="558"/>
    <x v="557"/>
    <d v="1998-12-22T00:00:00"/>
    <d v="1978-08-22T00:00:00"/>
    <x v="5"/>
    <x v="558"/>
    <x v="9"/>
    <x v="0"/>
    <x v="277"/>
    <x v="2"/>
    <x v="14"/>
  </r>
  <r>
    <x v="559"/>
    <x v="558"/>
    <d v="1987-06-28T00:00:00"/>
    <d v="2017-06-06T00:00:00"/>
    <x v="5"/>
    <x v="559"/>
    <x v="6"/>
    <x v="0"/>
    <x v="403"/>
    <x v="4"/>
    <x v="47"/>
  </r>
  <r>
    <x v="560"/>
    <x v="559"/>
    <d v="1975-05-22T00:00:00"/>
    <d v="2019-02-26T00:00:00"/>
    <x v="5"/>
    <x v="560"/>
    <x v="2"/>
    <x v="0"/>
    <x v="363"/>
    <x v="5"/>
    <x v="8"/>
  </r>
  <r>
    <x v="561"/>
    <x v="560"/>
    <d v="1960-12-15T00:00:00"/>
    <d v="2004-10-11T00:00:00"/>
    <x v="2"/>
    <x v="561"/>
    <x v="9"/>
    <x v="1"/>
    <x v="404"/>
    <x v="6"/>
    <x v="28"/>
  </r>
  <r>
    <x v="562"/>
    <x v="561"/>
    <d v="1982-10-12T00:00:00"/>
    <d v="1993-01-30T00:00:00"/>
    <x v="6"/>
    <x v="562"/>
    <x v="3"/>
    <x v="0"/>
    <x v="230"/>
    <x v="5"/>
    <x v="42"/>
  </r>
  <r>
    <x v="563"/>
    <x v="562"/>
    <d v="1995-03-23T00:00:00"/>
    <d v="2017-01-02T00:00:00"/>
    <x v="6"/>
    <x v="563"/>
    <x v="5"/>
    <x v="1"/>
    <x v="405"/>
    <x v="5"/>
    <x v="47"/>
  </r>
  <r>
    <x v="564"/>
    <x v="563"/>
    <d v="1983-04-29T00:00:00"/>
    <d v="1974-05-07T00:00:00"/>
    <x v="1"/>
    <x v="564"/>
    <x v="0"/>
    <x v="0"/>
    <x v="406"/>
    <x v="2"/>
    <x v="49"/>
  </r>
  <r>
    <x v="565"/>
    <x v="564"/>
    <d v="1982-03-04T00:00:00"/>
    <d v="2003-02-19T00:00:00"/>
    <x v="0"/>
    <x v="565"/>
    <x v="2"/>
    <x v="1"/>
    <x v="407"/>
    <x v="4"/>
    <x v="10"/>
  </r>
  <r>
    <x v="566"/>
    <x v="565"/>
    <d v="1982-03-26T00:00:00"/>
    <d v="2006-09-15T00:00:00"/>
    <x v="3"/>
    <x v="566"/>
    <x v="4"/>
    <x v="0"/>
    <x v="194"/>
    <x v="2"/>
    <x v="19"/>
  </r>
  <r>
    <x v="567"/>
    <x v="566"/>
    <d v="1984-08-15T00:00:00"/>
    <d v="1987-06-19T00:00:00"/>
    <x v="1"/>
    <x v="567"/>
    <x v="2"/>
    <x v="1"/>
    <x v="408"/>
    <x v="6"/>
    <x v="46"/>
  </r>
  <r>
    <x v="568"/>
    <x v="567"/>
    <d v="1963-09-23T00:00:00"/>
    <d v="1984-01-01T00:00:00"/>
    <x v="5"/>
    <x v="568"/>
    <x v="5"/>
    <x v="1"/>
    <x v="409"/>
    <x v="2"/>
    <x v="38"/>
  </r>
  <r>
    <x v="569"/>
    <x v="568"/>
    <d v="1966-09-03T00:00:00"/>
    <d v="1999-01-12T00:00:00"/>
    <x v="5"/>
    <x v="569"/>
    <x v="3"/>
    <x v="1"/>
    <x v="410"/>
    <x v="0"/>
    <x v="6"/>
  </r>
  <r>
    <x v="570"/>
    <x v="569"/>
    <d v="1967-10-05T00:00:00"/>
    <d v="2020-02-18T00:00:00"/>
    <x v="2"/>
    <x v="570"/>
    <x v="6"/>
    <x v="0"/>
    <x v="30"/>
    <x v="2"/>
    <x v="32"/>
  </r>
  <r>
    <x v="571"/>
    <x v="570"/>
    <d v="1979-10-25T00:00:00"/>
    <d v="2014-06-03T00:00:00"/>
    <x v="2"/>
    <x v="571"/>
    <x v="2"/>
    <x v="1"/>
    <x v="411"/>
    <x v="4"/>
    <x v="0"/>
  </r>
  <r>
    <x v="572"/>
    <x v="571"/>
    <d v="1978-11-20T00:00:00"/>
    <d v="2001-02-18T00:00:00"/>
    <x v="2"/>
    <x v="572"/>
    <x v="3"/>
    <x v="1"/>
    <x v="412"/>
    <x v="1"/>
    <x v="11"/>
  </r>
  <r>
    <x v="573"/>
    <x v="572"/>
    <d v="1988-09-06T00:00:00"/>
    <d v="1988-09-29T00:00:00"/>
    <x v="5"/>
    <x v="573"/>
    <x v="1"/>
    <x v="1"/>
    <x v="413"/>
    <x v="5"/>
    <x v="37"/>
  </r>
  <r>
    <x v="574"/>
    <x v="573"/>
    <d v="1977-01-03T00:00:00"/>
    <d v="1993-06-29T00:00:00"/>
    <x v="4"/>
    <x v="574"/>
    <x v="2"/>
    <x v="0"/>
    <x v="29"/>
    <x v="1"/>
    <x v="42"/>
  </r>
  <r>
    <x v="575"/>
    <x v="574"/>
    <d v="1986-03-15T00:00:00"/>
    <d v="1990-11-28T00:00:00"/>
    <x v="6"/>
    <x v="575"/>
    <x v="2"/>
    <x v="1"/>
    <x v="397"/>
    <x v="1"/>
    <x v="50"/>
  </r>
  <r>
    <x v="576"/>
    <x v="575"/>
    <d v="1962-10-11T00:00:00"/>
    <d v="1988-01-08T00:00:00"/>
    <x v="0"/>
    <x v="576"/>
    <x v="8"/>
    <x v="0"/>
    <x v="414"/>
    <x v="0"/>
    <x v="37"/>
  </r>
  <r>
    <x v="577"/>
    <x v="576"/>
    <d v="1971-04-08T00:00:00"/>
    <d v="1985-09-20T00:00:00"/>
    <x v="5"/>
    <x v="577"/>
    <x v="9"/>
    <x v="0"/>
    <x v="415"/>
    <x v="6"/>
    <x v="12"/>
  </r>
  <r>
    <x v="578"/>
    <x v="577"/>
    <d v="1987-03-24T00:00:00"/>
    <d v="1975-04-10T00:00:00"/>
    <x v="5"/>
    <x v="578"/>
    <x v="1"/>
    <x v="1"/>
    <x v="76"/>
    <x v="3"/>
    <x v="18"/>
  </r>
  <r>
    <x v="579"/>
    <x v="578"/>
    <d v="2001-03-17T00:00:00"/>
    <d v="2009-10-01T00:00:00"/>
    <x v="4"/>
    <x v="579"/>
    <x v="1"/>
    <x v="1"/>
    <x v="416"/>
    <x v="2"/>
    <x v="25"/>
  </r>
  <r>
    <x v="580"/>
    <x v="579"/>
    <d v="1996-11-13T00:00:00"/>
    <d v="2018-07-13T00:00:00"/>
    <x v="5"/>
    <x v="580"/>
    <x v="0"/>
    <x v="1"/>
    <x v="65"/>
    <x v="2"/>
    <x v="1"/>
  </r>
  <r>
    <x v="581"/>
    <x v="580"/>
    <d v="1981-07-11T00:00:00"/>
    <d v="1984-01-25T00:00:00"/>
    <x v="4"/>
    <x v="581"/>
    <x v="8"/>
    <x v="0"/>
    <x v="417"/>
    <x v="4"/>
    <x v="38"/>
  </r>
  <r>
    <x v="582"/>
    <x v="581"/>
    <d v="1970-09-12T00:00:00"/>
    <d v="1987-01-19T00:00:00"/>
    <x v="1"/>
    <x v="582"/>
    <x v="7"/>
    <x v="0"/>
    <x v="65"/>
    <x v="1"/>
    <x v="46"/>
  </r>
  <r>
    <x v="583"/>
    <x v="582"/>
    <d v="1962-05-14T00:00:00"/>
    <d v="2003-03-06T00:00:00"/>
    <x v="3"/>
    <x v="583"/>
    <x v="2"/>
    <x v="1"/>
    <x v="418"/>
    <x v="6"/>
    <x v="10"/>
  </r>
  <r>
    <x v="584"/>
    <x v="583"/>
    <d v="1975-12-13T00:00:00"/>
    <d v="2017-08-20T00:00:00"/>
    <x v="5"/>
    <x v="584"/>
    <x v="7"/>
    <x v="1"/>
    <x v="419"/>
    <x v="2"/>
    <x v="47"/>
  </r>
  <r>
    <x v="585"/>
    <x v="584"/>
    <d v="1966-06-17T00:00:00"/>
    <d v="1994-12-22T00:00:00"/>
    <x v="5"/>
    <x v="585"/>
    <x v="4"/>
    <x v="0"/>
    <x v="420"/>
    <x v="4"/>
    <x v="45"/>
  </r>
  <r>
    <x v="586"/>
    <x v="585"/>
    <d v="1983-09-25T00:00:00"/>
    <d v="2013-09-22T00:00:00"/>
    <x v="5"/>
    <x v="586"/>
    <x v="4"/>
    <x v="0"/>
    <x v="421"/>
    <x v="6"/>
    <x v="40"/>
  </r>
  <r>
    <x v="587"/>
    <x v="586"/>
    <d v="2000-03-02T00:00:00"/>
    <d v="1983-06-02T00:00:00"/>
    <x v="5"/>
    <x v="587"/>
    <x v="5"/>
    <x v="0"/>
    <x v="422"/>
    <x v="1"/>
    <x v="20"/>
  </r>
  <r>
    <x v="588"/>
    <x v="587"/>
    <d v="1989-03-02T00:00:00"/>
    <d v="1977-11-17T00:00:00"/>
    <x v="4"/>
    <x v="588"/>
    <x v="2"/>
    <x v="0"/>
    <x v="202"/>
    <x v="1"/>
    <x v="31"/>
  </r>
  <r>
    <x v="589"/>
    <x v="588"/>
    <d v="1989-12-22T00:00:00"/>
    <d v="2015-05-27T00:00:00"/>
    <x v="4"/>
    <x v="589"/>
    <x v="3"/>
    <x v="0"/>
    <x v="423"/>
    <x v="4"/>
    <x v="43"/>
  </r>
  <r>
    <x v="590"/>
    <x v="589"/>
    <d v="1990-04-26T00:00:00"/>
    <d v="2012-10-26T00:00:00"/>
    <x v="5"/>
    <x v="590"/>
    <x v="0"/>
    <x v="0"/>
    <x v="385"/>
    <x v="3"/>
    <x v="16"/>
  </r>
  <r>
    <x v="591"/>
    <x v="590"/>
    <d v="1972-07-08T00:00:00"/>
    <d v="2021-02-04T00:00:00"/>
    <x v="5"/>
    <x v="591"/>
    <x v="4"/>
    <x v="0"/>
    <x v="424"/>
    <x v="1"/>
    <x v="52"/>
  </r>
  <r>
    <x v="592"/>
    <x v="591"/>
    <d v="1960-05-28T00:00:00"/>
    <d v="1985-04-02T00:00:00"/>
    <x v="0"/>
    <x v="592"/>
    <x v="1"/>
    <x v="1"/>
    <x v="425"/>
    <x v="1"/>
    <x v="12"/>
  </r>
  <r>
    <x v="593"/>
    <x v="592"/>
    <d v="1971-09-05T00:00:00"/>
    <d v="2004-04-15T00:00:00"/>
    <x v="4"/>
    <x v="593"/>
    <x v="1"/>
    <x v="0"/>
    <x v="252"/>
    <x v="1"/>
    <x v="28"/>
  </r>
  <r>
    <x v="594"/>
    <x v="593"/>
    <d v="1977-09-08T00:00:00"/>
    <d v="1997-05-20T00:00:00"/>
    <x v="1"/>
    <x v="594"/>
    <x v="0"/>
    <x v="0"/>
    <x v="426"/>
    <x v="1"/>
    <x v="23"/>
  </r>
  <r>
    <x v="595"/>
    <x v="594"/>
    <d v="1964-06-13T00:00:00"/>
    <d v="2020-07-19T00:00:00"/>
    <x v="5"/>
    <x v="595"/>
    <x v="9"/>
    <x v="1"/>
    <x v="46"/>
    <x v="5"/>
    <x v="32"/>
  </r>
  <r>
    <x v="596"/>
    <x v="595"/>
    <d v="1994-03-10T00:00:00"/>
    <d v="2012-03-10T00:00:00"/>
    <x v="0"/>
    <x v="596"/>
    <x v="5"/>
    <x v="1"/>
    <x v="427"/>
    <x v="4"/>
    <x v="16"/>
  </r>
  <r>
    <x v="597"/>
    <x v="596"/>
    <d v="2000-11-29T00:00:00"/>
    <d v="1979-06-09T00:00:00"/>
    <x v="4"/>
    <x v="597"/>
    <x v="4"/>
    <x v="0"/>
    <x v="428"/>
    <x v="5"/>
    <x v="36"/>
  </r>
  <r>
    <x v="598"/>
    <x v="597"/>
    <d v="2000-07-23T00:00:00"/>
    <d v="2019-12-16T00:00:00"/>
    <x v="4"/>
    <x v="598"/>
    <x v="4"/>
    <x v="0"/>
    <x v="429"/>
    <x v="1"/>
    <x v="8"/>
  </r>
  <r>
    <x v="599"/>
    <x v="598"/>
    <d v="1986-05-05T00:00:00"/>
    <d v="1974-01-20T00:00:00"/>
    <x v="1"/>
    <x v="599"/>
    <x v="9"/>
    <x v="1"/>
    <x v="430"/>
    <x v="5"/>
    <x v="49"/>
  </r>
  <r>
    <x v="600"/>
    <x v="599"/>
    <d v="1974-09-12T00:00:00"/>
    <d v="2002-11-29T00:00:00"/>
    <x v="3"/>
    <x v="600"/>
    <x v="3"/>
    <x v="1"/>
    <x v="431"/>
    <x v="1"/>
    <x v="27"/>
  </r>
  <r>
    <x v="601"/>
    <x v="600"/>
    <d v="1965-04-17T00:00:00"/>
    <d v="2011-10-18T00:00:00"/>
    <x v="3"/>
    <x v="601"/>
    <x v="3"/>
    <x v="1"/>
    <x v="257"/>
    <x v="0"/>
    <x v="22"/>
  </r>
  <r>
    <x v="602"/>
    <x v="601"/>
    <d v="1998-12-22T00:00:00"/>
    <d v="2021-02-06T00:00:00"/>
    <x v="6"/>
    <x v="602"/>
    <x v="7"/>
    <x v="0"/>
    <x v="432"/>
    <x v="0"/>
    <x v="52"/>
  </r>
  <r>
    <x v="603"/>
    <x v="602"/>
    <d v="1982-06-27T00:00:00"/>
    <d v="1973-11-13T00:00:00"/>
    <x v="4"/>
    <x v="603"/>
    <x v="6"/>
    <x v="0"/>
    <x v="328"/>
    <x v="4"/>
    <x v="29"/>
  </r>
  <r>
    <x v="604"/>
    <x v="603"/>
    <d v="1959-02-15T00:00:00"/>
    <d v="2021-11-18T00:00:00"/>
    <x v="3"/>
    <x v="604"/>
    <x v="1"/>
    <x v="0"/>
    <x v="433"/>
    <x v="4"/>
    <x v="52"/>
  </r>
  <r>
    <x v="605"/>
    <x v="604"/>
    <d v="1965-06-19T00:00:00"/>
    <d v="1976-08-24T00:00:00"/>
    <x v="2"/>
    <x v="605"/>
    <x v="1"/>
    <x v="1"/>
    <x v="172"/>
    <x v="3"/>
    <x v="26"/>
  </r>
  <r>
    <x v="606"/>
    <x v="605"/>
    <d v="1968-08-27T00:00:00"/>
    <d v="2013-01-20T00:00:00"/>
    <x v="1"/>
    <x v="606"/>
    <x v="8"/>
    <x v="0"/>
    <x v="434"/>
    <x v="3"/>
    <x v="40"/>
  </r>
  <r>
    <x v="607"/>
    <x v="606"/>
    <d v="1969-11-30T00:00:00"/>
    <d v="1984-05-13T00:00:00"/>
    <x v="0"/>
    <x v="607"/>
    <x v="1"/>
    <x v="1"/>
    <x v="79"/>
    <x v="5"/>
    <x v="38"/>
  </r>
  <r>
    <x v="608"/>
    <x v="607"/>
    <d v="1959-03-02T00:00:00"/>
    <d v="2000-05-27T00:00:00"/>
    <x v="0"/>
    <x v="608"/>
    <x v="9"/>
    <x v="0"/>
    <x v="359"/>
    <x v="4"/>
    <x v="3"/>
  </r>
  <r>
    <x v="609"/>
    <x v="513"/>
    <d v="1996-06-08T00:00:00"/>
    <d v="1989-04-05T00:00:00"/>
    <x v="4"/>
    <x v="609"/>
    <x v="6"/>
    <x v="0"/>
    <x v="435"/>
    <x v="2"/>
    <x v="21"/>
  </r>
  <r>
    <x v="610"/>
    <x v="608"/>
    <d v="2002-02-15T00:00:00"/>
    <d v="1987-10-13T00:00:00"/>
    <x v="2"/>
    <x v="610"/>
    <x v="5"/>
    <x v="1"/>
    <x v="97"/>
    <x v="3"/>
    <x v="46"/>
  </r>
  <r>
    <x v="611"/>
    <x v="609"/>
    <d v="1994-09-05T00:00:00"/>
    <d v="2014-03-12T00:00:00"/>
    <x v="1"/>
    <x v="611"/>
    <x v="4"/>
    <x v="0"/>
    <x v="436"/>
    <x v="0"/>
    <x v="0"/>
  </r>
  <r>
    <x v="612"/>
    <x v="610"/>
    <d v="1984-01-31T00:00:00"/>
    <d v="2003-11-14T00:00:00"/>
    <x v="0"/>
    <x v="612"/>
    <x v="2"/>
    <x v="1"/>
    <x v="437"/>
    <x v="5"/>
    <x v="10"/>
  </r>
  <r>
    <x v="613"/>
    <x v="611"/>
    <d v="2000-01-02T00:00:00"/>
    <d v="1977-06-21T00:00:00"/>
    <x v="5"/>
    <x v="613"/>
    <x v="0"/>
    <x v="1"/>
    <x v="438"/>
    <x v="1"/>
    <x v="31"/>
  </r>
  <r>
    <x v="614"/>
    <x v="612"/>
    <d v="1963-10-16T00:00:00"/>
    <d v="1994-10-17T00:00:00"/>
    <x v="1"/>
    <x v="614"/>
    <x v="6"/>
    <x v="1"/>
    <x v="439"/>
    <x v="5"/>
    <x v="45"/>
  </r>
  <r>
    <x v="615"/>
    <x v="613"/>
    <d v="2001-09-14T00:00:00"/>
    <d v="1973-12-08T00:00:00"/>
    <x v="1"/>
    <x v="615"/>
    <x v="6"/>
    <x v="1"/>
    <x v="143"/>
    <x v="3"/>
    <x v="29"/>
  </r>
  <r>
    <x v="616"/>
    <x v="614"/>
    <d v="1981-01-07T00:00:00"/>
    <d v="1998-04-11T00:00:00"/>
    <x v="6"/>
    <x v="616"/>
    <x v="6"/>
    <x v="1"/>
    <x v="440"/>
    <x v="1"/>
    <x v="7"/>
  </r>
  <r>
    <x v="617"/>
    <x v="615"/>
    <d v="1984-10-27T00:00:00"/>
    <d v="2015-08-14T00:00:00"/>
    <x v="3"/>
    <x v="617"/>
    <x v="8"/>
    <x v="0"/>
    <x v="441"/>
    <x v="2"/>
    <x v="43"/>
  </r>
  <r>
    <x v="618"/>
    <x v="616"/>
    <d v="1973-03-31T00:00:00"/>
    <d v="2019-03-13T00:00:00"/>
    <x v="2"/>
    <x v="618"/>
    <x v="8"/>
    <x v="0"/>
    <x v="292"/>
    <x v="6"/>
    <x v="8"/>
  </r>
  <r>
    <x v="619"/>
    <x v="617"/>
    <d v="1972-09-05T00:00:00"/>
    <d v="2013-05-12T00:00:00"/>
    <x v="6"/>
    <x v="619"/>
    <x v="3"/>
    <x v="0"/>
    <x v="442"/>
    <x v="5"/>
    <x v="40"/>
  </r>
  <r>
    <x v="620"/>
    <x v="618"/>
    <d v="1968-06-20T00:00:00"/>
    <d v="1981-07-07T00:00:00"/>
    <x v="1"/>
    <x v="620"/>
    <x v="3"/>
    <x v="0"/>
    <x v="443"/>
    <x v="4"/>
    <x v="15"/>
  </r>
  <r>
    <x v="621"/>
    <x v="619"/>
    <d v="1968-11-26T00:00:00"/>
    <d v="2006-08-12T00:00:00"/>
    <x v="3"/>
    <x v="621"/>
    <x v="0"/>
    <x v="1"/>
    <x v="84"/>
    <x v="4"/>
    <x v="19"/>
  </r>
  <r>
    <x v="622"/>
    <x v="620"/>
    <d v="1977-01-17T00:00:00"/>
    <d v="2009-02-08T00:00:00"/>
    <x v="0"/>
    <x v="622"/>
    <x v="3"/>
    <x v="0"/>
    <x v="444"/>
    <x v="1"/>
    <x v="25"/>
  </r>
  <r>
    <x v="623"/>
    <x v="621"/>
    <d v="1964-05-22T00:00:00"/>
    <d v="1974-06-19T00:00:00"/>
    <x v="5"/>
    <x v="623"/>
    <x v="3"/>
    <x v="1"/>
    <x v="426"/>
    <x v="0"/>
    <x v="49"/>
  </r>
  <r>
    <x v="624"/>
    <x v="622"/>
    <d v="1975-10-05T00:00:00"/>
    <d v="1996-04-10T00:00:00"/>
    <x v="6"/>
    <x v="624"/>
    <x v="0"/>
    <x v="1"/>
    <x v="184"/>
    <x v="5"/>
    <x v="30"/>
  </r>
  <r>
    <x v="625"/>
    <x v="623"/>
    <d v="1980-11-15T00:00:00"/>
    <d v="2009-04-10T00:00:00"/>
    <x v="2"/>
    <x v="625"/>
    <x v="3"/>
    <x v="1"/>
    <x v="445"/>
    <x v="3"/>
    <x v="25"/>
  </r>
  <r>
    <x v="626"/>
    <x v="624"/>
    <d v="1984-04-08T00:00:00"/>
    <d v="2017-06-15T00:00:00"/>
    <x v="1"/>
    <x v="626"/>
    <x v="1"/>
    <x v="0"/>
    <x v="131"/>
    <x v="1"/>
    <x v="47"/>
  </r>
  <r>
    <x v="627"/>
    <x v="625"/>
    <d v="1973-08-07T00:00:00"/>
    <d v="2018-06-01T00:00:00"/>
    <x v="0"/>
    <x v="627"/>
    <x v="0"/>
    <x v="0"/>
    <x v="446"/>
    <x v="1"/>
    <x v="1"/>
  </r>
  <r>
    <x v="628"/>
    <x v="626"/>
    <d v="1967-04-19T00:00:00"/>
    <d v="1984-09-18T00:00:00"/>
    <x v="5"/>
    <x v="628"/>
    <x v="0"/>
    <x v="1"/>
    <x v="447"/>
    <x v="5"/>
    <x v="38"/>
  </r>
  <r>
    <x v="629"/>
    <x v="627"/>
    <d v="1985-03-12T00:00:00"/>
    <d v="2013-05-06T00:00:00"/>
    <x v="6"/>
    <x v="629"/>
    <x v="6"/>
    <x v="1"/>
    <x v="184"/>
    <x v="2"/>
    <x v="40"/>
  </r>
  <r>
    <x v="630"/>
    <x v="628"/>
    <d v="1985-03-29T00:00:00"/>
    <d v="1988-07-01T00:00:00"/>
    <x v="3"/>
    <x v="630"/>
    <x v="2"/>
    <x v="0"/>
    <x v="448"/>
    <x v="2"/>
    <x v="37"/>
  </r>
  <r>
    <x v="631"/>
    <x v="629"/>
    <d v="1975-06-11T00:00:00"/>
    <d v="1977-02-03T00:00:00"/>
    <x v="6"/>
    <x v="631"/>
    <x v="4"/>
    <x v="1"/>
    <x v="449"/>
    <x v="1"/>
    <x v="31"/>
  </r>
  <r>
    <x v="632"/>
    <x v="630"/>
    <d v="1963-04-05T00:00:00"/>
    <d v="1993-06-12T00:00:00"/>
    <x v="2"/>
    <x v="632"/>
    <x v="7"/>
    <x v="1"/>
    <x v="260"/>
    <x v="4"/>
    <x v="42"/>
  </r>
  <r>
    <x v="633"/>
    <x v="631"/>
    <d v="1999-02-17T00:00:00"/>
    <d v="2008-03-30T00:00:00"/>
    <x v="5"/>
    <x v="633"/>
    <x v="7"/>
    <x v="1"/>
    <x v="450"/>
    <x v="3"/>
    <x v="17"/>
  </r>
  <r>
    <x v="634"/>
    <x v="632"/>
    <d v="1983-07-09T00:00:00"/>
    <d v="2001-06-03T00:00:00"/>
    <x v="5"/>
    <x v="634"/>
    <x v="5"/>
    <x v="1"/>
    <x v="210"/>
    <x v="3"/>
    <x v="11"/>
  </r>
  <r>
    <x v="635"/>
    <x v="633"/>
    <d v="2002-12-23T00:00:00"/>
    <d v="1974-04-05T00:00:00"/>
    <x v="5"/>
    <x v="635"/>
    <x v="6"/>
    <x v="0"/>
    <x v="451"/>
    <x v="3"/>
    <x v="49"/>
  </r>
  <r>
    <x v="636"/>
    <x v="634"/>
    <d v="1996-04-12T00:00:00"/>
    <d v="1974-02-22T00:00:00"/>
    <x v="4"/>
    <x v="636"/>
    <x v="1"/>
    <x v="1"/>
    <x v="452"/>
    <x v="0"/>
    <x v="49"/>
  </r>
  <r>
    <x v="637"/>
    <x v="635"/>
    <d v="1963-09-12T00:00:00"/>
    <d v="2009-04-17T00:00:00"/>
    <x v="3"/>
    <x v="637"/>
    <x v="9"/>
    <x v="0"/>
    <x v="109"/>
    <x v="0"/>
    <x v="25"/>
  </r>
  <r>
    <x v="638"/>
    <x v="636"/>
    <d v="1998-02-12T00:00:00"/>
    <d v="1974-06-30T00:00:00"/>
    <x v="1"/>
    <x v="638"/>
    <x v="1"/>
    <x v="0"/>
    <x v="147"/>
    <x v="3"/>
    <x v="49"/>
  </r>
  <r>
    <x v="639"/>
    <x v="637"/>
    <d v="1960-06-21T00:00:00"/>
    <d v="1998-09-09T00:00:00"/>
    <x v="4"/>
    <x v="639"/>
    <x v="8"/>
    <x v="0"/>
    <x v="431"/>
    <x v="5"/>
    <x v="7"/>
  </r>
  <r>
    <x v="640"/>
    <x v="638"/>
    <d v="1967-08-29T00:00:00"/>
    <d v="2015-09-25T00:00:00"/>
    <x v="0"/>
    <x v="640"/>
    <x v="0"/>
    <x v="1"/>
    <x v="176"/>
    <x v="1"/>
    <x v="43"/>
  </r>
  <r>
    <x v="641"/>
    <x v="639"/>
    <d v="1990-10-01T00:00:00"/>
    <d v="1987-10-31T00:00:00"/>
    <x v="4"/>
    <x v="641"/>
    <x v="4"/>
    <x v="1"/>
    <x v="453"/>
    <x v="5"/>
    <x v="46"/>
  </r>
  <r>
    <x v="642"/>
    <x v="640"/>
    <d v="1972-09-30T00:00:00"/>
    <d v="1971-01-15T00:00:00"/>
    <x v="0"/>
    <x v="642"/>
    <x v="7"/>
    <x v="0"/>
    <x v="454"/>
    <x v="0"/>
    <x v="44"/>
  </r>
  <r>
    <x v="643"/>
    <x v="641"/>
    <d v="1990-11-18T00:00:00"/>
    <d v="1989-06-01T00:00:00"/>
    <x v="0"/>
    <x v="643"/>
    <x v="4"/>
    <x v="0"/>
    <x v="129"/>
    <x v="5"/>
    <x v="21"/>
  </r>
  <r>
    <x v="644"/>
    <x v="642"/>
    <d v="1999-11-29T00:00:00"/>
    <d v="1999-08-01T00:00:00"/>
    <x v="6"/>
    <x v="644"/>
    <x v="9"/>
    <x v="1"/>
    <x v="147"/>
    <x v="3"/>
    <x v="6"/>
  </r>
  <r>
    <x v="645"/>
    <x v="643"/>
    <d v="2002-02-22T00:00:00"/>
    <d v="2015-06-24T00:00:00"/>
    <x v="0"/>
    <x v="645"/>
    <x v="6"/>
    <x v="1"/>
    <x v="455"/>
    <x v="3"/>
    <x v="43"/>
  </r>
  <r>
    <x v="646"/>
    <x v="644"/>
    <d v="1987-01-30T00:00:00"/>
    <d v="2011-04-22T00:00:00"/>
    <x v="3"/>
    <x v="646"/>
    <x v="4"/>
    <x v="1"/>
    <x v="456"/>
    <x v="5"/>
    <x v="22"/>
  </r>
  <r>
    <x v="647"/>
    <x v="645"/>
    <d v="1999-05-31T00:00:00"/>
    <d v="2016-04-18T00:00:00"/>
    <x v="1"/>
    <x v="647"/>
    <x v="7"/>
    <x v="0"/>
    <x v="455"/>
    <x v="3"/>
    <x v="48"/>
  </r>
  <r>
    <x v="648"/>
    <x v="646"/>
    <d v="1975-08-19T00:00:00"/>
    <d v="2016-04-12T00:00:00"/>
    <x v="2"/>
    <x v="648"/>
    <x v="1"/>
    <x v="0"/>
    <x v="83"/>
    <x v="2"/>
    <x v="48"/>
  </r>
  <r>
    <x v="649"/>
    <x v="647"/>
    <d v="1973-07-07T00:00:00"/>
    <d v="1975-07-25T00:00:00"/>
    <x v="2"/>
    <x v="649"/>
    <x v="4"/>
    <x v="0"/>
    <x v="13"/>
    <x v="1"/>
    <x v="18"/>
  </r>
  <r>
    <x v="650"/>
    <x v="648"/>
    <d v="1989-03-18T00:00:00"/>
    <d v="2004-07-07T00:00:00"/>
    <x v="1"/>
    <x v="650"/>
    <x v="0"/>
    <x v="0"/>
    <x v="457"/>
    <x v="0"/>
    <x v="28"/>
  </r>
  <r>
    <x v="651"/>
    <x v="649"/>
    <d v="1988-02-08T00:00:00"/>
    <d v="1990-10-08T00:00:00"/>
    <x v="5"/>
    <x v="651"/>
    <x v="3"/>
    <x v="0"/>
    <x v="187"/>
    <x v="3"/>
    <x v="50"/>
  </r>
  <r>
    <x v="652"/>
    <x v="650"/>
    <d v="1992-09-14T00:00:00"/>
    <d v="2008-01-10T00:00:00"/>
    <x v="5"/>
    <x v="652"/>
    <x v="4"/>
    <x v="1"/>
    <x v="458"/>
    <x v="0"/>
    <x v="17"/>
  </r>
  <r>
    <x v="653"/>
    <x v="651"/>
    <d v="1970-01-28T00:00:00"/>
    <d v="1981-04-20T00:00:00"/>
    <x v="1"/>
    <x v="653"/>
    <x v="8"/>
    <x v="0"/>
    <x v="19"/>
    <x v="5"/>
    <x v="15"/>
  </r>
  <r>
    <x v="654"/>
    <x v="652"/>
    <d v="1988-10-12T00:00:00"/>
    <d v="2006-01-07T00:00:00"/>
    <x v="6"/>
    <x v="654"/>
    <x v="4"/>
    <x v="1"/>
    <x v="434"/>
    <x v="1"/>
    <x v="19"/>
  </r>
  <r>
    <x v="655"/>
    <x v="653"/>
    <d v="1965-09-15T00:00:00"/>
    <d v="2021-01-01T00:00:00"/>
    <x v="4"/>
    <x v="655"/>
    <x v="1"/>
    <x v="1"/>
    <x v="39"/>
    <x v="1"/>
    <x v="52"/>
  </r>
  <r>
    <x v="656"/>
    <x v="654"/>
    <d v="1984-10-18T00:00:00"/>
    <d v="2019-07-31T00:00:00"/>
    <x v="2"/>
    <x v="656"/>
    <x v="5"/>
    <x v="1"/>
    <x v="459"/>
    <x v="6"/>
    <x v="8"/>
  </r>
  <r>
    <x v="657"/>
    <x v="655"/>
    <d v="2002-11-06T00:00:00"/>
    <d v="1995-06-20T00:00:00"/>
    <x v="5"/>
    <x v="657"/>
    <x v="1"/>
    <x v="0"/>
    <x v="46"/>
    <x v="4"/>
    <x v="41"/>
  </r>
  <r>
    <x v="658"/>
    <x v="656"/>
    <d v="1965-08-23T00:00:00"/>
    <d v="1978-06-23T00:00:00"/>
    <x v="4"/>
    <x v="658"/>
    <x v="2"/>
    <x v="1"/>
    <x v="288"/>
    <x v="6"/>
    <x v="14"/>
  </r>
  <r>
    <x v="659"/>
    <x v="657"/>
    <d v="1969-09-27T00:00:00"/>
    <d v="1989-04-06T00:00:00"/>
    <x v="1"/>
    <x v="659"/>
    <x v="9"/>
    <x v="0"/>
    <x v="258"/>
    <x v="6"/>
    <x v="21"/>
  </r>
  <r>
    <x v="660"/>
    <x v="658"/>
    <d v="1976-08-25T00:00:00"/>
    <d v="2010-10-21T00:00:00"/>
    <x v="2"/>
    <x v="660"/>
    <x v="8"/>
    <x v="0"/>
    <x v="460"/>
    <x v="6"/>
    <x v="2"/>
  </r>
  <r>
    <x v="661"/>
    <x v="659"/>
    <d v="1960-12-22T00:00:00"/>
    <d v="2020-11-25T00:00:00"/>
    <x v="5"/>
    <x v="661"/>
    <x v="8"/>
    <x v="1"/>
    <x v="309"/>
    <x v="0"/>
    <x v="32"/>
  </r>
  <r>
    <x v="662"/>
    <x v="660"/>
    <d v="1996-01-16T00:00:00"/>
    <d v="1989-02-04T00:00:00"/>
    <x v="6"/>
    <x v="662"/>
    <x v="6"/>
    <x v="0"/>
    <x v="461"/>
    <x v="4"/>
    <x v="21"/>
  </r>
  <r>
    <x v="663"/>
    <x v="661"/>
    <d v="1985-02-22T00:00:00"/>
    <d v="1983-10-20T00:00:00"/>
    <x v="0"/>
    <x v="663"/>
    <x v="0"/>
    <x v="1"/>
    <x v="335"/>
    <x v="1"/>
    <x v="20"/>
  </r>
  <r>
    <x v="664"/>
    <x v="662"/>
    <d v="1987-09-25T00:00:00"/>
    <d v="1982-03-12T00:00:00"/>
    <x v="5"/>
    <x v="664"/>
    <x v="3"/>
    <x v="1"/>
    <x v="72"/>
    <x v="5"/>
    <x v="51"/>
  </r>
  <r>
    <x v="665"/>
    <x v="663"/>
    <d v="1994-06-22T00:00:00"/>
    <d v="1995-11-06T00:00:00"/>
    <x v="6"/>
    <x v="665"/>
    <x v="1"/>
    <x v="1"/>
    <x v="462"/>
    <x v="4"/>
    <x v="41"/>
  </r>
  <r>
    <x v="666"/>
    <x v="664"/>
    <d v="1990-04-30T00:00:00"/>
    <d v="2019-09-23T00:00:00"/>
    <x v="6"/>
    <x v="666"/>
    <x v="1"/>
    <x v="1"/>
    <x v="463"/>
    <x v="4"/>
    <x v="8"/>
  </r>
  <r>
    <x v="667"/>
    <x v="665"/>
    <d v="1999-11-16T00:00:00"/>
    <d v="1995-05-26T00:00:00"/>
    <x v="3"/>
    <x v="667"/>
    <x v="4"/>
    <x v="0"/>
    <x v="307"/>
    <x v="6"/>
    <x v="41"/>
  </r>
  <r>
    <x v="668"/>
    <x v="666"/>
    <d v="1977-07-13T00:00:00"/>
    <d v="2017-09-12T00:00:00"/>
    <x v="6"/>
    <x v="668"/>
    <x v="0"/>
    <x v="0"/>
    <x v="92"/>
    <x v="4"/>
    <x v="47"/>
  </r>
  <r>
    <x v="669"/>
    <x v="667"/>
    <d v="1997-06-10T00:00:00"/>
    <d v="1973-10-26T00:00:00"/>
    <x v="3"/>
    <x v="669"/>
    <x v="2"/>
    <x v="0"/>
    <x v="221"/>
    <x v="2"/>
    <x v="29"/>
  </r>
  <r>
    <x v="670"/>
    <x v="668"/>
    <d v="1986-03-09T00:00:00"/>
    <d v="1982-06-19T00:00:00"/>
    <x v="3"/>
    <x v="670"/>
    <x v="3"/>
    <x v="0"/>
    <x v="464"/>
    <x v="3"/>
    <x v="51"/>
  </r>
  <r>
    <x v="671"/>
    <x v="669"/>
    <d v="1985-02-08T00:00:00"/>
    <d v="1988-10-24T00:00:00"/>
    <x v="6"/>
    <x v="671"/>
    <x v="9"/>
    <x v="1"/>
    <x v="9"/>
    <x v="5"/>
    <x v="37"/>
  </r>
  <r>
    <x v="672"/>
    <x v="670"/>
    <d v="1977-12-14T00:00:00"/>
    <d v="1975-02-06T00:00:00"/>
    <x v="1"/>
    <x v="672"/>
    <x v="2"/>
    <x v="0"/>
    <x v="465"/>
    <x v="6"/>
    <x v="18"/>
  </r>
  <r>
    <x v="673"/>
    <x v="671"/>
    <d v="1996-08-27T00:00:00"/>
    <d v="2012-11-07T00:00:00"/>
    <x v="2"/>
    <x v="673"/>
    <x v="6"/>
    <x v="0"/>
    <x v="466"/>
    <x v="0"/>
    <x v="16"/>
  </r>
  <r>
    <x v="674"/>
    <x v="672"/>
    <d v="1971-01-11T00:00:00"/>
    <d v="1986-09-26T00:00:00"/>
    <x v="4"/>
    <x v="674"/>
    <x v="5"/>
    <x v="0"/>
    <x v="467"/>
    <x v="1"/>
    <x v="4"/>
  </r>
  <r>
    <x v="675"/>
    <x v="673"/>
    <d v="1974-10-23T00:00:00"/>
    <d v="2017-03-22T00:00:00"/>
    <x v="3"/>
    <x v="675"/>
    <x v="1"/>
    <x v="1"/>
    <x v="468"/>
    <x v="3"/>
    <x v="47"/>
  </r>
  <r>
    <x v="676"/>
    <x v="674"/>
    <d v="1988-05-02T00:00:00"/>
    <d v="2015-12-26T00:00:00"/>
    <x v="3"/>
    <x v="676"/>
    <x v="9"/>
    <x v="0"/>
    <x v="445"/>
    <x v="3"/>
    <x v="43"/>
  </r>
  <r>
    <x v="677"/>
    <x v="675"/>
    <d v="1962-10-02T00:00:00"/>
    <d v="2007-12-01T00:00:00"/>
    <x v="1"/>
    <x v="677"/>
    <x v="7"/>
    <x v="0"/>
    <x v="63"/>
    <x v="3"/>
    <x v="35"/>
  </r>
  <r>
    <x v="678"/>
    <x v="676"/>
    <d v="1997-08-29T00:00:00"/>
    <d v="1970-05-21T00:00:00"/>
    <x v="6"/>
    <x v="678"/>
    <x v="0"/>
    <x v="1"/>
    <x v="469"/>
    <x v="3"/>
    <x v="5"/>
  </r>
  <r>
    <x v="679"/>
    <x v="677"/>
    <d v="1987-03-19T00:00:00"/>
    <d v="1985-01-27T00:00:00"/>
    <x v="0"/>
    <x v="679"/>
    <x v="8"/>
    <x v="1"/>
    <x v="150"/>
    <x v="1"/>
    <x v="12"/>
  </r>
  <r>
    <x v="680"/>
    <x v="678"/>
    <d v="1994-04-21T00:00:00"/>
    <d v="2020-11-25T00:00:00"/>
    <x v="6"/>
    <x v="680"/>
    <x v="2"/>
    <x v="1"/>
    <x v="138"/>
    <x v="5"/>
    <x v="32"/>
  </r>
  <r>
    <x v="681"/>
    <x v="679"/>
    <d v="1971-08-23T00:00:00"/>
    <d v="1990-08-29T00:00:00"/>
    <x v="1"/>
    <x v="681"/>
    <x v="2"/>
    <x v="0"/>
    <x v="470"/>
    <x v="4"/>
    <x v="50"/>
  </r>
  <r>
    <x v="682"/>
    <x v="680"/>
    <d v="1987-01-12T00:00:00"/>
    <d v="1986-07-26T00:00:00"/>
    <x v="0"/>
    <x v="682"/>
    <x v="2"/>
    <x v="0"/>
    <x v="471"/>
    <x v="4"/>
    <x v="4"/>
  </r>
  <r>
    <x v="683"/>
    <x v="681"/>
    <d v="1976-04-28T00:00:00"/>
    <d v="1975-05-10T00:00:00"/>
    <x v="6"/>
    <x v="683"/>
    <x v="7"/>
    <x v="1"/>
    <x v="472"/>
    <x v="5"/>
    <x v="18"/>
  </r>
  <r>
    <x v="684"/>
    <x v="682"/>
    <d v="2000-01-10T00:00:00"/>
    <d v="1987-06-17T00:00:00"/>
    <x v="2"/>
    <x v="684"/>
    <x v="1"/>
    <x v="0"/>
    <x v="473"/>
    <x v="6"/>
    <x v="46"/>
  </r>
  <r>
    <x v="685"/>
    <x v="683"/>
    <d v="1975-03-31T00:00:00"/>
    <d v="2020-03-16T00:00:00"/>
    <x v="2"/>
    <x v="685"/>
    <x v="5"/>
    <x v="1"/>
    <x v="162"/>
    <x v="4"/>
    <x v="32"/>
  </r>
  <r>
    <x v="686"/>
    <x v="684"/>
    <d v="1989-04-13T00:00:00"/>
    <d v="2004-05-02T00:00:00"/>
    <x v="6"/>
    <x v="686"/>
    <x v="2"/>
    <x v="0"/>
    <x v="92"/>
    <x v="3"/>
    <x v="28"/>
  </r>
  <r>
    <x v="687"/>
    <x v="685"/>
    <d v="1965-05-26T00:00:00"/>
    <d v="2010-07-26T00:00:00"/>
    <x v="4"/>
    <x v="687"/>
    <x v="7"/>
    <x v="0"/>
    <x v="474"/>
    <x v="2"/>
    <x v="2"/>
  </r>
  <r>
    <x v="688"/>
    <x v="686"/>
    <d v="2001-05-10T00:00:00"/>
    <d v="1996-03-08T00:00:00"/>
    <x v="6"/>
    <x v="688"/>
    <x v="9"/>
    <x v="0"/>
    <x v="387"/>
    <x v="1"/>
    <x v="30"/>
  </r>
  <r>
    <x v="689"/>
    <x v="687"/>
    <d v="1989-11-13T00:00:00"/>
    <d v="2008-11-21T00:00:00"/>
    <x v="3"/>
    <x v="689"/>
    <x v="5"/>
    <x v="1"/>
    <x v="363"/>
    <x v="3"/>
    <x v="17"/>
  </r>
  <r>
    <x v="690"/>
    <x v="688"/>
    <d v="1998-06-28T00:00:00"/>
    <d v="2001-10-18T00:00:00"/>
    <x v="2"/>
    <x v="690"/>
    <x v="7"/>
    <x v="0"/>
    <x v="475"/>
    <x v="4"/>
    <x v="11"/>
  </r>
  <r>
    <x v="691"/>
    <x v="689"/>
    <d v="1985-05-18T00:00:00"/>
    <d v="2008-06-24T00:00:00"/>
    <x v="1"/>
    <x v="691"/>
    <x v="9"/>
    <x v="1"/>
    <x v="476"/>
    <x v="2"/>
    <x v="17"/>
  </r>
  <r>
    <x v="692"/>
    <x v="690"/>
    <d v="1969-10-28T00:00:00"/>
    <d v="1986-08-24T00:00:00"/>
    <x v="5"/>
    <x v="692"/>
    <x v="4"/>
    <x v="1"/>
    <x v="477"/>
    <x v="4"/>
    <x v="4"/>
  </r>
  <r>
    <x v="693"/>
    <x v="691"/>
    <d v="1969-10-04T00:00:00"/>
    <d v="2020-08-14T00:00:00"/>
    <x v="2"/>
    <x v="693"/>
    <x v="8"/>
    <x v="0"/>
    <x v="478"/>
    <x v="1"/>
    <x v="32"/>
  </r>
  <r>
    <x v="694"/>
    <x v="692"/>
    <d v="1992-09-27T00:00:00"/>
    <d v="1972-07-19T00:00:00"/>
    <x v="5"/>
    <x v="694"/>
    <x v="9"/>
    <x v="0"/>
    <x v="479"/>
    <x v="0"/>
    <x v="13"/>
  </r>
  <r>
    <x v="695"/>
    <x v="693"/>
    <d v="1968-10-04T00:00:00"/>
    <d v="1997-07-18T00:00:00"/>
    <x v="0"/>
    <x v="695"/>
    <x v="4"/>
    <x v="0"/>
    <x v="37"/>
    <x v="1"/>
    <x v="23"/>
  </r>
  <r>
    <x v="696"/>
    <x v="694"/>
    <d v="1982-08-25T00:00:00"/>
    <d v="1992-06-16T00:00:00"/>
    <x v="6"/>
    <x v="696"/>
    <x v="0"/>
    <x v="0"/>
    <x v="256"/>
    <x v="5"/>
    <x v="24"/>
  </r>
  <r>
    <x v="697"/>
    <x v="695"/>
    <d v="1973-12-12T00:00:00"/>
    <d v="1993-09-29T00:00:00"/>
    <x v="1"/>
    <x v="697"/>
    <x v="7"/>
    <x v="1"/>
    <x v="480"/>
    <x v="0"/>
    <x v="42"/>
  </r>
  <r>
    <x v="698"/>
    <x v="696"/>
    <d v="1973-01-04T00:00:00"/>
    <d v="1998-01-15T00:00:00"/>
    <x v="6"/>
    <x v="698"/>
    <x v="6"/>
    <x v="1"/>
    <x v="256"/>
    <x v="3"/>
    <x v="7"/>
  </r>
  <r>
    <x v="699"/>
    <x v="697"/>
    <d v="1960-06-12T00:00:00"/>
    <d v="1989-04-04T00:00:00"/>
    <x v="5"/>
    <x v="699"/>
    <x v="1"/>
    <x v="0"/>
    <x v="385"/>
    <x v="0"/>
    <x v="21"/>
  </r>
  <r>
    <x v="700"/>
    <x v="698"/>
    <d v="1966-01-07T00:00:00"/>
    <d v="2017-08-05T00:00:00"/>
    <x v="2"/>
    <x v="700"/>
    <x v="1"/>
    <x v="1"/>
    <x v="261"/>
    <x v="4"/>
    <x v="47"/>
  </r>
  <r>
    <x v="701"/>
    <x v="699"/>
    <d v="1972-11-25T00:00:00"/>
    <d v="1985-12-25T00:00:00"/>
    <x v="2"/>
    <x v="701"/>
    <x v="2"/>
    <x v="1"/>
    <x v="481"/>
    <x v="4"/>
    <x v="12"/>
  </r>
  <r>
    <x v="702"/>
    <x v="700"/>
    <d v="1962-03-30T00:00:00"/>
    <d v="1972-08-03T00:00:00"/>
    <x v="3"/>
    <x v="702"/>
    <x v="3"/>
    <x v="1"/>
    <x v="41"/>
    <x v="0"/>
    <x v="13"/>
  </r>
  <r>
    <x v="703"/>
    <x v="701"/>
    <d v="1963-01-01T00:00:00"/>
    <d v="1972-03-08T00:00:00"/>
    <x v="0"/>
    <x v="703"/>
    <x v="7"/>
    <x v="0"/>
    <x v="168"/>
    <x v="2"/>
    <x v="13"/>
  </r>
  <r>
    <x v="704"/>
    <x v="702"/>
    <d v="1969-04-16T00:00:00"/>
    <d v="2021-08-14T00:00:00"/>
    <x v="2"/>
    <x v="704"/>
    <x v="4"/>
    <x v="1"/>
    <x v="482"/>
    <x v="2"/>
    <x v="52"/>
  </r>
  <r>
    <x v="705"/>
    <x v="703"/>
    <d v="1964-12-30T00:00:00"/>
    <d v="2009-07-09T00:00:00"/>
    <x v="6"/>
    <x v="705"/>
    <x v="1"/>
    <x v="1"/>
    <x v="483"/>
    <x v="3"/>
    <x v="25"/>
  </r>
  <r>
    <x v="706"/>
    <x v="704"/>
    <d v="1959-09-03T00:00:00"/>
    <d v="1977-09-25T00:00:00"/>
    <x v="5"/>
    <x v="706"/>
    <x v="7"/>
    <x v="1"/>
    <x v="251"/>
    <x v="0"/>
    <x v="31"/>
  </r>
  <r>
    <x v="707"/>
    <x v="705"/>
    <d v="1967-06-22T00:00:00"/>
    <d v="2001-01-11T00:00:00"/>
    <x v="3"/>
    <x v="707"/>
    <x v="3"/>
    <x v="0"/>
    <x v="134"/>
    <x v="5"/>
    <x v="11"/>
  </r>
  <r>
    <x v="708"/>
    <x v="706"/>
    <d v="1998-09-07T00:00:00"/>
    <d v="2019-10-31T00:00:00"/>
    <x v="0"/>
    <x v="708"/>
    <x v="6"/>
    <x v="1"/>
    <x v="274"/>
    <x v="4"/>
    <x v="8"/>
  </r>
  <r>
    <x v="709"/>
    <x v="707"/>
    <d v="1994-07-18T00:00:00"/>
    <d v="2008-10-23T00:00:00"/>
    <x v="6"/>
    <x v="709"/>
    <x v="5"/>
    <x v="0"/>
    <x v="484"/>
    <x v="2"/>
    <x v="17"/>
  </r>
  <r>
    <x v="710"/>
    <x v="708"/>
    <d v="1992-07-04T00:00:00"/>
    <d v="1996-06-28T00:00:00"/>
    <x v="5"/>
    <x v="710"/>
    <x v="9"/>
    <x v="1"/>
    <x v="199"/>
    <x v="1"/>
    <x v="30"/>
  </r>
  <r>
    <x v="711"/>
    <x v="709"/>
    <d v="1980-03-08T00:00:00"/>
    <d v="1975-07-21T00:00:00"/>
    <x v="1"/>
    <x v="711"/>
    <x v="3"/>
    <x v="0"/>
    <x v="26"/>
    <x v="0"/>
    <x v="18"/>
  </r>
  <r>
    <x v="712"/>
    <x v="710"/>
    <d v="1962-10-20T00:00:00"/>
    <d v="1990-02-18T00:00:00"/>
    <x v="6"/>
    <x v="712"/>
    <x v="4"/>
    <x v="0"/>
    <x v="485"/>
    <x v="4"/>
    <x v="50"/>
  </r>
  <r>
    <x v="713"/>
    <x v="711"/>
    <d v="1999-01-03T00:00:00"/>
    <d v="1985-05-03T00:00:00"/>
    <x v="1"/>
    <x v="713"/>
    <x v="9"/>
    <x v="0"/>
    <x v="486"/>
    <x v="6"/>
    <x v="12"/>
  </r>
  <r>
    <x v="714"/>
    <x v="262"/>
    <d v="1998-10-07T00:00:00"/>
    <d v="1988-08-12T00:00:00"/>
    <x v="2"/>
    <x v="714"/>
    <x v="6"/>
    <x v="1"/>
    <x v="53"/>
    <x v="6"/>
    <x v="37"/>
  </r>
  <r>
    <x v="715"/>
    <x v="712"/>
    <d v="1985-10-25T00:00:00"/>
    <d v="2015-05-18T00:00:00"/>
    <x v="3"/>
    <x v="715"/>
    <x v="1"/>
    <x v="0"/>
    <x v="423"/>
    <x v="4"/>
    <x v="43"/>
  </r>
  <r>
    <x v="716"/>
    <x v="713"/>
    <d v="1973-11-06T00:00:00"/>
    <d v="1990-02-18T00:00:00"/>
    <x v="6"/>
    <x v="716"/>
    <x v="8"/>
    <x v="0"/>
    <x v="379"/>
    <x v="0"/>
    <x v="50"/>
  </r>
  <r>
    <x v="717"/>
    <x v="714"/>
    <d v="1964-07-06T00:00:00"/>
    <d v="1978-10-16T00:00:00"/>
    <x v="5"/>
    <x v="717"/>
    <x v="8"/>
    <x v="0"/>
    <x v="487"/>
    <x v="6"/>
    <x v="14"/>
  </r>
  <r>
    <x v="718"/>
    <x v="715"/>
    <d v="1971-09-11T00:00:00"/>
    <d v="1989-11-26T00:00:00"/>
    <x v="4"/>
    <x v="718"/>
    <x v="9"/>
    <x v="1"/>
    <x v="330"/>
    <x v="0"/>
    <x v="21"/>
  </r>
  <r>
    <x v="719"/>
    <x v="716"/>
    <d v="1999-09-09T00:00:00"/>
    <d v="2009-06-09T00:00:00"/>
    <x v="4"/>
    <x v="719"/>
    <x v="6"/>
    <x v="1"/>
    <x v="49"/>
    <x v="3"/>
    <x v="25"/>
  </r>
  <r>
    <x v="720"/>
    <x v="717"/>
    <d v="2001-06-20T00:00:00"/>
    <d v="2005-01-19T00:00:00"/>
    <x v="1"/>
    <x v="720"/>
    <x v="2"/>
    <x v="1"/>
    <x v="369"/>
    <x v="0"/>
    <x v="9"/>
  </r>
  <r>
    <x v="721"/>
    <x v="718"/>
    <d v="1965-10-11T00:00:00"/>
    <d v="1976-04-26T00:00:00"/>
    <x v="1"/>
    <x v="721"/>
    <x v="8"/>
    <x v="0"/>
    <x v="488"/>
    <x v="0"/>
    <x v="26"/>
  </r>
  <r>
    <x v="722"/>
    <x v="719"/>
    <d v="1988-05-14T00:00:00"/>
    <d v="1998-02-21T00:00:00"/>
    <x v="2"/>
    <x v="722"/>
    <x v="1"/>
    <x v="1"/>
    <x v="397"/>
    <x v="6"/>
    <x v="7"/>
  </r>
  <r>
    <x v="723"/>
    <x v="720"/>
    <d v="1969-02-22T00:00:00"/>
    <d v="1970-05-15T00:00:00"/>
    <x v="4"/>
    <x v="723"/>
    <x v="8"/>
    <x v="1"/>
    <x v="489"/>
    <x v="2"/>
    <x v="5"/>
  </r>
  <r>
    <x v="724"/>
    <x v="721"/>
    <d v="2002-07-17T00:00:00"/>
    <d v="2022-02-05T00:00:00"/>
    <x v="4"/>
    <x v="724"/>
    <x v="1"/>
    <x v="1"/>
    <x v="65"/>
    <x v="1"/>
    <x v="39"/>
  </r>
  <r>
    <x v="725"/>
    <x v="722"/>
    <d v="2001-11-23T00:00:00"/>
    <d v="1978-05-27T00:00:00"/>
    <x v="2"/>
    <x v="725"/>
    <x v="7"/>
    <x v="0"/>
    <x v="486"/>
    <x v="4"/>
    <x v="14"/>
  </r>
  <r>
    <x v="726"/>
    <x v="723"/>
    <d v="1995-08-13T00:00:00"/>
    <d v="1982-09-12T00:00:00"/>
    <x v="1"/>
    <x v="726"/>
    <x v="9"/>
    <x v="0"/>
    <x v="490"/>
    <x v="5"/>
    <x v="51"/>
  </r>
  <r>
    <x v="727"/>
    <x v="724"/>
    <d v="1993-11-06T00:00:00"/>
    <d v="2014-08-28T00:00:00"/>
    <x v="6"/>
    <x v="727"/>
    <x v="0"/>
    <x v="0"/>
    <x v="25"/>
    <x v="0"/>
    <x v="0"/>
  </r>
  <r>
    <x v="728"/>
    <x v="725"/>
    <d v="1976-01-18T00:00:00"/>
    <d v="1999-04-17T00:00:00"/>
    <x v="1"/>
    <x v="728"/>
    <x v="0"/>
    <x v="1"/>
    <x v="273"/>
    <x v="4"/>
    <x v="6"/>
  </r>
  <r>
    <x v="729"/>
    <x v="726"/>
    <d v="1968-04-05T00:00:00"/>
    <d v="2010-09-13T00:00:00"/>
    <x v="0"/>
    <x v="729"/>
    <x v="6"/>
    <x v="0"/>
    <x v="491"/>
    <x v="5"/>
    <x v="2"/>
  </r>
  <r>
    <x v="730"/>
    <x v="727"/>
    <d v="1972-04-12T00:00:00"/>
    <d v="2010-12-26T00:00:00"/>
    <x v="0"/>
    <x v="730"/>
    <x v="0"/>
    <x v="0"/>
    <x v="492"/>
    <x v="1"/>
    <x v="2"/>
  </r>
  <r>
    <x v="731"/>
    <x v="728"/>
    <d v="1984-12-29T00:00:00"/>
    <d v="1985-03-26T00:00:00"/>
    <x v="5"/>
    <x v="731"/>
    <x v="2"/>
    <x v="1"/>
    <x v="46"/>
    <x v="2"/>
    <x v="12"/>
  </r>
  <r>
    <x v="732"/>
    <x v="729"/>
    <d v="1988-12-11T00:00:00"/>
    <d v="1991-09-25T00:00:00"/>
    <x v="5"/>
    <x v="732"/>
    <x v="6"/>
    <x v="0"/>
    <x v="315"/>
    <x v="4"/>
    <x v="34"/>
  </r>
  <r>
    <x v="733"/>
    <x v="396"/>
    <d v="1971-04-10T00:00:00"/>
    <d v="1971-12-25T00:00:00"/>
    <x v="4"/>
    <x v="733"/>
    <x v="0"/>
    <x v="0"/>
    <x v="493"/>
    <x v="0"/>
    <x v="44"/>
  </r>
  <r>
    <x v="734"/>
    <x v="730"/>
    <d v="1962-09-04T00:00:00"/>
    <d v="1987-01-11T00:00:00"/>
    <x v="6"/>
    <x v="734"/>
    <x v="2"/>
    <x v="1"/>
    <x v="494"/>
    <x v="0"/>
    <x v="46"/>
  </r>
  <r>
    <x v="735"/>
    <x v="731"/>
    <d v="1963-02-02T00:00:00"/>
    <d v="1997-03-04T00:00:00"/>
    <x v="3"/>
    <x v="735"/>
    <x v="4"/>
    <x v="1"/>
    <x v="178"/>
    <x v="1"/>
    <x v="23"/>
  </r>
  <r>
    <x v="736"/>
    <x v="732"/>
    <d v="1981-01-04T00:00:00"/>
    <d v="2014-08-29T00:00:00"/>
    <x v="0"/>
    <x v="736"/>
    <x v="8"/>
    <x v="0"/>
    <x v="220"/>
    <x v="1"/>
    <x v="0"/>
  </r>
  <r>
    <x v="737"/>
    <x v="733"/>
    <d v="1997-12-23T00:00:00"/>
    <d v="1990-01-09T00:00:00"/>
    <x v="5"/>
    <x v="737"/>
    <x v="0"/>
    <x v="0"/>
    <x v="486"/>
    <x v="6"/>
    <x v="50"/>
  </r>
  <r>
    <x v="738"/>
    <x v="734"/>
    <d v="1996-09-19T00:00:00"/>
    <d v="1975-08-16T00:00:00"/>
    <x v="2"/>
    <x v="738"/>
    <x v="1"/>
    <x v="1"/>
    <x v="495"/>
    <x v="0"/>
    <x v="18"/>
  </r>
  <r>
    <x v="739"/>
    <x v="735"/>
    <d v="1967-09-18T00:00:00"/>
    <d v="1985-12-06T00:00:00"/>
    <x v="4"/>
    <x v="739"/>
    <x v="6"/>
    <x v="0"/>
    <x v="410"/>
    <x v="6"/>
    <x v="12"/>
  </r>
  <r>
    <x v="740"/>
    <x v="736"/>
    <d v="1984-12-11T00:00:00"/>
    <d v="2018-12-11T00:00:00"/>
    <x v="2"/>
    <x v="740"/>
    <x v="9"/>
    <x v="1"/>
    <x v="418"/>
    <x v="4"/>
    <x v="1"/>
  </r>
  <r>
    <x v="741"/>
    <x v="737"/>
    <d v="1995-11-07T00:00:00"/>
    <d v="1982-09-18T00:00:00"/>
    <x v="1"/>
    <x v="741"/>
    <x v="6"/>
    <x v="0"/>
    <x v="496"/>
    <x v="6"/>
    <x v="51"/>
  </r>
  <r>
    <x v="742"/>
    <x v="738"/>
    <d v="1991-03-08T00:00:00"/>
    <d v="1974-07-23T00:00:00"/>
    <x v="1"/>
    <x v="742"/>
    <x v="7"/>
    <x v="0"/>
    <x v="497"/>
    <x v="5"/>
    <x v="49"/>
  </r>
  <r>
    <x v="743"/>
    <x v="739"/>
    <d v="1982-08-29T00:00:00"/>
    <d v="1979-01-05T00:00:00"/>
    <x v="2"/>
    <x v="743"/>
    <x v="1"/>
    <x v="1"/>
    <x v="498"/>
    <x v="2"/>
    <x v="36"/>
  </r>
  <r>
    <x v="744"/>
    <x v="740"/>
    <d v="1984-01-28T00:00:00"/>
    <d v="2013-02-03T00:00:00"/>
    <x v="1"/>
    <x v="744"/>
    <x v="5"/>
    <x v="1"/>
    <x v="499"/>
    <x v="5"/>
    <x v="40"/>
  </r>
  <r>
    <x v="745"/>
    <x v="741"/>
    <d v="1959-07-31T00:00:00"/>
    <d v="2018-03-09T00:00:00"/>
    <x v="3"/>
    <x v="273"/>
    <x v="1"/>
    <x v="0"/>
    <x v="500"/>
    <x v="1"/>
    <x v="1"/>
  </r>
  <r>
    <x v="746"/>
    <x v="742"/>
    <d v="1988-08-17T00:00:00"/>
    <d v="1986-09-12T00:00:00"/>
    <x v="0"/>
    <x v="745"/>
    <x v="6"/>
    <x v="0"/>
    <x v="206"/>
    <x v="3"/>
    <x v="4"/>
  </r>
  <r>
    <x v="747"/>
    <x v="743"/>
    <d v="1998-04-22T00:00:00"/>
    <d v="1993-05-24T00:00:00"/>
    <x v="1"/>
    <x v="746"/>
    <x v="3"/>
    <x v="0"/>
    <x v="501"/>
    <x v="5"/>
    <x v="42"/>
  </r>
  <r>
    <x v="748"/>
    <x v="744"/>
    <d v="1964-12-10T00:00:00"/>
    <d v="2004-11-03T00:00:00"/>
    <x v="5"/>
    <x v="747"/>
    <x v="8"/>
    <x v="1"/>
    <x v="1"/>
    <x v="1"/>
    <x v="28"/>
  </r>
  <r>
    <x v="749"/>
    <x v="745"/>
    <d v="1982-03-31T00:00:00"/>
    <d v="1979-02-03T00:00:00"/>
    <x v="2"/>
    <x v="748"/>
    <x v="7"/>
    <x v="1"/>
    <x v="345"/>
    <x v="2"/>
    <x v="36"/>
  </r>
  <r>
    <x v="750"/>
    <x v="746"/>
    <d v="1976-04-23T00:00:00"/>
    <d v="1999-07-02T00:00:00"/>
    <x v="3"/>
    <x v="749"/>
    <x v="5"/>
    <x v="1"/>
    <x v="502"/>
    <x v="5"/>
    <x v="6"/>
  </r>
  <r>
    <x v="751"/>
    <x v="747"/>
    <d v="1974-02-20T00:00:00"/>
    <d v="2022-12-29T00:00:00"/>
    <x v="1"/>
    <x v="750"/>
    <x v="3"/>
    <x v="1"/>
    <x v="407"/>
    <x v="4"/>
    <x v="39"/>
  </r>
  <r>
    <x v="752"/>
    <x v="748"/>
    <d v="1963-05-06T00:00:00"/>
    <d v="2004-07-01T00:00:00"/>
    <x v="6"/>
    <x v="751"/>
    <x v="2"/>
    <x v="1"/>
    <x v="305"/>
    <x v="4"/>
    <x v="28"/>
  </r>
  <r>
    <x v="753"/>
    <x v="749"/>
    <d v="1966-07-21T00:00:00"/>
    <d v="2018-01-19T00:00:00"/>
    <x v="6"/>
    <x v="752"/>
    <x v="4"/>
    <x v="1"/>
    <x v="472"/>
    <x v="5"/>
    <x v="1"/>
  </r>
  <r>
    <x v="754"/>
    <x v="750"/>
    <d v="1994-11-05T00:00:00"/>
    <d v="2012-04-04T00:00:00"/>
    <x v="3"/>
    <x v="753"/>
    <x v="3"/>
    <x v="1"/>
    <x v="503"/>
    <x v="1"/>
    <x v="16"/>
  </r>
  <r>
    <x v="755"/>
    <x v="751"/>
    <d v="1987-01-09T00:00:00"/>
    <d v="1993-05-19T00:00:00"/>
    <x v="0"/>
    <x v="754"/>
    <x v="7"/>
    <x v="1"/>
    <x v="504"/>
    <x v="6"/>
    <x v="42"/>
  </r>
  <r>
    <x v="756"/>
    <x v="752"/>
    <d v="1996-09-28T00:00:00"/>
    <d v="2010-08-30T00:00:00"/>
    <x v="6"/>
    <x v="755"/>
    <x v="4"/>
    <x v="0"/>
    <x v="482"/>
    <x v="1"/>
    <x v="2"/>
  </r>
  <r>
    <x v="757"/>
    <x v="753"/>
    <d v="1976-12-31T00:00:00"/>
    <d v="2018-12-07T00:00:00"/>
    <x v="3"/>
    <x v="756"/>
    <x v="5"/>
    <x v="1"/>
    <x v="477"/>
    <x v="2"/>
    <x v="1"/>
  </r>
  <r>
    <x v="758"/>
    <x v="754"/>
    <d v="1975-07-01T00:00:00"/>
    <d v="2012-03-28T00:00:00"/>
    <x v="0"/>
    <x v="757"/>
    <x v="6"/>
    <x v="0"/>
    <x v="505"/>
    <x v="0"/>
    <x v="16"/>
  </r>
  <r>
    <x v="759"/>
    <x v="755"/>
    <d v="1971-10-17T00:00:00"/>
    <d v="1990-06-17T00:00:00"/>
    <x v="5"/>
    <x v="758"/>
    <x v="3"/>
    <x v="0"/>
    <x v="464"/>
    <x v="2"/>
    <x v="50"/>
  </r>
  <r>
    <x v="760"/>
    <x v="756"/>
    <d v="1971-02-23T00:00:00"/>
    <d v="1974-08-16T00:00:00"/>
    <x v="5"/>
    <x v="759"/>
    <x v="9"/>
    <x v="0"/>
    <x v="196"/>
    <x v="0"/>
    <x v="49"/>
  </r>
  <r>
    <x v="761"/>
    <x v="757"/>
    <d v="1966-08-02T00:00:00"/>
    <d v="1996-05-23T00:00:00"/>
    <x v="2"/>
    <x v="760"/>
    <x v="4"/>
    <x v="0"/>
    <x v="506"/>
    <x v="4"/>
    <x v="30"/>
  </r>
  <r>
    <x v="762"/>
    <x v="758"/>
    <d v="1993-01-13T00:00:00"/>
    <d v="1983-06-29T00:00:00"/>
    <x v="2"/>
    <x v="761"/>
    <x v="0"/>
    <x v="0"/>
    <x v="204"/>
    <x v="2"/>
    <x v="20"/>
  </r>
  <r>
    <x v="763"/>
    <x v="759"/>
    <d v="1961-09-12T00:00:00"/>
    <d v="2019-01-01T00:00:00"/>
    <x v="1"/>
    <x v="762"/>
    <x v="0"/>
    <x v="0"/>
    <x v="175"/>
    <x v="0"/>
    <x v="8"/>
  </r>
  <r>
    <x v="764"/>
    <x v="760"/>
    <d v="1969-02-19T00:00:00"/>
    <d v="2018-02-28T00:00:00"/>
    <x v="1"/>
    <x v="763"/>
    <x v="5"/>
    <x v="0"/>
    <x v="482"/>
    <x v="1"/>
    <x v="1"/>
  </r>
  <r>
    <x v="765"/>
    <x v="761"/>
    <d v="1986-02-25T00:00:00"/>
    <d v="2006-09-23T00:00:00"/>
    <x v="0"/>
    <x v="764"/>
    <x v="8"/>
    <x v="1"/>
    <x v="507"/>
    <x v="5"/>
    <x v="19"/>
  </r>
  <r>
    <x v="766"/>
    <x v="762"/>
    <d v="1989-11-27T00:00:00"/>
    <d v="1971-12-06T00:00:00"/>
    <x v="1"/>
    <x v="765"/>
    <x v="5"/>
    <x v="1"/>
    <x v="226"/>
    <x v="1"/>
    <x v="44"/>
  </r>
  <r>
    <x v="767"/>
    <x v="763"/>
    <d v="1964-10-19T00:00:00"/>
    <d v="2014-01-16T00:00:00"/>
    <x v="6"/>
    <x v="766"/>
    <x v="5"/>
    <x v="1"/>
    <x v="508"/>
    <x v="5"/>
    <x v="0"/>
  </r>
  <r>
    <x v="768"/>
    <x v="764"/>
    <d v="1977-02-06T00:00:00"/>
    <d v="2007-02-18T00:00:00"/>
    <x v="6"/>
    <x v="767"/>
    <x v="6"/>
    <x v="0"/>
    <x v="509"/>
    <x v="2"/>
    <x v="35"/>
  </r>
  <r>
    <x v="769"/>
    <x v="765"/>
    <d v="1975-03-01T00:00:00"/>
    <d v="2000-06-12T00:00:00"/>
    <x v="6"/>
    <x v="768"/>
    <x v="2"/>
    <x v="0"/>
    <x v="12"/>
    <x v="5"/>
    <x v="3"/>
  </r>
  <r>
    <x v="770"/>
    <x v="766"/>
    <d v="1976-04-22T00:00:00"/>
    <d v="2003-05-15T00:00:00"/>
    <x v="4"/>
    <x v="769"/>
    <x v="4"/>
    <x v="0"/>
    <x v="510"/>
    <x v="5"/>
    <x v="10"/>
  </r>
  <r>
    <x v="771"/>
    <x v="767"/>
    <d v="1984-07-03T00:00:00"/>
    <d v="2020-10-08T00:00:00"/>
    <x v="5"/>
    <x v="770"/>
    <x v="7"/>
    <x v="1"/>
    <x v="247"/>
    <x v="1"/>
    <x v="32"/>
  </r>
  <r>
    <x v="772"/>
    <x v="768"/>
    <d v="1987-02-28T00:00:00"/>
    <d v="1982-04-14T00:00:00"/>
    <x v="5"/>
    <x v="771"/>
    <x v="4"/>
    <x v="0"/>
    <x v="511"/>
    <x v="6"/>
    <x v="51"/>
  </r>
  <r>
    <x v="773"/>
    <x v="769"/>
    <d v="1978-02-27T00:00:00"/>
    <d v="2017-03-11T00:00:00"/>
    <x v="5"/>
    <x v="772"/>
    <x v="3"/>
    <x v="0"/>
    <x v="124"/>
    <x v="4"/>
    <x v="47"/>
  </r>
  <r>
    <x v="774"/>
    <x v="770"/>
    <d v="1994-09-05T00:00:00"/>
    <d v="2015-08-03T00:00:00"/>
    <x v="1"/>
    <x v="773"/>
    <x v="8"/>
    <x v="0"/>
    <x v="512"/>
    <x v="6"/>
    <x v="43"/>
  </r>
  <r>
    <x v="775"/>
    <x v="771"/>
    <d v="1988-06-22T00:00:00"/>
    <d v="1987-07-23T00:00:00"/>
    <x v="6"/>
    <x v="774"/>
    <x v="4"/>
    <x v="1"/>
    <x v="513"/>
    <x v="2"/>
    <x v="46"/>
  </r>
  <r>
    <x v="776"/>
    <x v="772"/>
    <d v="1992-03-21T00:00:00"/>
    <d v="2012-07-17T00:00:00"/>
    <x v="2"/>
    <x v="775"/>
    <x v="0"/>
    <x v="1"/>
    <x v="514"/>
    <x v="2"/>
    <x v="16"/>
  </r>
  <r>
    <x v="777"/>
    <x v="773"/>
    <d v="1988-06-13T00:00:00"/>
    <d v="1976-12-03T00:00:00"/>
    <x v="0"/>
    <x v="776"/>
    <x v="4"/>
    <x v="1"/>
    <x v="515"/>
    <x v="5"/>
    <x v="26"/>
  </r>
  <r>
    <x v="778"/>
    <x v="774"/>
    <d v="1976-05-20T00:00:00"/>
    <d v="1992-03-04T00:00:00"/>
    <x v="0"/>
    <x v="777"/>
    <x v="3"/>
    <x v="1"/>
    <x v="516"/>
    <x v="4"/>
    <x v="24"/>
  </r>
  <r>
    <x v="779"/>
    <x v="775"/>
    <d v="1961-12-28T00:00:00"/>
    <d v="1988-03-28T00:00:00"/>
    <x v="1"/>
    <x v="778"/>
    <x v="1"/>
    <x v="1"/>
    <x v="517"/>
    <x v="5"/>
    <x v="37"/>
  </r>
  <r>
    <x v="780"/>
    <x v="776"/>
    <d v="1980-01-15T00:00:00"/>
    <d v="2003-08-13T00:00:00"/>
    <x v="2"/>
    <x v="779"/>
    <x v="2"/>
    <x v="0"/>
    <x v="518"/>
    <x v="1"/>
    <x v="10"/>
  </r>
  <r>
    <x v="781"/>
    <x v="777"/>
    <d v="1968-07-11T00:00:00"/>
    <d v="2004-05-08T00:00:00"/>
    <x v="5"/>
    <x v="780"/>
    <x v="6"/>
    <x v="1"/>
    <x v="519"/>
    <x v="2"/>
    <x v="28"/>
  </r>
  <r>
    <x v="782"/>
    <x v="778"/>
    <d v="1964-11-29T00:00:00"/>
    <d v="1984-05-27T00:00:00"/>
    <x v="5"/>
    <x v="781"/>
    <x v="7"/>
    <x v="1"/>
    <x v="377"/>
    <x v="6"/>
    <x v="38"/>
  </r>
  <r>
    <x v="783"/>
    <x v="779"/>
    <d v="2000-08-09T00:00:00"/>
    <d v="1993-07-04T00:00:00"/>
    <x v="4"/>
    <x v="782"/>
    <x v="0"/>
    <x v="1"/>
    <x v="520"/>
    <x v="6"/>
    <x v="42"/>
  </r>
  <r>
    <x v="784"/>
    <x v="780"/>
    <d v="2000-07-14T00:00:00"/>
    <d v="1972-03-08T00:00:00"/>
    <x v="2"/>
    <x v="783"/>
    <x v="6"/>
    <x v="0"/>
    <x v="475"/>
    <x v="4"/>
    <x v="13"/>
  </r>
  <r>
    <x v="785"/>
    <x v="781"/>
    <d v="1973-05-26T00:00:00"/>
    <d v="2005-02-16T00:00:00"/>
    <x v="2"/>
    <x v="784"/>
    <x v="6"/>
    <x v="0"/>
    <x v="521"/>
    <x v="6"/>
    <x v="9"/>
  </r>
  <r>
    <x v="786"/>
    <x v="782"/>
    <d v="1967-11-27T00:00:00"/>
    <d v="2012-03-04T00:00:00"/>
    <x v="0"/>
    <x v="785"/>
    <x v="1"/>
    <x v="1"/>
    <x v="472"/>
    <x v="3"/>
    <x v="16"/>
  </r>
  <r>
    <x v="787"/>
    <x v="783"/>
    <d v="1966-05-07T00:00:00"/>
    <d v="1978-12-04T00:00:00"/>
    <x v="2"/>
    <x v="786"/>
    <x v="4"/>
    <x v="0"/>
    <x v="522"/>
    <x v="3"/>
    <x v="14"/>
  </r>
  <r>
    <x v="788"/>
    <x v="784"/>
    <d v="1985-02-09T00:00:00"/>
    <d v="1981-06-16T00:00:00"/>
    <x v="0"/>
    <x v="787"/>
    <x v="3"/>
    <x v="1"/>
    <x v="523"/>
    <x v="2"/>
    <x v="15"/>
  </r>
  <r>
    <x v="789"/>
    <x v="785"/>
    <d v="1968-04-25T00:00:00"/>
    <d v="2007-12-11T00:00:00"/>
    <x v="6"/>
    <x v="788"/>
    <x v="6"/>
    <x v="0"/>
    <x v="524"/>
    <x v="3"/>
    <x v="35"/>
  </r>
  <r>
    <x v="790"/>
    <x v="786"/>
    <d v="1992-08-23T00:00:00"/>
    <d v="1979-07-18T00:00:00"/>
    <x v="3"/>
    <x v="789"/>
    <x v="9"/>
    <x v="0"/>
    <x v="65"/>
    <x v="2"/>
    <x v="36"/>
  </r>
  <r>
    <x v="791"/>
    <x v="787"/>
    <d v="1959-03-17T00:00:00"/>
    <d v="1990-01-27T00:00:00"/>
    <x v="4"/>
    <x v="790"/>
    <x v="7"/>
    <x v="1"/>
    <x v="5"/>
    <x v="5"/>
    <x v="50"/>
  </r>
  <r>
    <x v="792"/>
    <x v="788"/>
    <d v="1970-04-13T00:00:00"/>
    <d v="2002-06-08T00:00:00"/>
    <x v="3"/>
    <x v="791"/>
    <x v="3"/>
    <x v="1"/>
    <x v="525"/>
    <x v="6"/>
    <x v="27"/>
  </r>
  <r>
    <x v="793"/>
    <x v="789"/>
    <d v="1990-02-02T00:00:00"/>
    <d v="2009-01-24T00:00:00"/>
    <x v="3"/>
    <x v="792"/>
    <x v="1"/>
    <x v="1"/>
    <x v="526"/>
    <x v="0"/>
    <x v="25"/>
  </r>
  <r>
    <x v="794"/>
    <x v="790"/>
    <d v="1988-10-14T00:00:00"/>
    <d v="1983-02-19T00:00:00"/>
    <x v="2"/>
    <x v="793"/>
    <x v="3"/>
    <x v="1"/>
    <x v="393"/>
    <x v="2"/>
    <x v="20"/>
  </r>
  <r>
    <x v="795"/>
    <x v="791"/>
    <d v="1999-06-28T00:00:00"/>
    <d v="1985-02-20T00:00:00"/>
    <x v="4"/>
    <x v="794"/>
    <x v="2"/>
    <x v="1"/>
    <x v="527"/>
    <x v="2"/>
    <x v="12"/>
  </r>
  <r>
    <x v="796"/>
    <x v="792"/>
    <d v="1973-02-23T00:00:00"/>
    <d v="1976-12-20T00:00:00"/>
    <x v="2"/>
    <x v="795"/>
    <x v="4"/>
    <x v="0"/>
    <x v="152"/>
    <x v="6"/>
    <x v="26"/>
  </r>
  <r>
    <x v="797"/>
    <x v="793"/>
    <d v="1959-03-25T00:00:00"/>
    <d v="1980-12-10T00:00:00"/>
    <x v="3"/>
    <x v="796"/>
    <x v="9"/>
    <x v="1"/>
    <x v="195"/>
    <x v="1"/>
    <x v="33"/>
  </r>
  <r>
    <x v="798"/>
    <x v="794"/>
    <d v="1960-11-25T00:00:00"/>
    <d v="1973-03-04T00:00:00"/>
    <x v="5"/>
    <x v="797"/>
    <x v="9"/>
    <x v="1"/>
    <x v="528"/>
    <x v="2"/>
    <x v="29"/>
  </r>
  <r>
    <x v="799"/>
    <x v="795"/>
    <d v="1985-03-14T00:00:00"/>
    <d v="1972-12-25T00:00:00"/>
    <x v="5"/>
    <x v="798"/>
    <x v="9"/>
    <x v="1"/>
    <x v="529"/>
    <x v="4"/>
    <x v="13"/>
  </r>
  <r>
    <x v="800"/>
    <x v="796"/>
    <d v="1973-10-19T00:00:00"/>
    <d v="2022-08-08T00:00:00"/>
    <x v="3"/>
    <x v="799"/>
    <x v="6"/>
    <x v="0"/>
    <x v="530"/>
    <x v="0"/>
    <x v="39"/>
  </r>
  <r>
    <x v="801"/>
    <x v="797"/>
    <d v="1961-02-20T00:00:00"/>
    <d v="2014-03-08T00:00:00"/>
    <x v="0"/>
    <x v="800"/>
    <x v="8"/>
    <x v="0"/>
    <x v="348"/>
    <x v="2"/>
    <x v="0"/>
  </r>
  <r>
    <x v="802"/>
    <x v="798"/>
    <d v="1986-05-24T00:00:00"/>
    <d v="1974-06-11T00:00:00"/>
    <x v="2"/>
    <x v="801"/>
    <x v="4"/>
    <x v="1"/>
    <x v="29"/>
    <x v="1"/>
    <x v="49"/>
  </r>
  <r>
    <x v="803"/>
    <x v="799"/>
    <d v="1970-07-10T00:00:00"/>
    <d v="1986-03-30T00:00:00"/>
    <x v="5"/>
    <x v="802"/>
    <x v="3"/>
    <x v="1"/>
    <x v="531"/>
    <x v="5"/>
    <x v="4"/>
  </r>
  <r>
    <x v="804"/>
    <x v="800"/>
    <d v="1996-11-07T00:00:00"/>
    <d v="1972-09-14T00:00:00"/>
    <x v="4"/>
    <x v="803"/>
    <x v="7"/>
    <x v="0"/>
    <x v="532"/>
    <x v="6"/>
    <x v="13"/>
  </r>
  <r>
    <x v="805"/>
    <x v="801"/>
    <d v="1997-11-05T00:00:00"/>
    <d v="2022-02-22T00:00:00"/>
    <x v="5"/>
    <x v="804"/>
    <x v="3"/>
    <x v="0"/>
    <x v="526"/>
    <x v="3"/>
    <x v="39"/>
  </r>
  <r>
    <x v="806"/>
    <x v="802"/>
    <d v="1999-01-11T00:00:00"/>
    <d v="2010-02-07T00:00:00"/>
    <x v="6"/>
    <x v="805"/>
    <x v="0"/>
    <x v="0"/>
    <x v="100"/>
    <x v="5"/>
    <x v="2"/>
  </r>
  <r>
    <x v="807"/>
    <x v="803"/>
    <d v="1989-11-23T00:00:00"/>
    <d v="2011-09-27T00:00:00"/>
    <x v="2"/>
    <x v="806"/>
    <x v="0"/>
    <x v="0"/>
    <x v="523"/>
    <x v="0"/>
    <x v="22"/>
  </r>
  <r>
    <x v="808"/>
    <x v="804"/>
    <d v="1989-07-22T00:00:00"/>
    <d v="1992-02-23T00:00:00"/>
    <x v="0"/>
    <x v="807"/>
    <x v="9"/>
    <x v="0"/>
    <x v="82"/>
    <x v="1"/>
    <x v="24"/>
  </r>
  <r>
    <x v="809"/>
    <x v="805"/>
    <d v="1984-03-27T00:00:00"/>
    <d v="1971-10-13T00:00:00"/>
    <x v="4"/>
    <x v="808"/>
    <x v="1"/>
    <x v="0"/>
    <x v="17"/>
    <x v="4"/>
    <x v="44"/>
  </r>
  <r>
    <x v="810"/>
    <x v="806"/>
    <d v="1968-04-19T00:00:00"/>
    <d v="1991-03-16T00:00:00"/>
    <x v="2"/>
    <x v="809"/>
    <x v="1"/>
    <x v="1"/>
    <x v="533"/>
    <x v="4"/>
    <x v="34"/>
  </r>
  <r>
    <x v="811"/>
    <x v="807"/>
    <d v="1989-04-02T00:00:00"/>
    <d v="1992-10-14T00:00:00"/>
    <x v="3"/>
    <x v="810"/>
    <x v="6"/>
    <x v="0"/>
    <x v="477"/>
    <x v="6"/>
    <x v="24"/>
  </r>
  <r>
    <x v="812"/>
    <x v="808"/>
    <d v="1987-01-22T00:00:00"/>
    <d v="1999-07-13T00:00:00"/>
    <x v="2"/>
    <x v="811"/>
    <x v="4"/>
    <x v="0"/>
    <x v="432"/>
    <x v="3"/>
    <x v="6"/>
  </r>
  <r>
    <x v="813"/>
    <x v="809"/>
    <d v="1965-08-10T00:00:00"/>
    <d v="2021-02-16T00:00:00"/>
    <x v="1"/>
    <x v="812"/>
    <x v="2"/>
    <x v="0"/>
    <x v="534"/>
    <x v="6"/>
    <x v="52"/>
  </r>
  <r>
    <x v="814"/>
    <x v="810"/>
    <d v="1996-10-26T00:00:00"/>
    <d v="2000-11-03T00:00:00"/>
    <x v="2"/>
    <x v="813"/>
    <x v="9"/>
    <x v="1"/>
    <x v="477"/>
    <x v="0"/>
    <x v="3"/>
  </r>
  <r>
    <x v="815"/>
    <x v="811"/>
    <d v="1967-05-02T00:00:00"/>
    <d v="1977-05-31T00:00:00"/>
    <x v="0"/>
    <x v="814"/>
    <x v="7"/>
    <x v="0"/>
    <x v="73"/>
    <x v="5"/>
    <x v="31"/>
  </r>
  <r>
    <x v="816"/>
    <x v="812"/>
    <d v="1969-09-08T00:00:00"/>
    <d v="1992-07-29T00:00:00"/>
    <x v="0"/>
    <x v="815"/>
    <x v="9"/>
    <x v="1"/>
    <x v="535"/>
    <x v="4"/>
    <x v="24"/>
  </r>
  <r>
    <x v="817"/>
    <x v="813"/>
    <d v="1967-09-20T00:00:00"/>
    <d v="2022-09-17T00:00:00"/>
    <x v="5"/>
    <x v="527"/>
    <x v="9"/>
    <x v="1"/>
    <x v="536"/>
    <x v="3"/>
    <x v="39"/>
  </r>
  <r>
    <x v="818"/>
    <x v="814"/>
    <d v="1960-01-25T00:00:00"/>
    <d v="1998-05-08T00:00:00"/>
    <x v="1"/>
    <x v="816"/>
    <x v="4"/>
    <x v="1"/>
    <x v="537"/>
    <x v="4"/>
    <x v="7"/>
  </r>
  <r>
    <x v="819"/>
    <x v="815"/>
    <d v="2000-05-13T00:00:00"/>
    <d v="1976-01-16T00:00:00"/>
    <x v="5"/>
    <x v="817"/>
    <x v="7"/>
    <x v="0"/>
    <x v="211"/>
    <x v="6"/>
    <x v="26"/>
  </r>
  <r>
    <x v="820"/>
    <x v="816"/>
    <d v="1992-07-09T00:00:00"/>
    <d v="1984-04-16T00:00:00"/>
    <x v="2"/>
    <x v="818"/>
    <x v="3"/>
    <x v="1"/>
    <x v="164"/>
    <x v="5"/>
    <x v="38"/>
  </r>
  <r>
    <x v="821"/>
    <x v="817"/>
    <d v="1974-07-09T00:00:00"/>
    <d v="1991-08-16T00:00:00"/>
    <x v="1"/>
    <x v="819"/>
    <x v="1"/>
    <x v="0"/>
    <x v="471"/>
    <x v="1"/>
    <x v="34"/>
  </r>
  <r>
    <x v="822"/>
    <x v="818"/>
    <d v="2000-07-19T00:00:00"/>
    <d v="2018-02-26T00:00:00"/>
    <x v="3"/>
    <x v="820"/>
    <x v="4"/>
    <x v="0"/>
    <x v="379"/>
    <x v="6"/>
    <x v="1"/>
  </r>
  <r>
    <x v="823"/>
    <x v="819"/>
    <d v="1982-01-20T00:00:00"/>
    <d v="1981-04-25T00:00:00"/>
    <x v="2"/>
    <x v="821"/>
    <x v="7"/>
    <x v="1"/>
    <x v="538"/>
    <x v="6"/>
    <x v="15"/>
  </r>
  <r>
    <x v="824"/>
    <x v="820"/>
    <d v="1971-06-13T00:00:00"/>
    <d v="2014-11-29T00:00:00"/>
    <x v="4"/>
    <x v="822"/>
    <x v="5"/>
    <x v="1"/>
    <x v="447"/>
    <x v="4"/>
    <x v="0"/>
  </r>
  <r>
    <x v="825"/>
    <x v="821"/>
    <d v="1978-05-02T00:00:00"/>
    <d v="1991-02-15T00:00:00"/>
    <x v="1"/>
    <x v="823"/>
    <x v="2"/>
    <x v="0"/>
    <x v="320"/>
    <x v="2"/>
    <x v="34"/>
  </r>
  <r>
    <x v="826"/>
    <x v="822"/>
    <d v="1961-10-20T00:00:00"/>
    <d v="1997-09-02T00:00:00"/>
    <x v="2"/>
    <x v="824"/>
    <x v="3"/>
    <x v="1"/>
    <x v="539"/>
    <x v="5"/>
    <x v="23"/>
  </r>
  <r>
    <x v="827"/>
    <x v="823"/>
    <d v="1959-12-23T00:00:00"/>
    <d v="1972-03-30T00:00:00"/>
    <x v="5"/>
    <x v="825"/>
    <x v="4"/>
    <x v="0"/>
    <x v="540"/>
    <x v="2"/>
    <x v="13"/>
  </r>
  <r>
    <x v="828"/>
    <x v="824"/>
    <d v="1988-11-27T00:00:00"/>
    <d v="1979-09-24T00:00:00"/>
    <x v="6"/>
    <x v="826"/>
    <x v="1"/>
    <x v="0"/>
    <x v="181"/>
    <x v="2"/>
    <x v="36"/>
  </r>
  <r>
    <x v="829"/>
    <x v="825"/>
    <d v="1969-03-02T00:00:00"/>
    <d v="1985-01-29T00:00:00"/>
    <x v="5"/>
    <x v="827"/>
    <x v="7"/>
    <x v="1"/>
    <x v="541"/>
    <x v="0"/>
    <x v="12"/>
  </r>
  <r>
    <x v="830"/>
    <x v="826"/>
    <d v="1989-11-28T00:00:00"/>
    <d v="2014-08-04T00:00:00"/>
    <x v="0"/>
    <x v="828"/>
    <x v="3"/>
    <x v="0"/>
    <x v="281"/>
    <x v="1"/>
    <x v="0"/>
  </r>
  <r>
    <x v="831"/>
    <x v="827"/>
    <d v="1980-11-27T00:00:00"/>
    <d v="2005-05-29T00:00:00"/>
    <x v="1"/>
    <x v="829"/>
    <x v="5"/>
    <x v="1"/>
    <x v="515"/>
    <x v="3"/>
    <x v="9"/>
  </r>
  <r>
    <x v="832"/>
    <x v="828"/>
    <d v="1960-04-26T00:00:00"/>
    <d v="2009-03-01T00:00:00"/>
    <x v="0"/>
    <x v="830"/>
    <x v="0"/>
    <x v="0"/>
    <x v="542"/>
    <x v="3"/>
    <x v="25"/>
  </r>
  <r>
    <x v="833"/>
    <x v="829"/>
    <d v="1978-07-21T00:00:00"/>
    <d v="1987-12-17T00:00:00"/>
    <x v="5"/>
    <x v="831"/>
    <x v="1"/>
    <x v="1"/>
    <x v="231"/>
    <x v="6"/>
    <x v="46"/>
  </r>
  <r>
    <x v="834"/>
    <x v="830"/>
    <d v="1975-06-15T00:00:00"/>
    <d v="1983-10-25T00:00:00"/>
    <x v="0"/>
    <x v="832"/>
    <x v="4"/>
    <x v="1"/>
    <x v="77"/>
    <x v="6"/>
    <x v="20"/>
  </r>
  <r>
    <x v="835"/>
    <x v="831"/>
    <d v="1993-04-28T00:00:00"/>
    <d v="1986-08-13T00:00:00"/>
    <x v="4"/>
    <x v="833"/>
    <x v="2"/>
    <x v="0"/>
    <x v="291"/>
    <x v="4"/>
    <x v="4"/>
  </r>
  <r>
    <x v="836"/>
    <x v="832"/>
    <d v="1995-05-07T00:00:00"/>
    <d v="2010-01-07T00:00:00"/>
    <x v="1"/>
    <x v="834"/>
    <x v="7"/>
    <x v="1"/>
    <x v="451"/>
    <x v="6"/>
    <x v="2"/>
  </r>
  <r>
    <x v="837"/>
    <x v="833"/>
    <d v="1982-02-02T00:00:00"/>
    <d v="2012-11-08T00:00:00"/>
    <x v="4"/>
    <x v="835"/>
    <x v="2"/>
    <x v="0"/>
    <x v="543"/>
    <x v="1"/>
    <x v="16"/>
  </r>
  <r>
    <x v="838"/>
    <x v="834"/>
    <d v="1977-05-03T00:00:00"/>
    <d v="2001-01-05T00:00:00"/>
    <x v="3"/>
    <x v="836"/>
    <x v="4"/>
    <x v="1"/>
    <x v="544"/>
    <x v="5"/>
    <x v="11"/>
  </r>
  <r>
    <x v="839"/>
    <x v="835"/>
    <d v="1971-02-24T00:00:00"/>
    <d v="1999-03-28T00:00:00"/>
    <x v="6"/>
    <x v="837"/>
    <x v="2"/>
    <x v="0"/>
    <x v="545"/>
    <x v="4"/>
    <x v="6"/>
  </r>
  <r>
    <x v="840"/>
    <x v="836"/>
    <d v="1977-06-07T00:00:00"/>
    <d v="1985-09-14T00:00:00"/>
    <x v="3"/>
    <x v="838"/>
    <x v="2"/>
    <x v="0"/>
    <x v="35"/>
    <x v="6"/>
    <x v="12"/>
  </r>
  <r>
    <x v="841"/>
    <x v="837"/>
    <d v="1968-07-06T00:00:00"/>
    <d v="1972-09-07T00:00:00"/>
    <x v="2"/>
    <x v="839"/>
    <x v="4"/>
    <x v="1"/>
    <x v="546"/>
    <x v="2"/>
    <x v="13"/>
  </r>
  <r>
    <x v="842"/>
    <x v="838"/>
    <d v="1965-09-23T00:00:00"/>
    <d v="1990-09-27T00:00:00"/>
    <x v="5"/>
    <x v="840"/>
    <x v="5"/>
    <x v="0"/>
    <x v="124"/>
    <x v="6"/>
    <x v="50"/>
  </r>
  <r>
    <x v="843"/>
    <x v="839"/>
    <d v="1974-01-03T00:00:00"/>
    <d v="1984-08-12T00:00:00"/>
    <x v="1"/>
    <x v="841"/>
    <x v="7"/>
    <x v="1"/>
    <x v="541"/>
    <x v="2"/>
    <x v="38"/>
  </r>
  <r>
    <x v="844"/>
    <x v="840"/>
    <d v="1972-04-03T00:00:00"/>
    <d v="1981-02-19T00:00:00"/>
    <x v="3"/>
    <x v="842"/>
    <x v="8"/>
    <x v="0"/>
    <x v="547"/>
    <x v="2"/>
    <x v="15"/>
  </r>
  <r>
    <x v="845"/>
    <x v="841"/>
    <d v="1979-05-11T00:00:00"/>
    <d v="2016-05-10T00:00:00"/>
    <x v="1"/>
    <x v="843"/>
    <x v="4"/>
    <x v="1"/>
    <x v="548"/>
    <x v="1"/>
    <x v="48"/>
  </r>
  <r>
    <x v="846"/>
    <x v="842"/>
    <d v="1959-07-08T00:00:00"/>
    <d v="1991-09-04T00:00:00"/>
    <x v="4"/>
    <x v="844"/>
    <x v="5"/>
    <x v="0"/>
    <x v="229"/>
    <x v="1"/>
    <x v="34"/>
  </r>
  <r>
    <x v="847"/>
    <x v="843"/>
    <d v="1962-09-06T00:00:00"/>
    <d v="1971-11-30T00:00:00"/>
    <x v="4"/>
    <x v="845"/>
    <x v="5"/>
    <x v="0"/>
    <x v="549"/>
    <x v="2"/>
    <x v="44"/>
  </r>
  <r>
    <x v="848"/>
    <x v="844"/>
    <d v="1989-03-13T00:00:00"/>
    <d v="2003-02-14T00:00:00"/>
    <x v="2"/>
    <x v="846"/>
    <x v="0"/>
    <x v="0"/>
    <x v="26"/>
    <x v="2"/>
    <x v="10"/>
  </r>
  <r>
    <x v="849"/>
    <x v="845"/>
    <d v="1960-06-06T00:00:00"/>
    <d v="2021-07-13T00:00:00"/>
    <x v="1"/>
    <x v="847"/>
    <x v="3"/>
    <x v="1"/>
    <x v="453"/>
    <x v="5"/>
    <x v="52"/>
  </r>
  <r>
    <x v="850"/>
    <x v="846"/>
    <d v="1999-03-24T00:00:00"/>
    <d v="1978-02-25T00:00:00"/>
    <x v="1"/>
    <x v="848"/>
    <x v="0"/>
    <x v="0"/>
    <x v="51"/>
    <x v="6"/>
    <x v="14"/>
  </r>
  <r>
    <x v="851"/>
    <x v="847"/>
    <d v="1966-09-21T00:00:00"/>
    <d v="2021-12-31T00:00:00"/>
    <x v="0"/>
    <x v="849"/>
    <x v="5"/>
    <x v="1"/>
    <x v="550"/>
    <x v="1"/>
    <x v="52"/>
  </r>
  <r>
    <x v="852"/>
    <x v="848"/>
    <d v="1998-01-06T00:00:00"/>
    <d v="1993-08-20T00:00:00"/>
    <x v="4"/>
    <x v="850"/>
    <x v="6"/>
    <x v="1"/>
    <x v="444"/>
    <x v="3"/>
    <x v="42"/>
  </r>
  <r>
    <x v="853"/>
    <x v="849"/>
    <d v="1972-02-11T00:00:00"/>
    <d v="2007-05-24T00:00:00"/>
    <x v="6"/>
    <x v="851"/>
    <x v="5"/>
    <x v="0"/>
    <x v="551"/>
    <x v="2"/>
    <x v="35"/>
  </r>
  <r>
    <x v="854"/>
    <x v="850"/>
    <d v="1964-11-18T00:00:00"/>
    <d v="2008-06-05T00:00:00"/>
    <x v="6"/>
    <x v="852"/>
    <x v="1"/>
    <x v="0"/>
    <x v="552"/>
    <x v="2"/>
    <x v="17"/>
  </r>
  <r>
    <x v="855"/>
    <x v="851"/>
    <d v="1974-10-15T00:00:00"/>
    <d v="2018-02-07T00:00:00"/>
    <x v="5"/>
    <x v="853"/>
    <x v="8"/>
    <x v="1"/>
    <x v="155"/>
    <x v="6"/>
    <x v="1"/>
  </r>
  <r>
    <x v="856"/>
    <x v="852"/>
    <d v="2002-08-15T00:00:00"/>
    <d v="1974-07-17T00:00:00"/>
    <x v="4"/>
    <x v="854"/>
    <x v="1"/>
    <x v="0"/>
    <x v="113"/>
    <x v="1"/>
    <x v="49"/>
  </r>
  <r>
    <x v="857"/>
    <x v="853"/>
    <d v="1995-09-16T00:00:00"/>
    <d v="2001-07-22T00:00:00"/>
    <x v="5"/>
    <x v="855"/>
    <x v="2"/>
    <x v="1"/>
    <x v="553"/>
    <x v="2"/>
    <x v="11"/>
  </r>
  <r>
    <x v="858"/>
    <x v="854"/>
    <d v="1983-07-21T00:00:00"/>
    <d v="2014-05-30T00:00:00"/>
    <x v="6"/>
    <x v="856"/>
    <x v="2"/>
    <x v="0"/>
    <x v="484"/>
    <x v="4"/>
    <x v="0"/>
  </r>
  <r>
    <x v="859"/>
    <x v="855"/>
    <d v="1963-03-12T00:00:00"/>
    <d v="2015-04-05T00:00:00"/>
    <x v="0"/>
    <x v="857"/>
    <x v="1"/>
    <x v="1"/>
    <x v="171"/>
    <x v="3"/>
    <x v="43"/>
  </r>
  <r>
    <x v="860"/>
    <x v="856"/>
    <d v="1986-02-03T00:00:00"/>
    <d v="1990-04-17T00:00:00"/>
    <x v="3"/>
    <x v="858"/>
    <x v="0"/>
    <x v="1"/>
    <x v="554"/>
    <x v="6"/>
    <x v="50"/>
  </r>
  <r>
    <x v="861"/>
    <x v="857"/>
    <d v="1977-06-12T00:00:00"/>
    <d v="1991-03-25T00:00:00"/>
    <x v="4"/>
    <x v="859"/>
    <x v="7"/>
    <x v="1"/>
    <x v="555"/>
    <x v="0"/>
    <x v="34"/>
  </r>
  <r>
    <x v="862"/>
    <x v="858"/>
    <d v="1960-06-08T00:00:00"/>
    <d v="1974-12-19T00:00:00"/>
    <x v="1"/>
    <x v="860"/>
    <x v="8"/>
    <x v="1"/>
    <x v="556"/>
    <x v="0"/>
    <x v="49"/>
  </r>
  <r>
    <x v="863"/>
    <x v="859"/>
    <d v="1992-09-16T00:00:00"/>
    <d v="1993-12-20T00:00:00"/>
    <x v="2"/>
    <x v="861"/>
    <x v="1"/>
    <x v="1"/>
    <x v="557"/>
    <x v="6"/>
    <x v="42"/>
  </r>
  <r>
    <x v="864"/>
    <x v="860"/>
    <d v="1963-06-03T00:00:00"/>
    <d v="1997-12-09T00:00:00"/>
    <x v="5"/>
    <x v="862"/>
    <x v="3"/>
    <x v="1"/>
    <x v="287"/>
    <x v="6"/>
    <x v="23"/>
  </r>
  <r>
    <x v="865"/>
    <x v="861"/>
    <d v="1965-01-16T00:00:00"/>
    <d v="1989-03-02T00:00:00"/>
    <x v="5"/>
    <x v="863"/>
    <x v="6"/>
    <x v="1"/>
    <x v="44"/>
    <x v="5"/>
    <x v="21"/>
  </r>
  <r>
    <x v="866"/>
    <x v="862"/>
    <d v="1966-06-02T00:00:00"/>
    <d v="2022-02-09T00:00:00"/>
    <x v="6"/>
    <x v="864"/>
    <x v="4"/>
    <x v="0"/>
    <x v="127"/>
    <x v="0"/>
    <x v="39"/>
  </r>
  <r>
    <x v="867"/>
    <x v="863"/>
    <d v="1994-03-31T00:00:00"/>
    <d v="2000-05-24T00:00:00"/>
    <x v="4"/>
    <x v="865"/>
    <x v="3"/>
    <x v="1"/>
    <x v="301"/>
    <x v="4"/>
    <x v="3"/>
  </r>
  <r>
    <x v="868"/>
    <x v="864"/>
    <d v="1998-11-11T00:00:00"/>
    <d v="2014-11-14T00:00:00"/>
    <x v="4"/>
    <x v="866"/>
    <x v="4"/>
    <x v="0"/>
    <x v="558"/>
    <x v="2"/>
    <x v="0"/>
  </r>
  <r>
    <x v="869"/>
    <x v="865"/>
    <d v="1980-12-07T00:00:00"/>
    <d v="2011-12-15T00:00:00"/>
    <x v="2"/>
    <x v="867"/>
    <x v="2"/>
    <x v="0"/>
    <x v="140"/>
    <x v="2"/>
    <x v="22"/>
  </r>
  <r>
    <x v="870"/>
    <x v="866"/>
    <d v="1968-04-05T00:00:00"/>
    <d v="2015-08-11T00:00:00"/>
    <x v="1"/>
    <x v="868"/>
    <x v="9"/>
    <x v="1"/>
    <x v="559"/>
    <x v="0"/>
    <x v="43"/>
  </r>
  <r>
    <x v="871"/>
    <x v="867"/>
    <d v="1985-06-02T00:00:00"/>
    <d v="2004-09-14T00:00:00"/>
    <x v="5"/>
    <x v="869"/>
    <x v="2"/>
    <x v="1"/>
    <x v="560"/>
    <x v="2"/>
    <x v="28"/>
  </r>
  <r>
    <x v="872"/>
    <x v="868"/>
    <d v="1992-06-28T00:00:00"/>
    <d v="1994-12-05T00:00:00"/>
    <x v="5"/>
    <x v="870"/>
    <x v="7"/>
    <x v="1"/>
    <x v="201"/>
    <x v="4"/>
    <x v="45"/>
  </r>
  <r>
    <x v="873"/>
    <x v="869"/>
    <d v="1962-12-29T00:00:00"/>
    <d v="1996-08-22T00:00:00"/>
    <x v="4"/>
    <x v="871"/>
    <x v="2"/>
    <x v="1"/>
    <x v="262"/>
    <x v="5"/>
    <x v="30"/>
  </r>
  <r>
    <x v="874"/>
    <x v="870"/>
    <d v="1964-03-30T00:00:00"/>
    <d v="1994-09-03T00:00:00"/>
    <x v="0"/>
    <x v="872"/>
    <x v="9"/>
    <x v="1"/>
    <x v="561"/>
    <x v="0"/>
    <x v="45"/>
  </r>
  <r>
    <x v="875"/>
    <x v="871"/>
    <d v="1987-10-15T00:00:00"/>
    <d v="1978-08-21T00:00:00"/>
    <x v="3"/>
    <x v="873"/>
    <x v="5"/>
    <x v="1"/>
    <x v="22"/>
    <x v="6"/>
    <x v="14"/>
  </r>
  <r>
    <x v="876"/>
    <x v="872"/>
    <d v="1980-08-06T00:00:00"/>
    <d v="1995-12-11T00:00:00"/>
    <x v="4"/>
    <x v="874"/>
    <x v="0"/>
    <x v="1"/>
    <x v="160"/>
    <x v="0"/>
    <x v="41"/>
  </r>
  <r>
    <x v="877"/>
    <x v="873"/>
    <d v="1961-02-05T00:00:00"/>
    <d v="1974-01-03T00:00:00"/>
    <x v="4"/>
    <x v="875"/>
    <x v="1"/>
    <x v="0"/>
    <x v="562"/>
    <x v="6"/>
    <x v="49"/>
  </r>
  <r>
    <x v="878"/>
    <x v="874"/>
    <d v="1989-09-24T00:00:00"/>
    <d v="1974-01-25T00:00:00"/>
    <x v="1"/>
    <x v="876"/>
    <x v="9"/>
    <x v="1"/>
    <x v="205"/>
    <x v="3"/>
    <x v="49"/>
  </r>
  <r>
    <x v="879"/>
    <x v="875"/>
    <d v="1994-01-08T00:00:00"/>
    <d v="1987-08-26T00:00:00"/>
    <x v="3"/>
    <x v="877"/>
    <x v="7"/>
    <x v="1"/>
    <x v="520"/>
    <x v="0"/>
    <x v="46"/>
  </r>
  <r>
    <x v="880"/>
    <x v="876"/>
    <d v="1992-08-16T00:00:00"/>
    <d v="2012-01-22T00:00:00"/>
    <x v="1"/>
    <x v="878"/>
    <x v="0"/>
    <x v="0"/>
    <x v="451"/>
    <x v="3"/>
    <x v="16"/>
  </r>
  <r>
    <x v="881"/>
    <x v="877"/>
    <d v="2001-05-16T00:00:00"/>
    <d v="1989-11-17T00:00:00"/>
    <x v="5"/>
    <x v="879"/>
    <x v="9"/>
    <x v="0"/>
    <x v="156"/>
    <x v="0"/>
    <x v="21"/>
  </r>
  <r>
    <x v="882"/>
    <x v="878"/>
    <d v="1997-08-28T00:00:00"/>
    <d v="2016-04-07T00:00:00"/>
    <x v="1"/>
    <x v="880"/>
    <x v="2"/>
    <x v="1"/>
    <x v="563"/>
    <x v="0"/>
    <x v="48"/>
  </r>
  <r>
    <x v="883"/>
    <x v="879"/>
    <d v="1961-03-11T00:00:00"/>
    <d v="1986-08-02T00:00:00"/>
    <x v="4"/>
    <x v="881"/>
    <x v="5"/>
    <x v="0"/>
    <x v="372"/>
    <x v="3"/>
    <x v="4"/>
  </r>
  <r>
    <x v="884"/>
    <x v="880"/>
    <d v="1997-12-10T00:00:00"/>
    <d v="2013-10-28T00:00:00"/>
    <x v="1"/>
    <x v="882"/>
    <x v="3"/>
    <x v="1"/>
    <x v="564"/>
    <x v="3"/>
    <x v="40"/>
  </r>
  <r>
    <x v="885"/>
    <x v="881"/>
    <d v="1976-09-27T00:00:00"/>
    <d v="1989-12-05T00:00:00"/>
    <x v="3"/>
    <x v="883"/>
    <x v="0"/>
    <x v="1"/>
    <x v="206"/>
    <x v="6"/>
    <x v="21"/>
  </r>
  <r>
    <x v="886"/>
    <x v="882"/>
    <d v="1974-04-22T00:00:00"/>
    <d v="2014-01-06T00:00:00"/>
    <x v="0"/>
    <x v="884"/>
    <x v="6"/>
    <x v="1"/>
    <x v="215"/>
    <x v="0"/>
    <x v="0"/>
  </r>
  <r>
    <x v="887"/>
    <x v="883"/>
    <d v="1963-10-11T00:00:00"/>
    <d v="1986-11-17T00:00:00"/>
    <x v="5"/>
    <x v="885"/>
    <x v="7"/>
    <x v="1"/>
    <x v="154"/>
    <x v="6"/>
    <x v="4"/>
  </r>
  <r>
    <x v="888"/>
    <x v="884"/>
    <d v="1970-08-03T00:00:00"/>
    <d v="2017-10-04T00:00:00"/>
    <x v="2"/>
    <x v="886"/>
    <x v="2"/>
    <x v="1"/>
    <x v="507"/>
    <x v="2"/>
    <x v="47"/>
  </r>
  <r>
    <x v="889"/>
    <x v="885"/>
    <d v="1989-08-10T00:00:00"/>
    <d v="2022-12-12T00:00:00"/>
    <x v="1"/>
    <x v="887"/>
    <x v="3"/>
    <x v="0"/>
    <x v="565"/>
    <x v="2"/>
    <x v="39"/>
  </r>
  <r>
    <x v="890"/>
    <x v="886"/>
    <d v="1968-08-29T00:00:00"/>
    <d v="2004-05-17T00:00:00"/>
    <x v="6"/>
    <x v="888"/>
    <x v="9"/>
    <x v="1"/>
    <x v="57"/>
    <x v="3"/>
    <x v="28"/>
  </r>
  <r>
    <x v="891"/>
    <x v="887"/>
    <d v="1986-05-29T00:00:00"/>
    <d v="1993-10-30T00:00:00"/>
    <x v="3"/>
    <x v="889"/>
    <x v="6"/>
    <x v="1"/>
    <x v="312"/>
    <x v="3"/>
    <x v="42"/>
  </r>
  <r>
    <x v="892"/>
    <x v="888"/>
    <d v="1992-01-23T00:00:00"/>
    <d v="2013-03-19T00:00:00"/>
    <x v="6"/>
    <x v="890"/>
    <x v="4"/>
    <x v="1"/>
    <x v="566"/>
    <x v="2"/>
    <x v="40"/>
  </r>
  <r>
    <x v="893"/>
    <x v="889"/>
    <d v="1964-03-07T00:00:00"/>
    <d v="1988-06-14T00:00:00"/>
    <x v="6"/>
    <x v="891"/>
    <x v="9"/>
    <x v="0"/>
    <x v="406"/>
    <x v="3"/>
    <x v="37"/>
  </r>
  <r>
    <x v="894"/>
    <x v="890"/>
    <d v="1975-06-20T00:00:00"/>
    <d v="1986-01-30T00:00:00"/>
    <x v="6"/>
    <x v="892"/>
    <x v="7"/>
    <x v="0"/>
    <x v="9"/>
    <x v="4"/>
    <x v="4"/>
  </r>
  <r>
    <x v="895"/>
    <x v="891"/>
    <d v="1989-09-09T00:00:00"/>
    <d v="2007-12-18T00:00:00"/>
    <x v="0"/>
    <x v="893"/>
    <x v="5"/>
    <x v="1"/>
    <x v="436"/>
    <x v="3"/>
    <x v="35"/>
  </r>
  <r>
    <x v="896"/>
    <x v="892"/>
    <d v="1969-09-03T00:00:00"/>
    <d v="1984-07-09T00:00:00"/>
    <x v="4"/>
    <x v="894"/>
    <x v="7"/>
    <x v="0"/>
    <x v="567"/>
    <x v="3"/>
    <x v="38"/>
  </r>
  <r>
    <x v="897"/>
    <x v="893"/>
    <d v="1995-03-23T00:00:00"/>
    <d v="1979-07-09T00:00:00"/>
    <x v="1"/>
    <x v="895"/>
    <x v="4"/>
    <x v="0"/>
    <x v="568"/>
    <x v="4"/>
    <x v="36"/>
  </r>
  <r>
    <x v="898"/>
    <x v="894"/>
    <d v="1986-06-10T00:00:00"/>
    <d v="2007-09-01T00:00:00"/>
    <x v="5"/>
    <x v="896"/>
    <x v="6"/>
    <x v="0"/>
    <x v="540"/>
    <x v="5"/>
    <x v="35"/>
  </r>
  <r>
    <x v="899"/>
    <x v="895"/>
    <d v="1996-10-06T00:00:00"/>
    <d v="1992-10-26T00:00:00"/>
    <x v="6"/>
    <x v="897"/>
    <x v="0"/>
    <x v="1"/>
    <x v="296"/>
    <x v="0"/>
    <x v="24"/>
  </r>
  <r>
    <x v="900"/>
    <x v="896"/>
    <d v="1986-11-06T00:00:00"/>
    <d v="1975-09-22T00:00:00"/>
    <x v="4"/>
    <x v="898"/>
    <x v="7"/>
    <x v="1"/>
    <x v="322"/>
    <x v="5"/>
    <x v="18"/>
  </r>
  <r>
    <x v="901"/>
    <x v="897"/>
    <d v="1992-11-20T00:00:00"/>
    <d v="1974-06-10T00:00:00"/>
    <x v="2"/>
    <x v="899"/>
    <x v="3"/>
    <x v="1"/>
    <x v="68"/>
    <x v="3"/>
    <x v="49"/>
  </r>
  <r>
    <x v="902"/>
    <x v="898"/>
    <d v="1997-02-13T00:00:00"/>
    <d v="1998-03-14T00:00:00"/>
    <x v="1"/>
    <x v="900"/>
    <x v="2"/>
    <x v="1"/>
    <x v="498"/>
    <x v="3"/>
    <x v="7"/>
  </r>
  <r>
    <x v="903"/>
    <x v="899"/>
    <d v="1989-01-23T00:00:00"/>
    <d v="1994-10-13T00:00:00"/>
    <x v="4"/>
    <x v="901"/>
    <x v="3"/>
    <x v="0"/>
    <x v="115"/>
    <x v="5"/>
    <x v="45"/>
  </r>
  <r>
    <x v="904"/>
    <x v="900"/>
    <d v="1976-04-09T00:00:00"/>
    <d v="2020-08-16T00:00:00"/>
    <x v="4"/>
    <x v="902"/>
    <x v="6"/>
    <x v="0"/>
    <x v="198"/>
    <x v="6"/>
    <x v="32"/>
  </r>
  <r>
    <x v="905"/>
    <x v="901"/>
    <d v="1988-12-31T00:00:00"/>
    <d v="1974-12-06T00:00:00"/>
    <x v="2"/>
    <x v="903"/>
    <x v="8"/>
    <x v="0"/>
    <x v="569"/>
    <x v="0"/>
    <x v="49"/>
  </r>
  <r>
    <x v="906"/>
    <x v="902"/>
    <d v="1969-07-21T00:00:00"/>
    <d v="1974-11-01T00:00:00"/>
    <x v="5"/>
    <x v="904"/>
    <x v="3"/>
    <x v="0"/>
    <x v="570"/>
    <x v="6"/>
    <x v="49"/>
  </r>
  <r>
    <x v="907"/>
    <x v="903"/>
    <d v="1970-01-06T00:00:00"/>
    <d v="1993-08-13T00:00:00"/>
    <x v="5"/>
    <x v="905"/>
    <x v="2"/>
    <x v="0"/>
    <x v="58"/>
    <x v="4"/>
    <x v="42"/>
  </r>
  <r>
    <x v="908"/>
    <x v="904"/>
    <d v="1978-09-14T00:00:00"/>
    <d v="2002-12-04T00:00:00"/>
    <x v="0"/>
    <x v="906"/>
    <x v="5"/>
    <x v="0"/>
    <x v="283"/>
    <x v="2"/>
    <x v="27"/>
  </r>
  <r>
    <x v="909"/>
    <x v="905"/>
    <d v="1964-04-16T00:00:00"/>
    <d v="1990-03-16T00:00:00"/>
    <x v="2"/>
    <x v="907"/>
    <x v="2"/>
    <x v="1"/>
    <x v="571"/>
    <x v="1"/>
    <x v="50"/>
  </r>
  <r>
    <x v="910"/>
    <x v="906"/>
    <d v="1998-04-06T00:00:00"/>
    <d v="1990-12-27T00:00:00"/>
    <x v="2"/>
    <x v="908"/>
    <x v="0"/>
    <x v="0"/>
    <x v="572"/>
    <x v="4"/>
    <x v="50"/>
  </r>
  <r>
    <x v="911"/>
    <x v="907"/>
    <d v="1990-12-18T00:00:00"/>
    <d v="2006-06-16T00:00:00"/>
    <x v="5"/>
    <x v="909"/>
    <x v="1"/>
    <x v="0"/>
    <x v="573"/>
    <x v="0"/>
    <x v="19"/>
  </r>
  <r>
    <x v="912"/>
    <x v="908"/>
    <d v="1965-10-11T00:00:00"/>
    <d v="2014-11-19T00:00:00"/>
    <x v="5"/>
    <x v="910"/>
    <x v="3"/>
    <x v="0"/>
    <x v="574"/>
    <x v="6"/>
    <x v="0"/>
  </r>
  <r>
    <x v="913"/>
    <x v="909"/>
    <d v="1976-01-30T00:00:00"/>
    <d v="1995-09-01T00:00:00"/>
    <x v="0"/>
    <x v="911"/>
    <x v="0"/>
    <x v="0"/>
    <x v="204"/>
    <x v="1"/>
    <x v="41"/>
  </r>
  <r>
    <x v="914"/>
    <x v="910"/>
    <d v="1976-10-15T00:00:00"/>
    <d v="1997-10-04T00:00:00"/>
    <x v="5"/>
    <x v="912"/>
    <x v="4"/>
    <x v="0"/>
    <x v="575"/>
    <x v="6"/>
    <x v="23"/>
  </r>
  <r>
    <x v="915"/>
    <x v="911"/>
    <d v="2002-08-04T00:00:00"/>
    <d v="1972-06-25T00:00:00"/>
    <x v="4"/>
    <x v="913"/>
    <x v="6"/>
    <x v="1"/>
    <x v="121"/>
    <x v="4"/>
    <x v="13"/>
  </r>
  <r>
    <x v="916"/>
    <x v="912"/>
    <d v="1968-05-26T00:00:00"/>
    <d v="1983-04-24T00:00:00"/>
    <x v="0"/>
    <x v="914"/>
    <x v="4"/>
    <x v="0"/>
    <x v="576"/>
    <x v="2"/>
    <x v="20"/>
  </r>
  <r>
    <x v="917"/>
    <x v="913"/>
    <d v="1960-01-17T00:00:00"/>
    <d v="1999-01-12T00:00:00"/>
    <x v="1"/>
    <x v="915"/>
    <x v="7"/>
    <x v="1"/>
    <x v="577"/>
    <x v="1"/>
    <x v="6"/>
  </r>
  <r>
    <x v="918"/>
    <x v="914"/>
    <d v="1990-04-17T00:00:00"/>
    <d v="1998-06-18T00:00:00"/>
    <x v="1"/>
    <x v="916"/>
    <x v="2"/>
    <x v="1"/>
    <x v="497"/>
    <x v="2"/>
    <x v="7"/>
  </r>
  <r>
    <x v="919"/>
    <x v="915"/>
    <d v="1975-04-09T00:00:00"/>
    <d v="1970-11-30T00:00:00"/>
    <x v="3"/>
    <x v="917"/>
    <x v="1"/>
    <x v="0"/>
    <x v="186"/>
    <x v="1"/>
    <x v="5"/>
  </r>
  <r>
    <x v="920"/>
    <x v="916"/>
    <d v="2001-04-10T00:00:00"/>
    <d v="1996-12-29T00:00:00"/>
    <x v="5"/>
    <x v="918"/>
    <x v="1"/>
    <x v="0"/>
    <x v="391"/>
    <x v="5"/>
    <x v="30"/>
  </r>
  <r>
    <x v="921"/>
    <x v="917"/>
    <d v="1967-11-27T00:00:00"/>
    <d v="1989-06-04T00:00:00"/>
    <x v="0"/>
    <x v="919"/>
    <x v="1"/>
    <x v="1"/>
    <x v="578"/>
    <x v="4"/>
    <x v="21"/>
  </r>
  <r>
    <x v="922"/>
    <x v="918"/>
    <d v="1977-07-23T00:00:00"/>
    <d v="2001-06-28T00:00:00"/>
    <x v="2"/>
    <x v="920"/>
    <x v="7"/>
    <x v="1"/>
    <x v="429"/>
    <x v="0"/>
    <x v="11"/>
  </r>
  <r>
    <x v="923"/>
    <x v="919"/>
    <d v="1984-12-14T00:00:00"/>
    <d v="2018-05-09T00:00:00"/>
    <x v="3"/>
    <x v="921"/>
    <x v="5"/>
    <x v="0"/>
    <x v="141"/>
    <x v="5"/>
    <x v="1"/>
  </r>
  <r>
    <x v="924"/>
    <x v="920"/>
    <d v="1976-08-17T00:00:00"/>
    <d v="2003-12-27T00:00:00"/>
    <x v="6"/>
    <x v="922"/>
    <x v="8"/>
    <x v="0"/>
    <x v="579"/>
    <x v="5"/>
    <x v="10"/>
  </r>
  <r>
    <x v="925"/>
    <x v="921"/>
    <d v="1976-09-09T00:00:00"/>
    <d v="2010-05-26T00:00:00"/>
    <x v="4"/>
    <x v="923"/>
    <x v="1"/>
    <x v="1"/>
    <x v="299"/>
    <x v="3"/>
    <x v="2"/>
  </r>
  <r>
    <x v="926"/>
    <x v="922"/>
    <d v="1989-08-06T00:00:00"/>
    <d v="2021-09-21T00:00:00"/>
    <x v="6"/>
    <x v="924"/>
    <x v="6"/>
    <x v="0"/>
    <x v="410"/>
    <x v="4"/>
    <x v="52"/>
  </r>
  <r>
    <x v="927"/>
    <x v="923"/>
    <d v="1984-04-09T00:00:00"/>
    <d v="1978-12-22T00:00:00"/>
    <x v="2"/>
    <x v="925"/>
    <x v="8"/>
    <x v="1"/>
    <x v="410"/>
    <x v="4"/>
    <x v="14"/>
  </r>
  <r>
    <x v="928"/>
    <x v="924"/>
    <d v="1993-01-28T00:00:00"/>
    <d v="2021-06-04T00:00:00"/>
    <x v="0"/>
    <x v="926"/>
    <x v="1"/>
    <x v="0"/>
    <x v="580"/>
    <x v="5"/>
    <x v="52"/>
  </r>
  <r>
    <x v="929"/>
    <x v="925"/>
    <d v="1960-02-17T00:00:00"/>
    <d v="1993-10-22T00:00:00"/>
    <x v="4"/>
    <x v="927"/>
    <x v="7"/>
    <x v="1"/>
    <x v="429"/>
    <x v="1"/>
    <x v="42"/>
  </r>
  <r>
    <x v="930"/>
    <x v="926"/>
    <d v="1961-04-30T00:00:00"/>
    <d v="2017-12-18T00:00:00"/>
    <x v="3"/>
    <x v="928"/>
    <x v="1"/>
    <x v="0"/>
    <x v="128"/>
    <x v="2"/>
    <x v="47"/>
  </r>
  <r>
    <x v="931"/>
    <x v="927"/>
    <d v="1975-12-25T00:00:00"/>
    <d v="1973-09-26T00:00:00"/>
    <x v="5"/>
    <x v="929"/>
    <x v="3"/>
    <x v="0"/>
    <x v="580"/>
    <x v="4"/>
    <x v="29"/>
  </r>
  <r>
    <x v="932"/>
    <x v="928"/>
    <d v="1969-05-23T00:00:00"/>
    <d v="1988-08-24T00:00:00"/>
    <x v="2"/>
    <x v="930"/>
    <x v="7"/>
    <x v="1"/>
    <x v="486"/>
    <x v="5"/>
    <x v="37"/>
  </r>
  <r>
    <x v="933"/>
    <x v="929"/>
    <d v="1973-01-15T00:00:00"/>
    <d v="1979-03-12T00:00:00"/>
    <x v="4"/>
    <x v="931"/>
    <x v="2"/>
    <x v="1"/>
    <x v="581"/>
    <x v="5"/>
    <x v="36"/>
  </r>
  <r>
    <x v="934"/>
    <x v="930"/>
    <d v="1985-01-16T00:00:00"/>
    <d v="2000-08-16T00:00:00"/>
    <x v="1"/>
    <x v="932"/>
    <x v="8"/>
    <x v="0"/>
    <x v="24"/>
    <x v="1"/>
    <x v="3"/>
  </r>
  <r>
    <x v="935"/>
    <x v="931"/>
    <d v="1981-11-28T00:00:00"/>
    <d v="1998-09-25T00:00:00"/>
    <x v="2"/>
    <x v="933"/>
    <x v="0"/>
    <x v="1"/>
    <x v="358"/>
    <x v="3"/>
    <x v="7"/>
  </r>
  <r>
    <x v="936"/>
    <x v="932"/>
    <d v="1959-12-29T00:00:00"/>
    <d v="2017-12-07T00:00:00"/>
    <x v="2"/>
    <x v="934"/>
    <x v="4"/>
    <x v="1"/>
    <x v="582"/>
    <x v="0"/>
    <x v="47"/>
  </r>
  <r>
    <x v="937"/>
    <x v="933"/>
    <d v="2002-09-28T00:00:00"/>
    <d v="2010-04-16T00:00:00"/>
    <x v="2"/>
    <x v="935"/>
    <x v="1"/>
    <x v="1"/>
    <x v="419"/>
    <x v="2"/>
    <x v="2"/>
  </r>
  <r>
    <x v="938"/>
    <x v="934"/>
    <d v="1963-11-22T00:00:00"/>
    <d v="1992-04-23T00:00:00"/>
    <x v="1"/>
    <x v="936"/>
    <x v="8"/>
    <x v="1"/>
    <x v="583"/>
    <x v="3"/>
    <x v="24"/>
  </r>
  <r>
    <x v="939"/>
    <x v="935"/>
    <d v="1990-01-07T00:00:00"/>
    <d v="2020-05-11T00:00:00"/>
    <x v="0"/>
    <x v="937"/>
    <x v="9"/>
    <x v="0"/>
    <x v="584"/>
    <x v="5"/>
    <x v="32"/>
  </r>
  <r>
    <x v="940"/>
    <x v="936"/>
    <d v="1973-07-11T00:00:00"/>
    <d v="2003-10-09T00:00:00"/>
    <x v="6"/>
    <x v="938"/>
    <x v="3"/>
    <x v="0"/>
    <x v="585"/>
    <x v="2"/>
    <x v="10"/>
  </r>
  <r>
    <x v="941"/>
    <x v="937"/>
    <d v="1979-12-28T00:00:00"/>
    <d v="1997-03-17T00:00:00"/>
    <x v="4"/>
    <x v="939"/>
    <x v="4"/>
    <x v="0"/>
    <x v="162"/>
    <x v="2"/>
    <x v="23"/>
  </r>
  <r>
    <x v="942"/>
    <x v="938"/>
    <d v="1966-08-30T00:00:00"/>
    <d v="2012-04-15T00:00:00"/>
    <x v="6"/>
    <x v="940"/>
    <x v="3"/>
    <x v="1"/>
    <x v="187"/>
    <x v="6"/>
    <x v="16"/>
  </r>
  <r>
    <x v="943"/>
    <x v="939"/>
    <d v="2001-02-14T00:00:00"/>
    <d v="1987-05-15T00:00:00"/>
    <x v="6"/>
    <x v="941"/>
    <x v="4"/>
    <x v="1"/>
    <x v="9"/>
    <x v="3"/>
    <x v="46"/>
  </r>
  <r>
    <x v="944"/>
    <x v="940"/>
    <d v="1999-06-05T00:00:00"/>
    <d v="2006-04-12T00:00:00"/>
    <x v="5"/>
    <x v="942"/>
    <x v="5"/>
    <x v="0"/>
    <x v="80"/>
    <x v="1"/>
    <x v="19"/>
  </r>
  <r>
    <x v="945"/>
    <x v="941"/>
    <d v="1994-01-31T00:00:00"/>
    <d v="1998-12-24T00:00:00"/>
    <x v="4"/>
    <x v="943"/>
    <x v="5"/>
    <x v="0"/>
    <x v="586"/>
    <x v="2"/>
    <x v="7"/>
  </r>
  <r>
    <x v="946"/>
    <x v="942"/>
    <d v="1974-11-10T00:00:00"/>
    <d v="1982-06-25T00:00:00"/>
    <x v="2"/>
    <x v="944"/>
    <x v="6"/>
    <x v="1"/>
    <x v="587"/>
    <x v="3"/>
    <x v="51"/>
  </r>
  <r>
    <x v="947"/>
    <x v="943"/>
    <d v="2001-03-06T00:00:00"/>
    <d v="1989-05-22T00:00:00"/>
    <x v="1"/>
    <x v="945"/>
    <x v="4"/>
    <x v="1"/>
    <x v="102"/>
    <x v="2"/>
    <x v="21"/>
  </r>
  <r>
    <x v="948"/>
    <x v="944"/>
    <d v="1987-08-15T00:00:00"/>
    <d v="1997-09-11T00:00:00"/>
    <x v="2"/>
    <x v="946"/>
    <x v="3"/>
    <x v="0"/>
    <x v="588"/>
    <x v="6"/>
    <x v="23"/>
  </r>
  <r>
    <x v="949"/>
    <x v="945"/>
    <d v="2001-03-05T00:00:00"/>
    <d v="2017-01-05T00:00:00"/>
    <x v="4"/>
    <x v="947"/>
    <x v="8"/>
    <x v="1"/>
    <x v="137"/>
    <x v="4"/>
    <x v="47"/>
  </r>
  <r>
    <x v="950"/>
    <x v="946"/>
    <d v="1968-06-05T00:00:00"/>
    <d v="1971-10-12T00:00:00"/>
    <x v="1"/>
    <x v="948"/>
    <x v="5"/>
    <x v="1"/>
    <x v="542"/>
    <x v="2"/>
    <x v="44"/>
  </r>
  <r>
    <x v="951"/>
    <x v="947"/>
    <d v="1983-08-19T00:00:00"/>
    <d v="1995-06-06T00:00:00"/>
    <x v="4"/>
    <x v="949"/>
    <x v="5"/>
    <x v="1"/>
    <x v="325"/>
    <x v="1"/>
    <x v="41"/>
  </r>
  <r>
    <x v="952"/>
    <x v="948"/>
    <d v="1964-09-01T00:00:00"/>
    <d v="1970-05-17T00:00:00"/>
    <x v="5"/>
    <x v="950"/>
    <x v="1"/>
    <x v="1"/>
    <x v="36"/>
    <x v="0"/>
    <x v="5"/>
  </r>
  <r>
    <x v="953"/>
    <x v="949"/>
    <d v="1998-08-20T00:00:00"/>
    <d v="1988-04-29T00:00:00"/>
    <x v="2"/>
    <x v="951"/>
    <x v="1"/>
    <x v="0"/>
    <x v="589"/>
    <x v="2"/>
    <x v="37"/>
  </r>
  <r>
    <x v="954"/>
    <x v="950"/>
    <d v="1990-11-20T00:00:00"/>
    <d v="1974-04-08T00:00:00"/>
    <x v="2"/>
    <x v="952"/>
    <x v="3"/>
    <x v="1"/>
    <x v="550"/>
    <x v="4"/>
    <x v="49"/>
  </r>
  <r>
    <x v="955"/>
    <x v="951"/>
    <d v="2000-04-09T00:00:00"/>
    <d v="1986-08-18T00:00:00"/>
    <x v="2"/>
    <x v="953"/>
    <x v="1"/>
    <x v="1"/>
    <x v="584"/>
    <x v="5"/>
    <x v="4"/>
  </r>
  <r>
    <x v="956"/>
    <x v="952"/>
    <d v="1998-09-10T00:00:00"/>
    <d v="1990-11-06T00:00:00"/>
    <x v="3"/>
    <x v="954"/>
    <x v="6"/>
    <x v="0"/>
    <x v="292"/>
    <x v="6"/>
    <x v="50"/>
  </r>
  <r>
    <x v="957"/>
    <x v="953"/>
    <d v="1965-01-17T00:00:00"/>
    <d v="1983-08-17T00:00:00"/>
    <x v="0"/>
    <x v="955"/>
    <x v="3"/>
    <x v="0"/>
    <x v="136"/>
    <x v="1"/>
    <x v="20"/>
  </r>
  <r>
    <x v="958"/>
    <x v="954"/>
    <d v="1974-10-28T00:00:00"/>
    <d v="1979-08-23T00:00:00"/>
    <x v="4"/>
    <x v="956"/>
    <x v="6"/>
    <x v="1"/>
    <x v="590"/>
    <x v="5"/>
    <x v="36"/>
  </r>
  <r>
    <x v="959"/>
    <x v="955"/>
    <d v="1970-03-31T00:00:00"/>
    <d v="1973-08-07T00:00:00"/>
    <x v="6"/>
    <x v="957"/>
    <x v="7"/>
    <x v="0"/>
    <x v="591"/>
    <x v="0"/>
    <x v="29"/>
  </r>
  <r>
    <x v="960"/>
    <x v="956"/>
    <d v="1979-11-22T00:00:00"/>
    <d v="1982-12-01T00:00:00"/>
    <x v="0"/>
    <x v="958"/>
    <x v="5"/>
    <x v="0"/>
    <x v="592"/>
    <x v="2"/>
    <x v="51"/>
  </r>
  <r>
    <x v="961"/>
    <x v="957"/>
    <d v="1993-08-19T00:00:00"/>
    <d v="2014-10-20T00:00:00"/>
    <x v="3"/>
    <x v="959"/>
    <x v="1"/>
    <x v="0"/>
    <x v="593"/>
    <x v="2"/>
    <x v="0"/>
  </r>
  <r>
    <x v="962"/>
    <x v="958"/>
    <d v="1962-02-14T00:00:00"/>
    <d v="2016-01-07T00:00:00"/>
    <x v="0"/>
    <x v="960"/>
    <x v="2"/>
    <x v="1"/>
    <x v="310"/>
    <x v="0"/>
    <x v="48"/>
  </r>
  <r>
    <x v="963"/>
    <x v="959"/>
    <d v="1975-07-04T00:00:00"/>
    <d v="2004-04-14T00:00:00"/>
    <x v="3"/>
    <x v="961"/>
    <x v="8"/>
    <x v="1"/>
    <x v="167"/>
    <x v="6"/>
    <x v="28"/>
  </r>
  <r>
    <x v="964"/>
    <x v="960"/>
    <d v="1968-05-28T00:00:00"/>
    <d v="2006-08-28T00:00:00"/>
    <x v="1"/>
    <x v="962"/>
    <x v="3"/>
    <x v="0"/>
    <x v="441"/>
    <x v="3"/>
    <x v="19"/>
  </r>
  <r>
    <x v="965"/>
    <x v="961"/>
    <d v="1999-10-29T00:00:00"/>
    <d v="2011-12-29T00:00:00"/>
    <x v="4"/>
    <x v="963"/>
    <x v="7"/>
    <x v="0"/>
    <x v="286"/>
    <x v="0"/>
    <x v="22"/>
  </r>
  <r>
    <x v="966"/>
    <x v="962"/>
    <d v="1961-01-09T00:00:00"/>
    <d v="1991-03-06T00:00:00"/>
    <x v="3"/>
    <x v="964"/>
    <x v="0"/>
    <x v="1"/>
    <x v="364"/>
    <x v="3"/>
    <x v="34"/>
  </r>
  <r>
    <x v="967"/>
    <x v="963"/>
    <d v="1962-09-05T00:00:00"/>
    <d v="2015-05-02T00:00:00"/>
    <x v="0"/>
    <x v="965"/>
    <x v="5"/>
    <x v="0"/>
    <x v="423"/>
    <x v="6"/>
    <x v="43"/>
  </r>
  <r>
    <x v="968"/>
    <x v="964"/>
    <d v="1984-04-28T00:00:00"/>
    <d v="1974-04-10T00:00:00"/>
    <x v="0"/>
    <x v="966"/>
    <x v="4"/>
    <x v="1"/>
    <x v="353"/>
    <x v="4"/>
    <x v="49"/>
  </r>
  <r>
    <x v="969"/>
    <x v="965"/>
    <d v="1998-03-13T00:00:00"/>
    <d v="2015-11-22T00:00:00"/>
    <x v="0"/>
    <x v="967"/>
    <x v="3"/>
    <x v="0"/>
    <x v="594"/>
    <x v="2"/>
    <x v="43"/>
  </r>
  <r>
    <x v="970"/>
    <x v="966"/>
    <d v="1980-09-18T00:00:00"/>
    <d v="2009-04-20T00:00:00"/>
    <x v="4"/>
    <x v="968"/>
    <x v="2"/>
    <x v="0"/>
    <x v="180"/>
    <x v="3"/>
    <x v="25"/>
  </r>
  <r>
    <x v="971"/>
    <x v="967"/>
    <d v="1991-01-02T00:00:00"/>
    <d v="2000-06-04T00:00:00"/>
    <x v="6"/>
    <x v="969"/>
    <x v="6"/>
    <x v="0"/>
    <x v="595"/>
    <x v="1"/>
    <x v="3"/>
  </r>
  <r>
    <x v="972"/>
    <x v="968"/>
    <d v="1978-10-18T00:00:00"/>
    <d v="1990-05-31T00:00:00"/>
    <x v="4"/>
    <x v="970"/>
    <x v="8"/>
    <x v="0"/>
    <x v="180"/>
    <x v="0"/>
    <x v="50"/>
  </r>
  <r>
    <x v="973"/>
    <x v="969"/>
    <d v="1979-11-13T00:00:00"/>
    <d v="2015-04-27T00:00:00"/>
    <x v="3"/>
    <x v="971"/>
    <x v="0"/>
    <x v="0"/>
    <x v="17"/>
    <x v="5"/>
    <x v="43"/>
  </r>
  <r>
    <x v="974"/>
    <x v="970"/>
    <d v="1980-12-27T00:00:00"/>
    <d v="2014-12-23T00:00:00"/>
    <x v="3"/>
    <x v="972"/>
    <x v="9"/>
    <x v="0"/>
    <x v="596"/>
    <x v="2"/>
    <x v="0"/>
  </r>
  <r>
    <x v="975"/>
    <x v="971"/>
    <d v="1965-02-15T00:00:00"/>
    <d v="2000-07-25T00:00:00"/>
    <x v="0"/>
    <x v="973"/>
    <x v="3"/>
    <x v="0"/>
    <x v="177"/>
    <x v="3"/>
    <x v="3"/>
  </r>
  <r>
    <x v="976"/>
    <x v="972"/>
    <d v="1967-03-10T00:00:00"/>
    <d v="1977-05-16T00:00:00"/>
    <x v="3"/>
    <x v="974"/>
    <x v="9"/>
    <x v="1"/>
    <x v="133"/>
    <x v="4"/>
    <x v="31"/>
  </r>
  <r>
    <x v="977"/>
    <x v="973"/>
    <d v="1976-04-09T00:00:00"/>
    <d v="2014-03-21T00:00:00"/>
    <x v="6"/>
    <x v="975"/>
    <x v="2"/>
    <x v="0"/>
    <x v="597"/>
    <x v="6"/>
    <x v="0"/>
  </r>
  <r>
    <x v="978"/>
    <x v="974"/>
    <d v="1990-07-19T00:00:00"/>
    <d v="1991-08-07T00:00:00"/>
    <x v="5"/>
    <x v="976"/>
    <x v="4"/>
    <x v="1"/>
    <x v="421"/>
    <x v="5"/>
    <x v="34"/>
  </r>
  <r>
    <x v="979"/>
    <x v="975"/>
    <d v="1982-11-30T00:00:00"/>
    <d v="1990-02-06T00:00:00"/>
    <x v="2"/>
    <x v="977"/>
    <x v="9"/>
    <x v="1"/>
    <x v="83"/>
    <x v="6"/>
    <x v="50"/>
  </r>
  <r>
    <x v="980"/>
    <x v="976"/>
    <d v="1998-04-09T00:00:00"/>
    <d v="1979-03-25T00:00:00"/>
    <x v="1"/>
    <x v="978"/>
    <x v="1"/>
    <x v="0"/>
    <x v="85"/>
    <x v="1"/>
    <x v="36"/>
  </r>
  <r>
    <x v="981"/>
    <x v="977"/>
    <d v="1976-07-23T00:00:00"/>
    <d v="2001-11-28T00:00:00"/>
    <x v="1"/>
    <x v="979"/>
    <x v="3"/>
    <x v="1"/>
    <x v="472"/>
    <x v="1"/>
    <x v="11"/>
  </r>
  <r>
    <x v="982"/>
    <x v="978"/>
    <d v="1969-07-23T00:00:00"/>
    <d v="1979-10-31T00:00:00"/>
    <x v="4"/>
    <x v="980"/>
    <x v="2"/>
    <x v="0"/>
    <x v="89"/>
    <x v="4"/>
    <x v="36"/>
  </r>
  <r>
    <x v="983"/>
    <x v="979"/>
    <d v="2002-08-17T00:00:00"/>
    <d v="1991-05-05T00:00:00"/>
    <x v="0"/>
    <x v="981"/>
    <x v="0"/>
    <x v="0"/>
    <x v="336"/>
    <x v="0"/>
    <x v="34"/>
  </r>
  <r>
    <x v="984"/>
    <x v="980"/>
    <d v="1989-12-27T00:00:00"/>
    <d v="2001-10-16T00:00:00"/>
    <x v="3"/>
    <x v="982"/>
    <x v="0"/>
    <x v="0"/>
    <x v="598"/>
    <x v="4"/>
    <x v="11"/>
  </r>
  <r>
    <x v="985"/>
    <x v="981"/>
    <d v="1984-09-07T00:00:00"/>
    <d v="1974-08-27T00:00:00"/>
    <x v="2"/>
    <x v="983"/>
    <x v="3"/>
    <x v="0"/>
    <x v="233"/>
    <x v="0"/>
    <x v="49"/>
  </r>
  <r>
    <x v="986"/>
    <x v="982"/>
    <d v="1990-11-04T00:00:00"/>
    <d v="2019-02-27T00:00:00"/>
    <x v="1"/>
    <x v="984"/>
    <x v="3"/>
    <x v="1"/>
    <x v="525"/>
    <x v="6"/>
    <x v="8"/>
  </r>
  <r>
    <x v="987"/>
    <x v="983"/>
    <d v="1987-03-24T00:00:00"/>
    <d v="1972-06-03T00:00:00"/>
    <x v="5"/>
    <x v="985"/>
    <x v="8"/>
    <x v="0"/>
    <x v="599"/>
    <x v="3"/>
    <x v="13"/>
  </r>
  <r>
    <x v="988"/>
    <x v="984"/>
    <d v="1974-04-05T00:00:00"/>
    <d v="2011-01-08T00:00:00"/>
    <x v="6"/>
    <x v="986"/>
    <x v="2"/>
    <x v="1"/>
    <x v="600"/>
    <x v="2"/>
    <x v="22"/>
  </r>
  <r>
    <x v="989"/>
    <x v="985"/>
    <d v="1969-09-30T00:00:00"/>
    <d v="1994-04-25T00:00:00"/>
    <x v="4"/>
    <x v="987"/>
    <x v="0"/>
    <x v="1"/>
    <x v="601"/>
    <x v="0"/>
    <x v="45"/>
  </r>
  <r>
    <x v="990"/>
    <x v="986"/>
    <d v="1965-06-15T00:00:00"/>
    <d v="1978-10-11T00:00:00"/>
    <x v="4"/>
    <x v="988"/>
    <x v="3"/>
    <x v="0"/>
    <x v="378"/>
    <x v="2"/>
    <x v="14"/>
  </r>
  <r>
    <x v="991"/>
    <x v="987"/>
    <d v="1962-01-23T00:00:00"/>
    <d v="1977-03-31T00:00:00"/>
    <x v="0"/>
    <x v="989"/>
    <x v="3"/>
    <x v="1"/>
    <x v="602"/>
    <x v="5"/>
    <x v="31"/>
  </r>
  <r>
    <x v="992"/>
    <x v="988"/>
    <d v="1964-07-27T00:00:00"/>
    <d v="2000-01-14T00:00:00"/>
    <x v="5"/>
    <x v="990"/>
    <x v="0"/>
    <x v="0"/>
    <x v="603"/>
    <x v="2"/>
    <x v="3"/>
  </r>
  <r>
    <x v="993"/>
    <x v="989"/>
    <d v="1994-05-05T00:00:00"/>
    <d v="1989-01-03T00:00:00"/>
    <x v="5"/>
    <x v="991"/>
    <x v="4"/>
    <x v="0"/>
    <x v="604"/>
    <x v="3"/>
    <x v="21"/>
  </r>
  <r>
    <x v="994"/>
    <x v="990"/>
    <d v="1989-05-25T00:00:00"/>
    <d v="2002-02-06T00:00:00"/>
    <x v="6"/>
    <x v="992"/>
    <x v="9"/>
    <x v="1"/>
    <x v="551"/>
    <x v="3"/>
    <x v="27"/>
  </r>
  <r>
    <x v="995"/>
    <x v="991"/>
    <d v="1977-03-16T00:00:00"/>
    <d v="2022-05-25T00:00:00"/>
    <x v="0"/>
    <x v="993"/>
    <x v="4"/>
    <x v="1"/>
    <x v="568"/>
    <x v="0"/>
    <x v="39"/>
  </r>
  <r>
    <x v="996"/>
    <x v="992"/>
    <d v="1966-07-03T00:00:00"/>
    <d v="1994-05-15T00:00:00"/>
    <x v="0"/>
    <x v="994"/>
    <x v="1"/>
    <x v="0"/>
    <x v="548"/>
    <x v="4"/>
    <x v="45"/>
  </r>
  <r>
    <x v="997"/>
    <x v="993"/>
    <d v="1992-08-14T00:00:00"/>
    <d v="1970-06-27T00:00:00"/>
    <x v="3"/>
    <x v="995"/>
    <x v="9"/>
    <x v="0"/>
    <x v="182"/>
    <x v="0"/>
    <x v="5"/>
  </r>
  <r>
    <x v="998"/>
    <x v="994"/>
    <d v="1959-10-26T00:00:00"/>
    <d v="2001-02-20T00:00:00"/>
    <x v="3"/>
    <x v="996"/>
    <x v="4"/>
    <x v="1"/>
    <x v="285"/>
    <x v="5"/>
    <x v="11"/>
  </r>
  <r>
    <x v="999"/>
    <x v="995"/>
    <d v="1971-07-05T00:00:00"/>
    <d v="2006-04-06T00:00:00"/>
    <x v="5"/>
    <x v="997"/>
    <x v="9"/>
    <x v="1"/>
    <x v="530"/>
    <x v="3"/>
    <x v="19"/>
  </r>
  <r>
    <x v="1000"/>
    <x v="996"/>
    <d v="1999-04-19T00:00:00"/>
    <d v="2005-03-04T00:00:00"/>
    <x v="0"/>
    <x v="998"/>
    <x v="6"/>
    <x v="1"/>
    <x v="515"/>
    <x v="3"/>
    <x v="9"/>
  </r>
  <r>
    <x v="1001"/>
    <x v="997"/>
    <d v="1977-05-16T00:00:00"/>
    <d v="2002-03-19T00:00:00"/>
    <x v="1"/>
    <x v="999"/>
    <x v="3"/>
    <x v="1"/>
    <x v="418"/>
    <x v="2"/>
    <x v="27"/>
  </r>
  <r>
    <x v="1002"/>
    <x v="998"/>
    <d v="1997-02-14T00:00:00"/>
    <d v="2021-01-01T00:00:00"/>
    <x v="0"/>
    <x v="1000"/>
    <x v="9"/>
    <x v="0"/>
    <x v="605"/>
    <x v="5"/>
    <x v="52"/>
  </r>
  <r>
    <x v="1003"/>
    <x v="999"/>
    <d v="1987-03-16T00:00:00"/>
    <d v="2017-07-04T00:00:00"/>
    <x v="6"/>
    <x v="1001"/>
    <x v="1"/>
    <x v="0"/>
    <x v="606"/>
    <x v="0"/>
    <x v="47"/>
  </r>
  <r>
    <x v="1004"/>
    <x v="1000"/>
    <d v="1983-08-25T00:00:00"/>
    <d v="1983-02-25T00:00:00"/>
    <x v="3"/>
    <x v="1002"/>
    <x v="8"/>
    <x v="0"/>
    <x v="607"/>
    <x v="1"/>
    <x v="20"/>
  </r>
  <r>
    <x v="1005"/>
    <x v="1001"/>
    <d v="1972-03-29T00:00:00"/>
    <d v="1993-12-02T00:00:00"/>
    <x v="2"/>
    <x v="1003"/>
    <x v="2"/>
    <x v="1"/>
    <x v="415"/>
    <x v="0"/>
    <x v="42"/>
  </r>
  <r>
    <x v="1006"/>
    <x v="1002"/>
    <d v="1979-05-13T00:00:00"/>
    <d v="2006-05-09T00:00:00"/>
    <x v="0"/>
    <x v="1004"/>
    <x v="0"/>
    <x v="0"/>
    <x v="207"/>
    <x v="4"/>
    <x v="19"/>
  </r>
  <r>
    <x v="1007"/>
    <x v="1003"/>
    <d v="1967-06-02T00:00:00"/>
    <d v="1975-12-15T00:00:00"/>
    <x v="0"/>
    <x v="1005"/>
    <x v="4"/>
    <x v="1"/>
    <x v="608"/>
    <x v="3"/>
    <x v="18"/>
  </r>
  <r>
    <x v="1008"/>
    <x v="1004"/>
    <d v="1977-01-20T00:00:00"/>
    <d v="2018-06-16T00:00:00"/>
    <x v="5"/>
    <x v="1006"/>
    <x v="3"/>
    <x v="1"/>
    <x v="561"/>
    <x v="6"/>
    <x v="1"/>
  </r>
  <r>
    <x v="1009"/>
    <x v="1005"/>
    <d v="1996-05-04T00:00:00"/>
    <d v="2013-09-05T00:00:00"/>
    <x v="4"/>
    <x v="1007"/>
    <x v="3"/>
    <x v="1"/>
    <x v="197"/>
    <x v="1"/>
    <x v="40"/>
  </r>
  <r>
    <x v="1010"/>
    <x v="1006"/>
    <d v="1973-09-06T00:00:00"/>
    <d v="1984-06-24T00:00:00"/>
    <x v="1"/>
    <x v="1008"/>
    <x v="9"/>
    <x v="1"/>
    <x v="280"/>
    <x v="2"/>
    <x v="38"/>
  </r>
  <r>
    <x v="1011"/>
    <x v="1007"/>
    <d v="1975-06-30T00:00:00"/>
    <d v="2020-08-17T00:00:00"/>
    <x v="0"/>
    <x v="1009"/>
    <x v="3"/>
    <x v="1"/>
    <x v="457"/>
    <x v="3"/>
    <x v="32"/>
  </r>
  <r>
    <x v="1012"/>
    <x v="1008"/>
    <d v="1989-04-17T00:00:00"/>
    <d v="1971-05-19T00:00:00"/>
    <x v="4"/>
    <x v="1010"/>
    <x v="1"/>
    <x v="0"/>
    <x v="430"/>
    <x v="5"/>
    <x v="44"/>
  </r>
  <r>
    <x v="1013"/>
    <x v="1009"/>
    <d v="1964-11-29T00:00:00"/>
    <d v="2000-10-18T00:00:00"/>
    <x v="6"/>
    <x v="1011"/>
    <x v="5"/>
    <x v="1"/>
    <x v="609"/>
    <x v="6"/>
    <x v="3"/>
  </r>
  <r>
    <x v="1014"/>
    <x v="1010"/>
    <d v="2002-07-08T00:00:00"/>
    <d v="1992-10-25T00:00:00"/>
    <x v="5"/>
    <x v="1012"/>
    <x v="1"/>
    <x v="1"/>
    <x v="65"/>
    <x v="1"/>
    <x v="24"/>
  </r>
  <r>
    <x v="1015"/>
    <x v="1011"/>
    <d v="1985-03-03T00:00:00"/>
    <d v="1978-03-27T00:00:00"/>
    <x v="0"/>
    <x v="1013"/>
    <x v="0"/>
    <x v="0"/>
    <x v="610"/>
    <x v="3"/>
    <x v="14"/>
  </r>
  <r>
    <x v="1016"/>
    <x v="1012"/>
    <d v="2002-11-03T00:00:00"/>
    <d v="2013-03-26T00:00:00"/>
    <x v="6"/>
    <x v="1014"/>
    <x v="4"/>
    <x v="0"/>
    <x v="611"/>
    <x v="0"/>
    <x v="40"/>
  </r>
  <r>
    <x v="1017"/>
    <x v="1013"/>
    <d v="1973-10-17T00:00:00"/>
    <d v="2016-11-14T00:00:00"/>
    <x v="4"/>
    <x v="1015"/>
    <x v="0"/>
    <x v="0"/>
    <x v="612"/>
    <x v="2"/>
    <x v="48"/>
  </r>
  <r>
    <x v="1018"/>
    <x v="1014"/>
    <d v="1996-01-19T00:00:00"/>
    <d v="1973-02-20T00:00:00"/>
    <x v="3"/>
    <x v="1016"/>
    <x v="2"/>
    <x v="0"/>
    <x v="613"/>
    <x v="6"/>
    <x v="29"/>
  </r>
  <r>
    <x v="1019"/>
    <x v="1015"/>
    <d v="1973-08-24T00:00:00"/>
    <d v="2004-10-22T00:00:00"/>
    <x v="0"/>
    <x v="1017"/>
    <x v="0"/>
    <x v="1"/>
    <x v="326"/>
    <x v="5"/>
    <x v="28"/>
  </r>
  <r>
    <x v="1020"/>
    <x v="1016"/>
    <d v="1988-02-12T00:00:00"/>
    <d v="2007-04-19T00:00:00"/>
    <x v="5"/>
    <x v="1018"/>
    <x v="7"/>
    <x v="1"/>
    <x v="492"/>
    <x v="0"/>
    <x v="35"/>
  </r>
  <r>
    <x v="1021"/>
    <x v="1017"/>
    <d v="1960-09-30T00:00:00"/>
    <d v="2019-02-04T00:00:00"/>
    <x v="4"/>
    <x v="1019"/>
    <x v="9"/>
    <x v="0"/>
    <x v="614"/>
    <x v="2"/>
    <x v="8"/>
  </r>
  <r>
    <x v="1022"/>
    <x v="1018"/>
    <d v="1962-03-29T00:00:00"/>
    <d v="2003-07-17T00:00:00"/>
    <x v="5"/>
    <x v="1020"/>
    <x v="8"/>
    <x v="0"/>
    <x v="365"/>
    <x v="1"/>
    <x v="10"/>
  </r>
  <r>
    <x v="1023"/>
    <x v="1019"/>
    <d v="1967-05-20T00:00:00"/>
    <d v="1996-09-24T00:00:00"/>
    <x v="2"/>
    <x v="1021"/>
    <x v="7"/>
    <x v="0"/>
    <x v="595"/>
    <x v="1"/>
    <x v="30"/>
  </r>
  <r>
    <x v="1024"/>
    <x v="1020"/>
    <d v="1984-01-19T00:00:00"/>
    <d v="1980-08-14T00:00:00"/>
    <x v="1"/>
    <x v="1022"/>
    <x v="0"/>
    <x v="0"/>
    <x v="11"/>
    <x v="3"/>
    <x v="33"/>
  </r>
  <r>
    <x v="1025"/>
    <x v="1021"/>
    <d v="1962-02-10T00:00:00"/>
    <d v="1992-02-21T00:00:00"/>
    <x v="5"/>
    <x v="1023"/>
    <x v="9"/>
    <x v="1"/>
    <x v="264"/>
    <x v="2"/>
    <x v="24"/>
  </r>
  <r>
    <x v="1026"/>
    <x v="1022"/>
    <d v="2001-03-06T00:00:00"/>
    <d v="1985-04-15T00:00:00"/>
    <x v="1"/>
    <x v="1024"/>
    <x v="0"/>
    <x v="1"/>
    <x v="186"/>
    <x v="4"/>
    <x v="12"/>
  </r>
  <r>
    <x v="1027"/>
    <x v="1023"/>
    <d v="1989-10-26T00:00:00"/>
    <d v="1990-07-25T00:00:00"/>
    <x v="5"/>
    <x v="1025"/>
    <x v="5"/>
    <x v="0"/>
    <x v="495"/>
    <x v="0"/>
    <x v="50"/>
  </r>
  <r>
    <x v="1028"/>
    <x v="1024"/>
    <d v="1991-03-08T00:00:00"/>
    <d v="2013-04-04T00:00:00"/>
    <x v="2"/>
    <x v="1026"/>
    <x v="0"/>
    <x v="1"/>
    <x v="615"/>
    <x v="6"/>
    <x v="40"/>
  </r>
  <r>
    <x v="1029"/>
    <x v="1025"/>
    <d v="2002-11-25T00:00:00"/>
    <d v="1980-06-02T00:00:00"/>
    <x v="3"/>
    <x v="1027"/>
    <x v="2"/>
    <x v="1"/>
    <x v="270"/>
    <x v="6"/>
    <x v="33"/>
  </r>
  <r>
    <x v="1030"/>
    <x v="1026"/>
    <d v="1996-02-12T00:00:00"/>
    <d v="1989-03-24T00:00:00"/>
    <x v="1"/>
    <x v="1028"/>
    <x v="8"/>
    <x v="1"/>
    <x v="514"/>
    <x v="4"/>
    <x v="21"/>
  </r>
  <r>
    <x v="1031"/>
    <x v="1027"/>
    <d v="1986-05-10T00:00:00"/>
    <d v="1972-01-09T00:00:00"/>
    <x v="3"/>
    <x v="1029"/>
    <x v="8"/>
    <x v="1"/>
    <x v="414"/>
    <x v="3"/>
    <x v="13"/>
  </r>
  <r>
    <x v="1032"/>
    <x v="1028"/>
    <d v="1984-12-28T00:00:00"/>
    <d v="2018-07-09T00:00:00"/>
    <x v="1"/>
    <x v="1030"/>
    <x v="6"/>
    <x v="0"/>
    <x v="47"/>
    <x v="2"/>
    <x v="1"/>
  </r>
  <r>
    <x v="1033"/>
    <x v="1029"/>
    <d v="1969-11-22T00:00:00"/>
    <d v="1990-01-25T00:00:00"/>
    <x v="6"/>
    <x v="1031"/>
    <x v="1"/>
    <x v="0"/>
    <x v="307"/>
    <x v="2"/>
    <x v="50"/>
  </r>
  <r>
    <x v="1034"/>
    <x v="1030"/>
    <d v="1986-10-20T00:00:00"/>
    <d v="2012-11-03T00:00:00"/>
    <x v="2"/>
    <x v="1032"/>
    <x v="7"/>
    <x v="0"/>
    <x v="616"/>
    <x v="2"/>
    <x v="16"/>
  </r>
  <r>
    <x v="1035"/>
    <x v="1031"/>
    <d v="1977-11-11T00:00:00"/>
    <d v="2005-11-18T00:00:00"/>
    <x v="2"/>
    <x v="1033"/>
    <x v="6"/>
    <x v="1"/>
    <x v="410"/>
    <x v="4"/>
    <x v="9"/>
  </r>
  <r>
    <x v="1036"/>
    <x v="1032"/>
    <d v="1981-12-25T00:00:00"/>
    <d v="1993-07-03T00:00:00"/>
    <x v="4"/>
    <x v="1034"/>
    <x v="9"/>
    <x v="0"/>
    <x v="270"/>
    <x v="4"/>
    <x v="42"/>
  </r>
  <r>
    <x v="1037"/>
    <x v="1033"/>
    <d v="1980-01-05T00:00:00"/>
    <d v="2017-01-28T00:00:00"/>
    <x v="5"/>
    <x v="1035"/>
    <x v="2"/>
    <x v="0"/>
    <x v="617"/>
    <x v="0"/>
    <x v="47"/>
  </r>
  <r>
    <x v="1038"/>
    <x v="1034"/>
    <d v="1968-07-14T00:00:00"/>
    <d v="2014-04-02T00:00:00"/>
    <x v="0"/>
    <x v="1036"/>
    <x v="9"/>
    <x v="1"/>
    <x v="57"/>
    <x v="6"/>
    <x v="0"/>
  </r>
  <r>
    <x v="1039"/>
    <x v="1035"/>
    <d v="1994-12-01T00:00:00"/>
    <d v="2012-06-11T00:00:00"/>
    <x v="4"/>
    <x v="1037"/>
    <x v="0"/>
    <x v="1"/>
    <x v="388"/>
    <x v="4"/>
    <x v="16"/>
  </r>
  <r>
    <x v="1040"/>
    <x v="1036"/>
    <d v="1980-06-22T00:00:00"/>
    <d v="2019-02-08T00:00:00"/>
    <x v="1"/>
    <x v="1038"/>
    <x v="4"/>
    <x v="0"/>
    <x v="241"/>
    <x v="1"/>
    <x v="8"/>
  </r>
  <r>
    <x v="1041"/>
    <x v="1037"/>
    <d v="1982-01-24T00:00:00"/>
    <d v="1974-10-16T00:00:00"/>
    <x v="5"/>
    <x v="1039"/>
    <x v="4"/>
    <x v="0"/>
    <x v="400"/>
    <x v="0"/>
    <x v="49"/>
  </r>
  <r>
    <x v="1042"/>
    <x v="1038"/>
    <d v="1984-12-02T00:00:00"/>
    <d v="1970-07-22T00:00:00"/>
    <x v="5"/>
    <x v="1040"/>
    <x v="3"/>
    <x v="0"/>
    <x v="39"/>
    <x v="2"/>
    <x v="5"/>
  </r>
  <r>
    <x v="1043"/>
    <x v="1039"/>
    <d v="1971-04-30T00:00:00"/>
    <d v="1996-01-13T00:00:00"/>
    <x v="4"/>
    <x v="1041"/>
    <x v="6"/>
    <x v="1"/>
    <x v="36"/>
    <x v="3"/>
    <x v="30"/>
  </r>
  <r>
    <x v="1044"/>
    <x v="1040"/>
    <d v="1994-07-25T00:00:00"/>
    <d v="1984-10-03T00:00:00"/>
    <x v="3"/>
    <x v="1042"/>
    <x v="9"/>
    <x v="1"/>
    <x v="382"/>
    <x v="3"/>
    <x v="38"/>
  </r>
  <r>
    <x v="1045"/>
    <x v="1041"/>
    <d v="1965-05-25T00:00:00"/>
    <d v="1984-03-09T00:00:00"/>
    <x v="3"/>
    <x v="1043"/>
    <x v="2"/>
    <x v="0"/>
    <x v="407"/>
    <x v="3"/>
    <x v="38"/>
  </r>
  <r>
    <x v="1046"/>
    <x v="1042"/>
    <d v="1992-12-02T00:00:00"/>
    <d v="2002-06-25T00:00:00"/>
    <x v="1"/>
    <x v="1044"/>
    <x v="6"/>
    <x v="1"/>
    <x v="237"/>
    <x v="2"/>
    <x v="27"/>
  </r>
  <r>
    <x v="1047"/>
    <x v="1043"/>
    <d v="1984-03-12T00:00:00"/>
    <d v="1994-03-07T00:00:00"/>
    <x v="1"/>
    <x v="1045"/>
    <x v="6"/>
    <x v="0"/>
    <x v="84"/>
    <x v="3"/>
    <x v="45"/>
  </r>
  <r>
    <x v="1048"/>
    <x v="1044"/>
    <d v="1990-03-13T00:00:00"/>
    <d v="2000-03-12T00:00:00"/>
    <x v="0"/>
    <x v="1046"/>
    <x v="6"/>
    <x v="1"/>
    <x v="255"/>
    <x v="1"/>
    <x v="3"/>
  </r>
  <r>
    <x v="1049"/>
    <x v="1045"/>
    <d v="1996-08-08T00:00:00"/>
    <d v="2000-07-08T00:00:00"/>
    <x v="0"/>
    <x v="1047"/>
    <x v="7"/>
    <x v="0"/>
    <x v="243"/>
    <x v="1"/>
    <x v="3"/>
  </r>
  <r>
    <x v="1050"/>
    <x v="1046"/>
    <d v="1998-06-14T00:00:00"/>
    <d v="2004-10-16T00:00:00"/>
    <x v="6"/>
    <x v="1048"/>
    <x v="0"/>
    <x v="0"/>
    <x v="219"/>
    <x v="0"/>
    <x v="28"/>
  </r>
  <r>
    <x v="1051"/>
    <x v="1047"/>
    <d v="1964-01-30T00:00:00"/>
    <d v="2022-10-17T00:00:00"/>
    <x v="5"/>
    <x v="1049"/>
    <x v="5"/>
    <x v="0"/>
    <x v="618"/>
    <x v="5"/>
    <x v="39"/>
  </r>
  <r>
    <x v="1052"/>
    <x v="1048"/>
    <d v="1982-06-06T00:00:00"/>
    <d v="2015-08-11T00:00:00"/>
    <x v="1"/>
    <x v="1050"/>
    <x v="1"/>
    <x v="0"/>
    <x v="619"/>
    <x v="2"/>
    <x v="43"/>
  </r>
  <r>
    <x v="1053"/>
    <x v="1049"/>
    <d v="1997-04-14T00:00:00"/>
    <d v="1971-08-06T00:00:00"/>
    <x v="1"/>
    <x v="1051"/>
    <x v="3"/>
    <x v="0"/>
    <x v="620"/>
    <x v="3"/>
    <x v="44"/>
  </r>
  <r>
    <x v="1054"/>
    <x v="1050"/>
    <d v="1996-02-21T00:00:00"/>
    <d v="1975-07-13T00:00:00"/>
    <x v="4"/>
    <x v="1052"/>
    <x v="8"/>
    <x v="0"/>
    <x v="621"/>
    <x v="0"/>
    <x v="18"/>
  </r>
  <r>
    <x v="1055"/>
    <x v="1051"/>
    <d v="2002-05-29T00:00:00"/>
    <d v="2016-01-09T00:00:00"/>
    <x v="0"/>
    <x v="1053"/>
    <x v="3"/>
    <x v="1"/>
    <x v="485"/>
    <x v="6"/>
    <x v="48"/>
  </r>
  <r>
    <x v="1056"/>
    <x v="1052"/>
    <d v="1995-06-22T00:00:00"/>
    <d v="2010-01-27T00:00:00"/>
    <x v="4"/>
    <x v="1054"/>
    <x v="9"/>
    <x v="0"/>
    <x v="525"/>
    <x v="4"/>
    <x v="2"/>
  </r>
  <r>
    <x v="1057"/>
    <x v="1053"/>
    <d v="1987-04-09T00:00:00"/>
    <d v="1994-06-21T00:00:00"/>
    <x v="5"/>
    <x v="1055"/>
    <x v="1"/>
    <x v="0"/>
    <x v="622"/>
    <x v="1"/>
    <x v="45"/>
  </r>
  <r>
    <x v="1058"/>
    <x v="1054"/>
    <d v="1973-11-03T00:00:00"/>
    <d v="1998-08-22T00:00:00"/>
    <x v="5"/>
    <x v="1056"/>
    <x v="7"/>
    <x v="1"/>
    <x v="623"/>
    <x v="0"/>
    <x v="7"/>
  </r>
  <r>
    <x v="1059"/>
    <x v="1055"/>
    <d v="1974-08-07T00:00:00"/>
    <d v="1989-10-07T00:00:00"/>
    <x v="5"/>
    <x v="1057"/>
    <x v="5"/>
    <x v="1"/>
    <x v="624"/>
    <x v="6"/>
    <x v="21"/>
  </r>
  <r>
    <x v="1060"/>
    <x v="1056"/>
    <d v="1997-09-29T00:00:00"/>
    <d v="1984-10-24T00:00:00"/>
    <x v="0"/>
    <x v="1058"/>
    <x v="2"/>
    <x v="0"/>
    <x v="123"/>
    <x v="5"/>
    <x v="38"/>
  </r>
  <r>
    <x v="1061"/>
    <x v="1057"/>
    <d v="1986-04-24T00:00:00"/>
    <d v="1970-05-19T00:00:00"/>
    <x v="5"/>
    <x v="1059"/>
    <x v="5"/>
    <x v="0"/>
    <x v="225"/>
    <x v="3"/>
    <x v="5"/>
  </r>
  <r>
    <x v="1062"/>
    <x v="1058"/>
    <d v="1987-08-26T00:00:00"/>
    <d v="1975-07-07T00:00:00"/>
    <x v="0"/>
    <x v="1060"/>
    <x v="9"/>
    <x v="1"/>
    <x v="333"/>
    <x v="5"/>
    <x v="18"/>
  </r>
  <r>
    <x v="1063"/>
    <x v="1059"/>
    <d v="1997-06-07T00:00:00"/>
    <d v="1979-05-02T00:00:00"/>
    <x v="3"/>
    <x v="1061"/>
    <x v="8"/>
    <x v="1"/>
    <x v="625"/>
    <x v="6"/>
    <x v="36"/>
  </r>
  <r>
    <x v="1064"/>
    <x v="1060"/>
    <d v="1963-01-06T00:00:00"/>
    <d v="2017-08-27T00:00:00"/>
    <x v="2"/>
    <x v="1062"/>
    <x v="3"/>
    <x v="0"/>
    <x v="299"/>
    <x v="2"/>
    <x v="47"/>
  </r>
  <r>
    <x v="1065"/>
    <x v="1061"/>
    <d v="1967-05-26T00:00:00"/>
    <d v="1988-04-11T00:00:00"/>
    <x v="0"/>
    <x v="1063"/>
    <x v="5"/>
    <x v="1"/>
    <x v="626"/>
    <x v="1"/>
    <x v="37"/>
  </r>
  <r>
    <x v="1066"/>
    <x v="1062"/>
    <d v="1997-05-31T00:00:00"/>
    <d v="1993-05-28T00:00:00"/>
    <x v="3"/>
    <x v="1064"/>
    <x v="4"/>
    <x v="1"/>
    <x v="157"/>
    <x v="4"/>
    <x v="42"/>
  </r>
  <r>
    <x v="1067"/>
    <x v="1063"/>
    <d v="1997-06-30T00:00:00"/>
    <d v="1982-02-08T00:00:00"/>
    <x v="4"/>
    <x v="607"/>
    <x v="0"/>
    <x v="1"/>
    <x v="627"/>
    <x v="5"/>
    <x v="51"/>
  </r>
  <r>
    <x v="1068"/>
    <x v="1064"/>
    <d v="1967-12-31T00:00:00"/>
    <d v="2006-05-03T00:00:00"/>
    <x v="2"/>
    <x v="1065"/>
    <x v="1"/>
    <x v="1"/>
    <x v="628"/>
    <x v="4"/>
    <x v="19"/>
  </r>
  <r>
    <x v="1069"/>
    <x v="1065"/>
    <d v="1974-04-18T00:00:00"/>
    <d v="1993-03-08T00:00:00"/>
    <x v="2"/>
    <x v="1066"/>
    <x v="1"/>
    <x v="0"/>
    <x v="394"/>
    <x v="0"/>
    <x v="42"/>
  </r>
  <r>
    <x v="1070"/>
    <x v="1066"/>
    <d v="1983-03-18T00:00:00"/>
    <d v="1979-02-12T00:00:00"/>
    <x v="4"/>
    <x v="1067"/>
    <x v="7"/>
    <x v="1"/>
    <x v="435"/>
    <x v="1"/>
    <x v="36"/>
  </r>
  <r>
    <x v="1071"/>
    <x v="1067"/>
    <d v="1991-06-25T00:00:00"/>
    <d v="1991-11-05T00:00:00"/>
    <x v="5"/>
    <x v="1068"/>
    <x v="6"/>
    <x v="1"/>
    <x v="179"/>
    <x v="2"/>
    <x v="34"/>
  </r>
  <r>
    <x v="1072"/>
    <x v="1068"/>
    <d v="1964-01-30T00:00:00"/>
    <d v="1993-04-04T00:00:00"/>
    <x v="4"/>
    <x v="1069"/>
    <x v="0"/>
    <x v="0"/>
    <x v="409"/>
    <x v="6"/>
    <x v="42"/>
  </r>
  <r>
    <x v="1073"/>
    <x v="1069"/>
    <d v="1973-12-01T00:00:00"/>
    <d v="2018-06-03T00:00:00"/>
    <x v="1"/>
    <x v="1070"/>
    <x v="6"/>
    <x v="1"/>
    <x v="629"/>
    <x v="5"/>
    <x v="1"/>
  </r>
  <r>
    <x v="1074"/>
    <x v="1070"/>
    <d v="1993-09-06T00:00:00"/>
    <d v="2009-10-09T00:00:00"/>
    <x v="4"/>
    <x v="1071"/>
    <x v="5"/>
    <x v="0"/>
    <x v="412"/>
    <x v="0"/>
    <x v="25"/>
  </r>
  <r>
    <x v="1075"/>
    <x v="1071"/>
    <d v="1971-09-01T00:00:00"/>
    <d v="1982-09-10T00:00:00"/>
    <x v="6"/>
    <x v="1072"/>
    <x v="3"/>
    <x v="1"/>
    <x v="630"/>
    <x v="4"/>
    <x v="51"/>
  </r>
  <r>
    <x v="1076"/>
    <x v="1072"/>
    <d v="1973-02-01T00:00:00"/>
    <d v="2002-09-06T00:00:00"/>
    <x v="4"/>
    <x v="1073"/>
    <x v="5"/>
    <x v="0"/>
    <x v="631"/>
    <x v="1"/>
    <x v="27"/>
  </r>
  <r>
    <x v="1077"/>
    <x v="1073"/>
    <d v="1989-07-25T00:00:00"/>
    <d v="1981-07-22T00:00:00"/>
    <x v="5"/>
    <x v="1074"/>
    <x v="8"/>
    <x v="1"/>
    <x v="632"/>
    <x v="3"/>
    <x v="15"/>
  </r>
  <r>
    <x v="1078"/>
    <x v="1074"/>
    <d v="1971-11-09T00:00:00"/>
    <d v="2004-09-03T00:00:00"/>
    <x v="0"/>
    <x v="1075"/>
    <x v="0"/>
    <x v="0"/>
    <x v="240"/>
    <x v="2"/>
    <x v="28"/>
  </r>
  <r>
    <x v="1079"/>
    <x v="1075"/>
    <d v="1959-06-13T00:00:00"/>
    <d v="1973-07-03T00:00:00"/>
    <x v="1"/>
    <x v="1076"/>
    <x v="0"/>
    <x v="1"/>
    <x v="633"/>
    <x v="3"/>
    <x v="29"/>
  </r>
  <r>
    <x v="1080"/>
    <x v="1076"/>
    <d v="2000-01-21T00:00:00"/>
    <d v="2014-08-24T00:00:00"/>
    <x v="2"/>
    <x v="1077"/>
    <x v="8"/>
    <x v="1"/>
    <x v="502"/>
    <x v="3"/>
    <x v="0"/>
  </r>
  <r>
    <x v="1081"/>
    <x v="1077"/>
    <d v="1987-03-23T00:00:00"/>
    <d v="2000-01-04T00:00:00"/>
    <x v="6"/>
    <x v="1078"/>
    <x v="2"/>
    <x v="1"/>
    <x v="508"/>
    <x v="6"/>
    <x v="3"/>
  </r>
  <r>
    <x v="1082"/>
    <x v="1078"/>
    <d v="1966-10-05T00:00:00"/>
    <d v="2006-11-12T00:00:00"/>
    <x v="0"/>
    <x v="1079"/>
    <x v="4"/>
    <x v="1"/>
    <x v="94"/>
    <x v="3"/>
    <x v="19"/>
  </r>
  <r>
    <x v="1083"/>
    <x v="1079"/>
    <d v="1959-05-08T00:00:00"/>
    <d v="1985-05-14T00:00:00"/>
    <x v="0"/>
    <x v="1080"/>
    <x v="9"/>
    <x v="1"/>
    <x v="209"/>
    <x v="0"/>
    <x v="12"/>
  </r>
  <r>
    <x v="1084"/>
    <x v="1080"/>
    <d v="1982-02-04T00:00:00"/>
    <d v="2008-11-12T00:00:00"/>
    <x v="4"/>
    <x v="1081"/>
    <x v="5"/>
    <x v="0"/>
    <x v="509"/>
    <x v="4"/>
    <x v="17"/>
  </r>
  <r>
    <x v="1085"/>
    <x v="1081"/>
    <d v="1977-01-18T00:00:00"/>
    <d v="1975-06-28T00:00:00"/>
    <x v="3"/>
    <x v="1082"/>
    <x v="4"/>
    <x v="0"/>
    <x v="634"/>
    <x v="2"/>
    <x v="18"/>
  </r>
  <r>
    <x v="1086"/>
    <x v="1082"/>
    <d v="1987-03-21T00:00:00"/>
    <d v="2014-06-10T00:00:00"/>
    <x v="1"/>
    <x v="1083"/>
    <x v="5"/>
    <x v="1"/>
    <x v="635"/>
    <x v="4"/>
    <x v="0"/>
  </r>
  <r>
    <x v="1087"/>
    <x v="1083"/>
    <d v="1974-07-27T00:00:00"/>
    <d v="1987-02-28T00:00:00"/>
    <x v="0"/>
    <x v="1084"/>
    <x v="7"/>
    <x v="0"/>
    <x v="636"/>
    <x v="4"/>
    <x v="46"/>
  </r>
  <r>
    <x v="1088"/>
    <x v="1084"/>
    <d v="2002-09-24T00:00:00"/>
    <d v="1994-12-06T00:00:00"/>
    <x v="3"/>
    <x v="1085"/>
    <x v="6"/>
    <x v="1"/>
    <x v="492"/>
    <x v="6"/>
    <x v="45"/>
  </r>
  <r>
    <x v="1089"/>
    <x v="1085"/>
    <d v="1994-09-20T00:00:00"/>
    <d v="1990-08-01T00:00:00"/>
    <x v="6"/>
    <x v="1086"/>
    <x v="3"/>
    <x v="1"/>
    <x v="539"/>
    <x v="1"/>
    <x v="50"/>
  </r>
  <r>
    <x v="1090"/>
    <x v="1086"/>
    <d v="1968-08-15T00:00:00"/>
    <d v="1978-03-08T00:00:00"/>
    <x v="1"/>
    <x v="1087"/>
    <x v="1"/>
    <x v="0"/>
    <x v="637"/>
    <x v="1"/>
    <x v="14"/>
  </r>
  <r>
    <x v="1091"/>
    <x v="1087"/>
    <d v="1966-08-10T00:00:00"/>
    <d v="1990-08-15T00:00:00"/>
    <x v="2"/>
    <x v="1088"/>
    <x v="7"/>
    <x v="0"/>
    <x v="638"/>
    <x v="5"/>
    <x v="50"/>
  </r>
  <r>
    <x v="1092"/>
    <x v="1088"/>
    <d v="1962-04-06T00:00:00"/>
    <d v="2007-01-23T00:00:00"/>
    <x v="1"/>
    <x v="1089"/>
    <x v="6"/>
    <x v="0"/>
    <x v="98"/>
    <x v="1"/>
    <x v="35"/>
  </r>
  <r>
    <x v="1093"/>
    <x v="1089"/>
    <d v="1994-04-29T00:00:00"/>
    <d v="1993-10-22T00:00:00"/>
    <x v="1"/>
    <x v="1090"/>
    <x v="3"/>
    <x v="1"/>
    <x v="639"/>
    <x v="4"/>
    <x v="42"/>
  </r>
  <r>
    <x v="1094"/>
    <x v="1090"/>
    <d v="1959-12-14T00:00:00"/>
    <d v="1972-06-21T00:00:00"/>
    <x v="6"/>
    <x v="1091"/>
    <x v="3"/>
    <x v="0"/>
    <x v="640"/>
    <x v="1"/>
    <x v="13"/>
  </r>
  <r>
    <x v="1095"/>
    <x v="1091"/>
    <d v="1977-01-22T00:00:00"/>
    <d v="2009-10-21T00:00:00"/>
    <x v="4"/>
    <x v="1092"/>
    <x v="2"/>
    <x v="0"/>
    <x v="103"/>
    <x v="2"/>
    <x v="25"/>
  </r>
  <r>
    <x v="1096"/>
    <x v="1092"/>
    <d v="1982-06-20T00:00:00"/>
    <d v="1972-08-25T00:00:00"/>
    <x v="6"/>
    <x v="1093"/>
    <x v="6"/>
    <x v="0"/>
    <x v="641"/>
    <x v="1"/>
    <x v="13"/>
  </r>
  <r>
    <x v="1097"/>
    <x v="1093"/>
    <d v="1977-07-02T00:00:00"/>
    <d v="1985-06-26T00:00:00"/>
    <x v="4"/>
    <x v="1094"/>
    <x v="4"/>
    <x v="0"/>
    <x v="642"/>
    <x v="6"/>
    <x v="12"/>
  </r>
  <r>
    <x v="1098"/>
    <x v="1094"/>
    <d v="1962-08-14T00:00:00"/>
    <d v="2000-09-09T00:00:00"/>
    <x v="0"/>
    <x v="1095"/>
    <x v="4"/>
    <x v="1"/>
    <x v="20"/>
    <x v="1"/>
    <x v="3"/>
  </r>
  <r>
    <x v="1099"/>
    <x v="1095"/>
    <d v="1996-03-22T00:00:00"/>
    <d v="2009-03-02T00:00:00"/>
    <x v="2"/>
    <x v="1096"/>
    <x v="5"/>
    <x v="0"/>
    <x v="643"/>
    <x v="3"/>
    <x v="25"/>
  </r>
  <r>
    <x v="1100"/>
    <x v="1096"/>
    <d v="1986-02-16T00:00:00"/>
    <d v="1995-09-07T00:00:00"/>
    <x v="1"/>
    <x v="1097"/>
    <x v="4"/>
    <x v="0"/>
    <x v="644"/>
    <x v="1"/>
    <x v="41"/>
  </r>
  <r>
    <x v="1101"/>
    <x v="1097"/>
    <d v="1976-04-23T00:00:00"/>
    <d v="2015-02-10T00:00:00"/>
    <x v="4"/>
    <x v="1098"/>
    <x v="7"/>
    <x v="0"/>
    <x v="71"/>
    <x v="2"/>
    <x v="43"/>
  </r>
  <r>
    <x v="1102"/>
    <x v="1098"/>
    <d v="1988-08-16T00:00:00"/>
    <d v="1992-06-03T00:00:00"/>
    <x v="6"/>
    <x v="1099"/>
    <x v="5"/>
    <x v="0"/>
    <x v="317"/>
    <x v="3"/>
    <x v="24"/>
  </r>
  <r>
    <x v="1103"/>
    <x v="1099"/>
    <d v="1989-05-25T00:00:00"/>
    <d v="1974-11-18T00:00:00"/>
    <x v="0"/>
    <x v="1100"/>
    <x v="8"/>
    <x v="0"/>
    <x v="535"/>
    <x v="6"/>
    <x v="49"/>
  </r>
  <r>
    <x v="1104"/>
    <x v="1100"/>
    <d v="1964-09-02T00:00:00"/>
    <d v="1975-01-09T00:00:00"/>
    <x v="4"/>
    <x v="1101"/>
    <x v="5"/>
    <x v="1"/>
    <x v="645"/>
    <x v="6"/>
    <x v="18"/>
  </r>
  <r>
    <x v="1105"/>
    <x v="1101"/>
    <d v="1963-02-09T00:00:00"/>
    <d v="1989-08-25T00:00:00"/>
    <x v="2"/>
    <x v="1102"/>
    <x v="7"/>
    <x v="1"/>
    <x v="575"/>
    <x v="3"/>
    <x v="21"/>
  </r>
  <r>
    <x v="1106"/>
    <x v="1102"/>
    <d v="1986-07-09T00:00:00"/>
    <d v="2016-11-17T00:00:00"/>
    <x v="1"/>
    <x v="1103"/>
    <x v="7"/>
    <x v="0"/>
    <x v="49"/>
    <x v="0"/>
    <x v="48"/>
  </r>
  <r>
    <x v="1107"/>
    <x v="1103"/>
    <d v="1979-05-07T00:00:00"/>
    <d v="1972-10-09T00:00:00"/>
    <x v="6"/>
    <x v="1104"/>
    <x v="5"/>
    <x v="1"/>
    <x v="313"/>
    <x v="1"/>
    <x v="13"/>
  </r>
  <r>
    <x v="1108"/>
    <x v="1104"/>
    <d v="1996-07-24T00:00:00"/>
    <d v="1983-12-11T00:00:00"/>
    <x v="2"/>
    <x v="1105"/>
    <x v="5"/>
    <x v="1"/>
    <x v="271"/>
    <x v="3"/>
    <x v="20"/>
  </r>
  <r>
    <x v="1109"/>
    <x v="1105"/>
    <d v="1975-05-28T00:00:00"/>
    <d v="1980-09-18T00:00:00"/>
    <x v="1"/>
    <x v="1106"/>
    <x v="2"/>
    <x v="0"/>
    <x v="133"/>
    <x v="2"/>
    <x v="33"/>
  </r>
  <r>
    <x v="1110"/>
    <x v="1106"/>
    <d v="1974-11-16T00:00:00"/>
    <d v="2020-11-28T00:00:00"/>
    <x v="1"/>
    <x v="1107"/>
    <x v="0"/>
    <x v="1"/>
    <x v="243"/>
    <x v="1"/>
    <x v="32"/>
  </r>
  <r>
    <x v="1111"/>
    <x v="1107"/>
    <d v="1964-01-05T00:00:00"/>
    <d v="2017-07-27T00:00:00"/>
    <x v="4"/>
    <x v="1108"/>
    <x v="7"/>
    <x v="1"/>
    <x v="646"/>
    <x v="6"/>
    <x v="47"/>
  </r>
  <r>
    <x v="1112"/>
    <x v="1108"/>
    <d v="1977-12-01T00:00:00"/>
    <d v="2018-05-15T00:00:00"/>
    <x v="5"/>
    <x v="1109"/>
    <x v="4"/>
    <x v="0"/>
    <x v="48"/>
    <x v="6"/>
    <x v="1"/>
  </r>
  <r>
    <x v="1113"/>
    <x v="1109"/>
    <d v="1965-04-10T00:00:00"/>
    <d v="1972-01-02T00:00:00"/>
    <x v="0"/>
    <x v="1110"/>
    <x v="4"/>
    <x v="0"/>
    <x v="515"/>
    <x v="2"/>
    <x v="13"/>
  </r>
  <r>
    <x v="1114"/>
    <x v="1110"/>
    <d v="1961-01-16T00:00:00"/>
    <d v="1991-12-02T00:00:00"/>
    <x v="1"/>
    <x v="1111"/>
    <x v="6"/>
    <x v="1"/>
    <x v="567"/>
    <x v="4"/>
    <x v="34"/>
  </r>
  <r>
    <x v="1115"/>
    <x v="1111"/>
    <d v="1979-05-23T00:00:00"/>
    <d v="2007-09-12T00:00:00"/>
    <x v="4"/>
    <x v="1112"/>
    <x v="2"/>
    <x v="0"/>
    <x v="571"/>
    <x v="6"/>
    <x v="35"/>
  </r>
  <r>
    <x v="1116"/>
    <x v="1112"/>
    <d v="1984-08-15T00:00:00"/>
    <d v="2004-03-11T00:00:00"/>
    <x v="4"/>
    <x v="1113"/>
    <x v="3"/>
    <x v="0"/>
    <x v="647"/>
    <x v="6"/>
    <x v="28"/>
  </r>
  <r>
    <x v="1117"/>
    <x v="1113"/>
    <d v="1983-04-27T00:00:00"/>
    <d v="1974-05-02T00:00:00"/>
    <x v="1"/>
    <x v="1114"/>
    <x v="8"/>
    <x v="0"/>
    <x v="208"/>
    <x v="5"/>
    <x v="49"/>
  </r>
  <r>
    <x v="1118"/>
    <x v="1114"/>
    <d v="1996-08-05T00:00:00"/>
    <d v="1980-01-29T00:00:00"/>
    <x v="5"/>
    <x v="1115"/>
    <x v="4"/>
    <x v="1"/>
    <x v="365"/>
    <x v="3"/>
    <x v="33"/>
  </r>
  <r>
    <x v="1119"/>
    <x v="1115"/>
    <d v="1963-10-01T00:00:00"/>
    <d v="1974-04-01T00:00:00"/>
    <x v="1"/>
    <x v="1116"/>
    <x v="0"/>
    <x v="0"/>
    <x v="648"/>
    <x v="2"/>
    <x v="49"/>
  </r>
  <r>
    <x v="1120"/>
    <x v="1116"/>
    <d v="1973-11-07T00:00:00"/>
    <d v="1992-06-02T00:00:00"/>
    <x v="3"/>
    <x v="1117"/>
    <x v="2"/>
    <x v="0"/>
    <x v="171"/>
    <x v="3"/>
    <x v="24"/>
  </r>
  <r>
    <x v="1121"/>
    <x v="1117"/>
    <d v="1988-10-24T00:00:00"/>
    <d v="2013-06-24T00:00:00"/>
    <x v="1"/>
    <x v="1118"/>
    <x v="7"/>
    <x v="1"/>
    <x v="171"/>
    <x v="4"/>
    <x v="40"/>
  </r>
  <r>
    <x v="1122"/>
    <x v="1118"/>
    <d v="1997-09-14T00:00:00"/>
    <d v="1987-08-29T00:00:00"/>
    <x v="6"/>
    <x v="1119"/>
    <x v="5"/>
    <x v="1"/>
    <x v="452"/>
    <x v="5"/>
    <x v="46"/>
  </r>
  <r>
    <x v="1123"/>
    <x v="1119"/>
    <d v="1983-09-01T00:00:00"/>
    <d v="2005-01-06T00:00:00"/>
    <x v="3"/>
    <x v="1120"/>
    <x v="7"/>
    <x v="1"/>
    <x v="471"/>
    <x v="5"/>
    <x v="9"/>
  </r>
  <r>
    <x v="1124"/>
    <x v="1120"/>
    <d v="1993-02-15T00:00:00"/>
    <d v="1977-07-18T00:00:00"/>
    <x v="2"/>
    <x v="1121"/>
    <x v="5"/>
    <x v="0"/>
    <x v="389"/>
    <x v="1"/>
    <x v="31"/>
  </r>
  <r>
    <x v="1125"/>
    <x v="1121"/>
    <d v="1963-10-13T00:00:00"/>
    <d v="1987-07-20T00:00:00"/>
    <x v="2"/>
    <x v="1122"/>
    <x v="8"/>
    <x v="1"/>
    <x v="593"/>
    <x v="6"/>
    <x v="46"/>
  </r>
  <r>
    <x v="1126"/>
    <x v="1122"/>
    <d v="1973-01-21T00:00:00"/>
    <d v="1994-06-11T00:00:00"/>
    <x v="5"/>
    <x v="1123"/>
    <x v="1"/>
    <x v="0"/>
    <x v="390"/>
    <x v="4"/>
    <x v="45"/>
  </r>
  <r>
    <x v="1127"/>
    <x v="1123"/>
    <d v="1975-02-18T00:00:00"/>
    <d v="2021-08-30T00:00:00"/>
    <x v="5"/>
    <x v="1124"/>
    <x v="2"/>
    <x v="1"/>
    <x v="305"/>
    <x v="3"/>
    <x v="52"/>
  </r>
  <r>
    <x v="1128"/>
    <x v="1124"/>
    <d v="1975-03-13T00:00:00"/>
    <d v="1983-03-31T00:00:00"/>
    <x v="5"/>
    <x v="1125"/>
    <x v="3"/>
    <x v="1"/>
    <x v="649"/>
    <x v="0"/>
    <x v="20"/>
  </r>
  <r>
    <x v="1129"/>
    <x v="1125"/>
    <d v="1991-02-03T00:00:00"/>
    <d v="2016-09-11T00:00:00"/>
    <x v="6"/>
    <x v="1126"/>
    <x v="4"/>
    <x v="0"/>
    <x v="352"/>
    <x v="3"/>
    <x v="48"/>
  </r>
  <r>
    <x v="1130"/>
    <x v="1126"/>
    <d v="1985-08-26T00:00:00"/>
    <d v="1980-06-08T00:00:00"/>
    <x v="3"/>
    <x v="1127"/>
    <x v="9"/>
    <x v="0"/>
    <x v="38"/>
    <x v="2"/>
    <x v="33"/>
  </r>
  <r>
    <x v="1131"/>
    <x v="1127"/>
    <d v="1962-02-13T00:00:00"/>
    <d v="1999-02-28T00:00:00"/>
    <x v="0"/>
    <x v="1128"/>
    <x v="3"/>
    <x v="0"/>
    <x v="47"/>
    <x v="3"/>
    <x v="6"/>
  </r>
  <r>
    <x v="1132"/>
    <x v="1128"/>
    <d v="1969-12-20T00:00:00"/>
    <d v="2015-07-07T00:00:00"/>
    <x v="5"/>
    <x v="1129"/>
    <x v="1"/>
    <x v="0"/>
    <x v="523"/>
    <x v="4"/>
    <x v="43"/>
  </r>
  <r>
    <x v="1133"/>
    <x v="1129"/>
    <d v="1981-02-21T00:00:00"/>
    <d v="1994-11-22T00:00:00"/>
    <x v="3"/>
    <x v="1130"/>
    <x v="8"/>
    <x v="0"/>
    <x v="650"/>
    <x v="0"/>
    <x v="45"/>
  </r>
  <r>
    <x v="1134"/>
    <x v="1130"/>
    <d v="1967-07-14T00:00:00"/>
    <d v="1977-08-07T00:00:00"/>
    <x v="2"/>
    <x v="1131"/>
    <x v="2"/>
    <x v="1"/>
    <x v="303"/>
    <x v="5"/>
    <x v="31"/>
  </r>
  <r>
    <x v="1135"/>
    <x v="1131"/>
    <d v="1988-12-04T00:00:00"/>
    <d v="1977-05-06T00:00:00"/>
    <x v="4"/>
    <x v="1132"/>
    <x v="0"/>
    <x v="1"/>
    <x v="312"/>
    <x v="4"/>
    <x v="31"/>
  </r>
  <r>
    <x v="1136"/>
    <x v="1132"/>
    <d v="1963-02-15T00:00:00"/>
    <d v="1997-01-22T00:00:00"/>
    <x v="4"/>
    <x v="1133"/>
    <x v="5"/>
    <x v="1"/>
    <x v="651"/>
    <x v="0"/>
    <x v="23"/>
  </r>
  <r>
    <x v="1137"/>
    <x v="1133"/>
    <d v="1997-04-24T00:00:00"/>
    <d v="1971-07-11T00:00:00"/>
    <x v="1"/>
    <x v="1134"/>
    <x v="1"/>
    <x v="0"/>
    <x v="177"/>
    <x v="1"/>
    <x v="44"/>
  </r>
  <r>
    <x v="1138"/>
    <x v="1134"/>
    <d v="1968-09-01T00:00:00"/>
    <d v="1989-08-12T00:00:00"/>
    <x v="5"/>
    <x v="1135"/>
    <x v="2"/>
    <x v="1"/>
    <x v="470"/>
    <x v="1"/>
    <x v="21"/>
  </r>
  <r>
    <x v="1139"/>
    <x v="1135"/>
    <d v="1959-09-16T00:00:00"/>
    <d v="2015-10-14T00:00:00"/>
    <x v="6"/>
    <x v="1136"/>
    <x v="7"/>
    <x v="0"/>
    <x v="652"/>
    <x v="6"/>
    <x v="43"/>
  </r>
  <r>
    <x v="1140"/>
    <x v="1136"/>
    <d v="1969-05-04T00:00:00"/>
    <d v="1994-01-26T00:00:00"/>
    <x v="3"/>
    <x v="1137"/>
    <x v="7"/>
    <x v="1"/>
    <x v="52"/>
    <x v="4"/>
    <x v="45"/>
  </r>
  <r>
    <x v="1141"/>
    <x v="1137"/>
    <d v="1970-10-02T00:00:00"/>
    <d v="1984-02-16T00:00:00"/>
    <x v="4"/>
    <x v="1138"/>
    <x v="4"/>
    <x v="0"/>
    <x v="282"/>
    <x v="2"/>
    <x v="38"/>
  </r>
  <r>
    <x v="1142"/>
    <x v="1138"/>
    <d v="1971-05-19T00:00:00"/>
    <d v="2018-10-03T00:00:00"/>
    <x v="1"/>
    <x v="1139"/>
    <x v="5"/>
    <x v="0"/>
    <x v="653"/>
    <x v="4"/>
    <x v="1"/>
  </r>
  <r>
    <x v="1143"/>
    <x v="1139"/>
    <d v="1997-09-26T00:00:00"/>
    <d v="2017-09-13T00:00:00"/>
    <x v="4"/>
    <x v="1140"/>
    <x v="4"/>
    <x v="0"/>
    <x v="511"/>
    <x v="0"/>
    <x v="47"/>
  </r>
  <r>
    <x v="1144"/>
    <x v="1140"/>
    <d v="1987-07-15T00:00:00"/>
    <d v="1994-05-24T00:00:00"/>
    <x v="3"/>
    <x v="1141"/>
    <x v="0"/>
    <x v="0"/>
    <x v="21"/>
    <x v="0"/>
    <x v="45"/>
  </r>
  <r>
    <x v="1145"/>
    <x v="1141"/>
    <d v="1993-08-26T00:00:00"/>
    <d v="1979-06-30T00:00:00"/>
    <x v="2"/>
    <x v="1142"/>
    <x v="1"/>
    <x v="1"/>
    <x v="446"/>
    <x v="2"/>
    <x v="36"/>
  </r>
  <r>
    <x v="1146"/>
    <x v="1142"/>
    <d v="1962-11-23T00:00:00"/>
    <d v="2018-11-10T00:00:00"/>
    <x v="6"/>
    <x v="1143"/>
    <x v="1"/>
    <x v="0"/>
    <x v="497"/>
    <x v="5"/>
    <x v="1"/>
  </r>
  <r>
    <x v="1147"/>
    <x v="1143"/>
    <d v="1961-01-18T00:00:00"/>
    <d v="1992-10-19T00:00:00"/>
    <x v="6"/>
    <x v="1144"/>
    <x v="7"/>
    <x v="0"/>
    <x v="654"/>
    <x v="0"/>
    <x v="24"/>
  </r>
  <r>
    <x v="1148"/>
    <x v="1144"/>
    <d v="1988-06-07T00:00:00"/>
    <d v="1976-10-31T00:00:00"/>
    <x v="6"/>
    <x v="1145"/>
    <x v="1"/>
    <x v="1"/>
    <x v="437"/>
    <x v="6"/>
    <x v="26"/>
  </r>
  <r>
    <x v="1149"/>
    <x v="1145"/>
    <d v="1986-02-06T00:00:00"/>
    <d v="1975-04-16T00:00:00"/>
    <x v="6"/>
    <x v="1146"/>
    <x v="7"/>
    <x v="0"/>
    <x v="287"/>
    <x v="3"/>
    <x v="18"/>
  </r>
  <r>
    <x v="1150"/>
    <x v="1146"/>
    <d v="1970-08-10T00:00:00"/>
    <d v="2020-01-26T00:00:00"/>
    <x v="1"/>
    <x v="1147"/>
    <x v="9"/>
    <x v="1"/>
    <x v="362"/>
    <x v="0"/>
    <x v="32"/>
  </r>
  <r>
    <x v="1151"/>
    <x v="1147"/>
    <d v="1988-12-09T00:00:00"/>
    <d v="1982-05-29T00:00:00"/>
    <x v="0"/>
    <x v="1148"/>
    <x v="4"/>
    <x v="0"/>
    <x v="115"/>
    <x v="0"/>
    <x v="51"/>
  </r>
  <r>
    <x v="1152"/>
    <x v="1148"/>
    <d v="1964-12-05T00:00:00"/>
    <d v="1986-04-04T00:00:00"/>
    <x v="0"/>
    <x v="1149"/>
    <x v="2"/>
    <x v="0"/>
    <x v="655"/>
    <x v="1"/>
    <x v="4"/>
  </r>
  <r>
    <x v="1153"/>
    <x v="1149"/>
    <d v="1959-03-25T00:00:00"/>
    <d v="1985-06-18T00:00:00"/>
    <x v="0"/>
    <x v="1150"/>
    <x v="6"/>
    <x v="0"/>
    <x v="265"/>
    <x v="4"/>
    <x v="12"/>
  </r>
  <r>
    <x v="1154"/>
    <x v="1150"/>
    <d v="1961-02-06T00:00:00"/>
    <d v="2018-11-11T00:00:00"/>
    <x v="2"/>
    <x v="1151"/>
    <x v="7"/>
    <x v="0"/>
    <x v="656"/>
    <x v="3"/>
    <x v="1"/>
  </r>
  <r>
    <x v="1155"/>
    <x v="1151"/>
    <d v="1996-04-22T00:00:00"/>
    <d v="1997-06-19T00:00:00"/>
    <x v="6"/>
    <x v="1152"/>
    <x v="2"/>
    <x v="0"/>
    <x v="326"/>
    <x v="5"/>
    <x v="23"/>
  </r>
  <r>
    <x v="1156"/>
    <x v="1152"/>
    <d v="1985-08-10T00:00:00"/>
    <d v="2017-10-03T00:00:00"/>
    <x v="4"/>
    <x v="1153"/>
    <x v="1"/>
    <x v="1"/>
    <x v="657"/>
    <x v="2"/>
    <x v="47"/>
  </r>
  <r>
    <x v="1157"/>
    <x v="1153"/>
    <d v="1961-06-20T00:00:00"/>
    <d v="1975-12-09T00:00:00"/>
    <x v="2"/>
    <x v="1154"/>
    <x v="0"/>
    <x v="1"/>
    <x v="302"/>
    <x v="2"/>
    <x v="18"/>
  </r>
  <r>
    <x v="1158"/>
    <x v="1154"/>
    <d v="1974-05-21T00:00:00"/>
    <d v="1990-12-13T00:00:00"/>
    <x v="3"/>
    <x v="1155"/>
    <x v="2"/>
    <x v="1"/>
    <x v="400"/>
    <x v="6"/>
    <x v="50"/>
  </r>
  <r>
    <x v="1159"/>
    <x v="1155"/>
    <d v="1967-02-19T00:00:00"/>
    <d v="1989-06-30T00:00:00"/>
    <x v="6"/>
    <x v="1156"/>
    <x v="2"/>
    <x v="1"/>
    <x v="287"/>
    <x v="5"/>
    <x v="21"/>
  </r>
  <r>
    <x v="1160"/>
    <x v="1156"/>
    <d v="1998-01-11T00:00:00"/>
    <d v="1980-03-09T00:00:00"/>
    <x v="2"/>
    <x v="1157"/>
    <x v="4"/>
    <x v="1"/>
    <x v="141"/>
    <x v="1"/>
    <x v="33"/>
  </r>
  <r>
    <x v="1161"/>
    <x v="1157"/>
    <d v="1997-11-13T00:00:00"/>
    <d v="1976-09-22T00:00:00"/>
    <x v="5"/>
    <x v="1158"/>
    <x v="1"/>
    <x v="0"/>
    <x v="202"/>
    <x v="3"/>
    <x v="26"/>
  </r>
  <r>
    <x v="1162"/>
    <x v="1158"/>
    <d v="1985-07-17T00:00:00"/>
    <d v="1994-06-04T00:00:00"/>
    <x v="4"/>
    <x v="1159"/>
    <x v="8"/>
    <x v="1"/>
    <x v="335"/>
    <x v="3"/>
    <x v="45"/>
  </r>
  <r>
    <x v="1163"/>
    <x v="1159"/>
    <d v="1995-06-02T00:00:00"/>
    <d v="1995-08-02T00:00:00"/>
    <x v="1"/>
    <x v="1160"/>
    <x v="8"/>
    <x v="1"/>
    <x v="570"/>
    <x v="2"/>
    <x v="41"/>
  </r>
  <r>
    <x v="1164"/>
    <x v="1160"/>
    <d v="1986-09-12T00:00:00"/>
    <d v="2020-05-19T00:00:00"/>
    <x v="2"/>
    <x v="1161"/>
    <x v="6"/>
    <x v="1"/>
    <x v="658"/>
    <x v="4"/>
    <x v="32"/>
  </r>
  <r>
    <x v="1165"/>
    <x v="1161"/>
    <d v="1987-06-27T00:00:00"/>
    <d v="2002-12-22T00:00:00"/>
    <x v="4"/>
    <x v="1162"/>
    <x v="1"/>
    <x v="0"/>
    <x v="269"/>
    <x v="3"/>
    <x v="27"/>
  </r>
  <r>
    <x v="1166"/>
    <x v="1162"/>
    <d v="1973-04-25T00:00:00"/>
    <d v="2021-12-17T00:00:00"/>
    <x v="6"/>
    <x v="1163"/>
    <x v="3"/>
    <x v="0"/>
    <x v="659"/>
    <x v="2"/>
    <x v="52"/>
  </r>
  <r>
    <x v="1167"/>
    <x v="1163"/>
    <d v="2000-04-07T00:00:00"/>
    <d v="2005-11-02T00:00:00"/>
    <x v="5"/>
    <x v="1164"/>
    <x v="3"/>
    <x v="1"/>
    <x v="412"/>
    <x v="3"/>
    <x v="9"/>
  </r>
  <r>
    <x v="1168"/>
    <x v="1164"/>
    <d v="1974-10-16T00:00:00"/>
    <d v="1982-10-02T00:00:00"/>
    <x v="4"/>
    <x v="1165"/>
    <x v="1"/>
    <x v="0"/>
    <x v="660"/>
    <x v="0"/>
    <x v="51"/>
  </r>
  <r>
    <x v="1169"/>
    <x v="1165"/>
    <d v="1962-01-11T00:00:00"/>
    <d v="2017-01-31T00:00:00"/>
    <x v="1"/>
    <x v="1166"/>
    <x v="2"/>
    <x v="1"/>
    <x v="194"/>
    <x v="2"/>
    <x v="47"/>
  </r>
  <r>
    <x v="1170"/>
    <x v="1166"/>
    <d v="1965-04-22T00:00:00"/>
    <d v="1973-10-29T00:00:00"/>
    <x v="5"/>
    <x v="1167"/>
    <x v="4"/>
    <x v="1"/>
    <x v="305"/>
    <x v="0"/>
    <x v="29"/>
  </r>
  <r>
    <x v="1171"/>
    <x v="1167"/>
    <d v="1974-11-20T00:00:00"/>
    <d v="1970-06-12T00:00:00"/>
    <x v="5"/>
    <x v="1168"/>
    <x v="8"/>
    <x v="0"/>
    <x v="575"/>
    <x v="4"/>
    <x v="5"/>
  </r>
  <r>
    <x v="1172"/>
    <x v="1168"/>
    <d v="1993-04-27T00:00:00"/>
    <d v="2013-01-15T00:00:00"/>
    <x v="4"/>
    <x v="1169"/>
    <x v="7"/>
    <x v="1"/>
    <x v="473"/>
    <x v="6"/>
    <x v="40"/>
  </r>
  <r>
    <x v="1173"/>
    <x v="1169"/>
    <d v="1977-10-25T00:00:00"/>
    <d v="2013-09-26T00:00:00"/>
    <x v="5"/>
    <x v="1170"/>
    <x v="9"/>
    <x v="1"/>
    <x v="257"/>
    <x v="0"/>
    <x v="40"/>
  </r>
  <r>
    <x v="1174"/>
    <x v="1170"/>
    <d v="1998-09-30T00:00:00"/>
    <d v="2014-11-09T00:00:00"/>
    <x v="1"/>
    <x v="1171"/>
    <x v="8"/>
    <x v="1"/>
    <x v="162"/>
    <x v="4"/>
    <x v="0"/>
  </r>
  <r>
    <x v="1175"/>
    <x v="1171"/>
    <d v="1970-07-23T00:00:00"/>
    <d v="1984-12-24T00:00:00"/>
    <x v="4"/>
    <x v="1172"/>
    <x v="7"/>
    <x v="1"/>
    <x v="654"/>
    <x v="5"/>
    <x v="38"/>
  </r>
  <r>
    <x v="1176"/>
    <x v="1172"/>
    <d v="1997-06-02T00:00:00"/>
    <d v="1998-02-06T00:00:00"/>
    <x v="4"/>
    <x v="1173"/>
    <x v="8"/>
    <x v="1"/>
    <x v="29"/>
    <x v="2"/>
    <x v="7"/>
  </r>
  <r>
    <x v="1177"/>
    <x v="1173"/>
    <d v="2002-12-05T00:00:00"/>
    <d v="1995-01-21T00:00:00"/>
    <x v="5"/>
    <x v="1174"/>
    <x v="5"/>
    <x v="1"/>
    <x v="661"/>
    <x v="4"/>
    <x v="41"/>
  </r>
  <r>
    <x v="1178"/>
    <x v="1174"/>
    <d v="1980-06-11T00:00:00"/>
    <d v="1974-02-12T00:00:00"/>
    <x v="5"/>
    <x v="1175"/>
    <x v="8"/>
    <x v="0"/>
    <x v="445"/>
    <x v="1"/>
    <x v="49"/>
  </r>
  <r>
    <x v="1179"/>
    <x v="1175"/>
    <d v="1990-12-25T00:00:00"/>
    <d v="2017-04-07T00:00:00"/>
    <x v="5"/>
    <x v="1176"/>
    <x v="8"/>
    <x v="0"/>
    <x v="662"/>
    <x v="4"/>
    <x v="47"/>
  </r>
  <r>
    <x v="1180"/>
    <x v="1176"/>
    <d v="1996-09-17T00:00:00"/>
    <d v="1970-09-05T00:00:00"/>
    <x v="5"/>
    <x v="1177"/>
    <x v="9"/>
    <x v="1"/>
    <x v="342"/>
    <x v="4"/>
    <x v="5"/>
  </r>
  <r>
    <x v="1181"/>
    <x v="1177"/>
    <d v="1986-01-05T00:00:00"/>
    <d v="1999-10-26T00:00:00"/>
    <x v="0"/>
    <x v="1178"/>
    <x v="4"/>
    <x v="1"/>
    <x v="663"/>
    <x v="1"/>
    <x v="6"/>
  </r>
  <r>
    <x v="1182"/>
    <x v="1178"/>
    <d v="1987-05-16T00:00:00"/>
    <d v="1982-08-30T00:00:00"/>
    <x v="4"/>
    <x v="1179"/>
    <x v="0"/>
    <x v="0"/>
    <x v="565"/>
    <x v="0"/>
    <x v="51"/>
  </r>
  <r>
    <x v="1183"/>
    <x v="1179"/>
    <d v="1975-04-22T00:00:00"/>
    <d v="2022-03-24T00:00:00"/>
    <x v="1"/>
    <x v="1180"/>
    <x v="5"/>
    <x v="0"/>
    <x v="664"/>
    <x v="1"/>
    <x v="39"/>
  </r>
  <r>
    <x v="1184"/>
    <x v="1180"/>
    <d v="1964-01-02T00:00:00"/>
    <d v="2003-03-09T00:00:00"/>
    <x v="1"/>
    <x v="1181"/>
    <x v="2"/>
    <x v="0"/>
    <x v="320"/>
    <x v="5"/>
    <x v="10"/>
  </r>
  <r>
    <x v="1185"/>
    <x v="1181"/>
    <d v="1974-05-31T00:00:00"/>
    <d v="2008-02-20T00:00:00"/>
    <x v="2"/>
    <x v="1182"/>
    <x v="5"/>
    <x v="1"/>
    <x v="665"/>
    <x v="6"/>
    <x v="17"/>
  </r>
  <r>
    <x v="1186"/>
    <x v="1182"/>
    <d v="1991-05-24T00:00:00"/>
    <d v="2010-12-11T00:00:00"/>
    <x v="0"/>
    <x v="1183"/>
    <x v="4"/>
    <x v="1"/>
    <x v="158"/>
    <x v="3"/>
    <x v="2"/>
  </r>
  <r>
    <x v="1187"/>
    <x v="1183"/>
    <d v="1979-07-13T00:00:00"/>
    <d v="1979-02-09T00:00:00"/>
    <x v="0"/>
    <x v="1184"/>
    <x v="5"/>
    <x v="1"/>
    <x v="73"/>
    <x v="6"/>
    <x v="36"/>
  </r>
  <r>
    <x v="1188"/>
    <x v="1184"/>
    <d v="1976-02-22T00:00:00"/>
    <d v="1989-04-01T00:00:00"/>
    <x v="4"/>
    <x v="1185"/>
    <x v="7"/>
    <x v="0"/>
    <x v="457"/>
    <x v="1"/>
    <x v="21"/>
  </r>
  <r>
    <x v="1189"/>
    <x v="1185"/>
    <d v="1993-09-16T00:00:00"/>
    <d v="1997-05-29T00:00:00"/>
    <x v="1"/>
    <x v="1186"/>
    <x v="1"/>
    <x v="1"/>
    <x v="64"/>
    <x v="1"/>
    <x v="23"/>
  </r>
  <r>
    <x v="1190"/>
    <x v="1186"/>
    <d v="1998-02-19T00:00:00"/>
    <d v="2005-12-16T00:00:00"/>
    <x v="4"/>
    <x v="1187"/>
    <x v="7"/>
    <x v="1"/>
    <x v="666"/>
    <x v="2"/>
    <x v="9"/>
  </r>
  <r>
    <x v="1191"/>
    <x v="1142"/>
    <d v="1973-08-19T00:00:00"/>
    <d v="2022-09-12T00:00:00"/>
    <x v="2"/>
    <x v="1188"/>
    <x v="2"/>
    <x v="1"/>
    <x v="220"/>
    <x v="4"/>
    <x v="39"/>
  </r>
  <r>
    <x v="1192"/>
    <x v="1187"/>
    <d v="1996-06-14T00:00:00"/>
    <d v="2007-08-09T00:00:00"/>
    <x v="0"/>
    <x v="1189"/>
    <x v="9"/>
    <x v="1"/>
    <x v="662"/>
    <x v="3"/>
    <x v="35"/>
  </r>
  <r>
    <x v="1193"/>
    <x v="1188"/>
    <d v="1998-07-30T00:00:00"/>
    <d v="1988-05-28T00:00:00"/>
    <x v="6"/>
    <x v="1190"/>
    <x v="3"/>
    <x v="1"/>
    <x v="307"/>
    <x v="0"/>
    <x v="37"/>
  </r>
  <r>
    <x v="1194"/>
    <x v="1189"/>
    <d v="1997-06-14T00:00:00"/>
    <d v="2007-04-19T00:00:00"/>
    <x v="5"/>
    <x v="1191"/>
    <x v="0"/>
    <x v="1"/>
    <x v="170"/>
    <x v="6"/>
    <x v="35"/>
  </r>
  <r>
    <x v="1195"/>
    <x v="1190"/>
    <d v="2000-05-28T00:00:00"/>
    <d v="1986-12-27T00:00:00"/>
    <x v="1"/>
    <x v="1192"/>
    <x v="0"/>
    <x v="0"/>
    <x v="367"/>
    <x v="5"/>
    <x v="4"/>
  </r>
  <r>
    <x v="1196"/>
    <x v="1191"/>
    <d v="2001-09-15T00:00:00"/>
    <d v="2020-07-21T00:00:00"/>
    <x v="6"/>
    <x v="1193"/>
    <x v="5"/>
    <x v="0"/>
    <x v="578"/>
    <x v="0"/>
    <x v="32"/>
  </r>
  <r>
    <x v="1197"/>
    <x v="1192"/>
    <d v="1997-03-10T00:00:00"/>
    <d v="1994-12-21T00:00:00"/>
    <x v="2"/>
    <x v="1194"/>
    <x v="5"/>
    <x v="1"/>
    <x v="667"/>
    <x v="4"/>
    <x v="45"/>
  </r>
  <r>
    <x v="1198"/>
    <x v="1193"/>
    <d v="1986-06-20T00:00:00"/>
    <d v="2021-06-29T00:00:00"/>
    <x v="5"/>
    <x v="1195"/>
    <x v="0"/>
    <x v="0"/>
    <x v="668"/>
    <x v="3"/>
    <x v="52"/>
  </r>
  <r>
    <x v="1199"/>
    <x v="1194"/>
    <d v="2000-12-28T00:00:00"/>
    <d v="2015-07-06T00:00:00"/>
    <x v="0"/>
    <x v="1196"/>
    <x v="2"/>
    <x v="1"/>
    <x v="600"/>
    <x v="4"/>
    <x v="43"/>
  </r>
  <r>
    <x v="1200"/>
    <x v="1195"/>
    <d v="1977-06-17T00:00:00"/>
    <d v="1997-03-06T00:00:00"/>
    <x v="0"/>
    <x v="1197"/>
    <x v="1"/>
    <x v="1"/>
    <x v="199"/>
    <x v="0"/>
    <x v="23"/>
  </r>
  <r>
    <x v="1201"/>
    <x v="1196"/>
    <d v="1973-08-08T00:00:00"/>
    <d v="1979-11-29T00:00:00"/>
    <x v="6"/>
    <x v="1198"/>
    <x v="4"/>
    <x v="1"/>
    <x v="669"/>
    <x v="3"/>
    <x v="36"/>
  </r>
  <r>
    <x v="1202"/>
    <x v="1197"/>
    <d v="2002-11-04T00:00:00"/>
    <d v="1987-04-03T00:00:00"/>
    <x v="0"/>
    <x v="1199"/>
    <x v="0"/>
    <x v="0"/>
    <x v="670"/>
    <x v="4"/>
    <x v="46"/>
  </r>
  <r>
    <x v="1203"/>
    <x v="1198"/>
    <d v="1990-02-13T00:00:00"/>
    <d v="2009-03-07T00:00:00"/>
    <x v="2"/>
    <x v="1200"/>
    <x v="2"/>
    <x v="0"/>
    <x v="204"/>
    <x v="6"/>
    <x v="25"/>
  </r>
  <r>
    <x v="1204"/>
    <x v="1199"/>
    <d v="1973-03-20T00:00:00"/>
    <d v="1976-07-30T00:00:00"/>
    <x v="4"/>
    <x v="1201"/>
    <x v="9"/>
    <x v="1"/>
    <x v="381"/>
    <x v="6"/>
    <x v="26"/>
  </r>
  <r>
    <x v="1205"/>
    <x v="1200"/>
    <d v="1973-11-25T00:00:00"/>
    <d v="2007-12-23T00:00:00"/>
    <x v="6"/>
    <x v="1202"/>
    <x v="0"/>
    <x v="1"/>
    <x v="507"/>
    <x v="1"/>
    <x v="35"/>
  </r>
  <r>
    <x v="1206"/>
    <x v="1201"/>
    <d v="1966-07-17T00:00:00"/>
    <d v="1998-05-11T00:00:00"/>
    <x v="3"/>
    <x v="1203"/>
    <x v="7"/>
    <x v="1"/>
    <x v="533"/>
    <x v="2"/>
    <x v="7"/>
  </r>
  <r>
    <x v="1207"/>
    <x v="1202"/>
    <d v="1969-09-26T00:00:00"/>
    <d v="1997-08-11T00:00:00"/>
    <x v="3"/>
    <x v="1204"/>
    <x v="3"/>
    <x v="1"/>
    <x v="168"/>
    <x v="4"/>
    <x v="23"/>
  </r>
  <r>
    <x v="1208"/>
    <x v="1203"/>
    <d v="2001-12-27T00:00:00"/>
    <d v="2001-06-10T00:00:00"/>
    <x v="3"/>
    <x v="1205"/>
    <x v="1"/>
    <x v="1"/>
    <x v="272"/>
    <x v="6"/>
    <x v="11"/>
  </r>
  <r>
    <x v="1209"/>
    <x v="1204"/>
    <d v="1980-10-06T00:00:00"/>
    <d v="1975-09-25T00:00:00"/>
    <x v="0"/>
    <x v="1206"/>
    <x v="0"/>
    <x v="1"/>
    <x v="116"/>
    <x v="5"/>
    <x v="18"/>
  </r>
  <r>
    <x v="1210"/>
    <x v="1205"/>
    <d v="1997-10-07T00:00:00"/>
    <d v="1988-08-30T00:00:00"/>
    <x v="6"/>
    <x v="1207"/>
    <x v="8"/>
    <x v="0"/>
    <x v="593"/>
    <x v="6"/>
    <x v="37"/>
  </r>
  <r>
    <x v="1211"/>
    <x v="1206"/>
    <d v="1999-06-25T00:00:00"/>
    <d v="2020-03-20T00:00:00"/>
    <x v="6"/>
    <x v="1208"/>
    <x v="3"/>
    <x v="0"/>
    <x v="661"/>
    <x v="5"/>
    <x v="32"/>
  </r>
  <r>
    <x v="1212"/>
    <x v="1207"/>
    <d v="1959-11-15T00:00:00"/>
    <d v="1976-07-03T00:00:00"/>
    <x v="6"/>
    <x v="1209"/>
    <x v="2"/>
    <x v="1"/>
    <x v="578"/>
    <x v="6"/>
    <x v="26"/>
  </r>
  <r>
    <x v="1213"/>
    <x v="1208"/>
    <d v="1986-12-11T00:00:00"/>
    <d v="2020-07-18T00:00:00"/>
    <x v="2"/>
    <x v="1210"/>
    <x v="2"/>
    <x v="0"/>
    <x v="261"/>
    <x v="1"/>
    <x v="32"/>
  </r>
  <r>
    <x v="1214"/>
    <x v="1209"/>
    <d v="1969-02-22T00:00:00"/>
    <d v="2001-11-18T00:00:00"/>
    <x v="1"/>
    <x v="1211"/>
    <x v="4"/>
    <x v="0"/>
    <x v="1"/>
    <x v="1"/>
    <x v="11"/>
  </r>
  <r>
    <x v="1215"/>
    <x v="1210"/>
    <d v="1959-04-05T00:00:00"/>
    <d v="2021-08-21T00:00:00"/>
    <x v="3"/>
    <x v="1212"/>
    <x v="8"/>
    <x v="1"/>
    <x v="203"/>
    <x v="4"/>
    <x v="52"/>
  </r>
  <r>
    <x v="1216"/>
    <x v="1211"/>
    <d v="1982-04-21T00:00:00"/>
    <d v="1984-11-14T00:00:00"/>
    <x v="6"/>
    <x v="1213"/>
    <x v="5"/>
    <x v="1"/>
    <x v="570"/>
    <x v="6"/>
    <x v="38"/>
  </r>
  <r>
    <x v="1217"/>
    <x v="1212"/>
    <d v="1974-09-15T00:00:00"/>
    <d v="2020-02-03T00:00:00"/>
    <x v="1"/>
    <x v="1214"/>
    <x v="5"/>
    <x v="1"/>
    <x v="1"/>
    <x v="0"/>
    <x v="32"/>
  </r>
  <r>
    <x v="1218"/>
    <x v="1213"/>
    <d v="1997-11-07T00:00:00"/>
    <d v="1971-03-30T00:00:00"/>
    <x v="3"/>
    <x v="1215"/>
    <x v="8"/>
    <x v="1"/>
    <x v="373"/>
    <x v="1"/>
    <x v="44"/>
  </r>
  <r>
    <x v="1219"/>
    <x v="1214"/>
    <d v="1977-02-09T00:00:00"/>
    <d v="2019-07-17T00:00:00"/>
    <x v="1"/>
    <x v="1216"/>
    <x v="4"/>
    <x v="0"/>
    <x v="647"/>
    <x v="5"/>
    <x v="8"/>
  </r>
  <r>
    <x v="1220"/>
    <x v="1215"/>
    <d v="1973-02-02T00:00:00"/>
    <d v="1973-08-11T00:00:00"/>
    <x v="6"/>
    <x v="1217"/>
    <x v="6"/>
    <x v="0"/>
    <x v="671"/>
    <x v="6"/>
    <x v="29"/>
  </r>
  <r>
    <x v="1221"/>
    <x v="1216"/>
    <d v="2000-09-12T00:00:00"/>
    <d v="2011-10-24T00:00:00"/>
    <x v="0"/>
    <x v="1218"/>
    <x v="2"/>
    <x v="1"/>
    <x v="81"/>
    <x v="4"/>
    <x v="22"/>
  </r>
  <r>
    <x v="1222"/>
    <x v="1217"/>
    <d v="1965-08-15T00:00:00"/>
    <d v="2022-06-10T00:00:00"/>
    <x v="0"/>
    <x v="1219"/>
    <x v="4"/>
    <x v="1"/>
    <x v="672"/>
    <x v="3"/>
    <x v="39"/>
  </r>
  <r>
    <x v="1223"/>
    <x v="1218"/>
    <d v="1976-04-11T00:00:00"/>
    <d v="2004-11-24T00:00:00"/>
    <x v="6"/>
    <x v="1220"/>
    <x v="7"/>
    <x v="0"/>
    <x v="375"/>
    <x v="2"/>
    <x v="28"/>
  </r>
  <r>
    <x v="1224"/>
    <x v="1219"/>
    <d v="1981-11-10T00:00:00"/>
    <d v="1976-06-07T00:00:00"/>
    <x v="3"/>
    <x v="1221"/>
    <x v="0"/>
    <x v="1"/>
    <x v="259"/>
    <x v="5"/>
    <x v="26"/>
  </r>
  <r>
    <x v="1225"/>
    <x v="1220"/>
    <d v="1985-07-27T00:00:00"/>
    <d v="2015-12-21T00:00:00"/>
    <x v="1"/>
    <x v="1222"/>
    <x v="6"/>
    <x v="0"/>
    <x v="563"/>
    <x v="2"/>
    <x v="43"/>
  </r>
  <r>
    <x v="1226"/>
    <x v="1221"/>
    <d v="1988-03-09T00:00:00"/>
    <d v="1997-05-06T00:00:00"/>
    <x v="4"/>
    <x v="1223"/>
    <x v="6"/>
    <x v="0"/>
    <x v="383"/>
    <x v="1"/>
    <x v="23"/>
  </r>
  <r>
    <x v="1227"/>
    <x v="1222"/>
    <d v="1997-07-08T00:00:00"/>
    <d v="1999-06-26T00:00:00"/>
    <x v="0"/>
    <x v="1224"/>
    <x v="7"/>
    <x v="0"/>
    <x v="411"/>
    <x v="4"/>
    <x v="6"/>
  </r>
  <r>
    <x v="1228"/>
    <x v="1223"/>
    <d v="1995-02-27T00:00:00"/>
    <d v="2002-06-30T00:00:00"/>
    <x v="3"/>
    <x v="1225"/>
    <x v="4"/>
    <x v="0"/>
    <x v="506"/>
    <x v="3"/>
    <x v="27"/>
  </r>
  <r>
    <x v="1229"/>
    <x v="1224"/>
    <d v="1993-08-08T00:00:00"/>
    <d v="1976-09-10T00:00:00"/>
    <x v="0"/>
    <x v="1226"/>
    <x v="5"/>
    <x v="0"/>
    <x v="649"/>
    <x v="3"/>
    <x v="26"/>
  </r>
  <r>
    <x v="1230"/>
    <x v="1225"/>
    <d v="1979-03-31T00:00:00"/>
    <d v="2010-05-15T00:00:00"/>
    <x v="4"/>
    <x v="1227"/>
    <x v="7"/>
    <x v="0"/>
    <x v="673"/>
    <x v="1"/>
    <x v="2"/>
  </r>
  <r>
    <x v="1231"/>
    <x v="1226"/>
    <d v="1973-10-18T00:00:00"/>
    <d v="1983-09-13T00:00:00"/>
    <x v="3"/>
    <x v="1228"/>
    <x v="7"/>
    <x v="0"/>
    <x v="674"/>
    <x v="1"/>
    <x v="20"/>
  </r>
  <r>
    <x v="1232"/>
    <x v="1227"/>
    <d v="1976-12-23T00:00:00"/>
    <d v="2015-01-09T00:00:00"/>
    <x v="2"/>
    <x v="1229"/>
    <x v="4"/>
    <x v="0"/>
    <x v="209"/>
    <x v="3"/>
    <x v="43"/>
  </r>
  <r>
    <x v="1233"/>
    <x v="1228"/>
    <d v="1994-09-06T00:00:00"/>
    <d v="1985-06-09T00:00:00"/>
    <x v="5"/>
    <x v="1230"/>
    <x v="5"/>
    <x v="1"/>
    <x v="675"/>
    <x v="1"/>
    <x v="12"/>
  </r>
  <r>
    <x v="1234"/>
    <x v="1229"/>
    <d v="1981-07-25T00:00:00"/>
    <d v="2003-11-13T00:00:00"/>
    <x v="0"/>
    <x v="1231"/>
    <x v="8"/>
    <x v="0"/>
    <x v="662"/>
    <x v="2"/>
    <x v="10"/>
  </r>
  <r>
    <x v="1235"/>
    <x v="1230"/>
    <d v="1995-09-06T00:00:00"/>
    <d v="1971-04-30T00:00:00"/>
    <x v="0"/>
    <x v="1232"/>
    <x v="5"/>
    <x v="0"/>
    <x v="532"/>
    <x v="1"/>
    <x v="44"/>
  </r>
  <r>
    <x v="1236"/>
    <x v="1231"/>
    <d v="1967-06-11T00:00:00"/>
    <d v="2011-06-01T00:00:00"/>
    <x v="1"/>
    <x v="1233"/>
    <x v="4"/>
    <x v="1"/>
    <x v="312"/>
    <x v="5"/>
    <x v="22"/>
  </r>
  <r>
    <x v="1237"/>
    <x v="1232"/>
    <d v="1996-08-08T00:00:00"/>
    <d v="1988-08-08T00:00:00"/>
    <x v="1"/>
    <x v="1234"/>
    <x v="5"/>
    <x v="1"/>
    <x v="382"/>
    <x v="6"/>
    <x v="37"/>
  </r>
  <r>
    <x v="1238"/>
    <x v="1233"/>
    <d v="1984-01-10T00:00:00"/>
    <d v="2012-03-19T00:00:00"/>
    <x v="5"/>
    <x v="1235"/>
    <x v="4"/>
    <x v="1"/>
    <x v="676"/>
    <x v="4"/>
    <x v="16"/>
  </r>
  <r>
    <x v="1239"/>
    <x v="1234"/>
    <d v="1983-03-08T00:00:00"/>
    <d v="1988-08-30T00:00:00"/>
    <x v="1"/>
    <x v="1236"/>
    <x v="0"/>
    <x v="0"/>
    <x v="677"/>
    <x v="6"/>
    <x v="37"/>
  </r>
  <r>
    <x v="1240"/>
    <x v="1235"/>
    <d v="2001-02-07T00:00:00"/>
    <d v="1995-07-18T00:00:00"/>
    <x v="5"/>
    <x v="1237"/>
    <x v="9"/>
    <x v="1"/>
    <x v="331"/>
    <x v="0"/>
    <x v="41"/>
  </r>
  <r>
    <x v="1241"/>
    <x v="1236"/>
    <d v="1980-05-13T00:00:00"/>
    <d v="2014-07-09T00:00:00"/>
    <x v="3"/>
    <x v="1238"/>
    <x v="9"/>
    <x v="0"/>
    <x v="219"/>
    <x v="0"/>
    <x v="0"/>
  </r>
  <r>
    <x v="1242"/>
    <x v="1237"/>
    <d v="1982-03-06T00:00:00"/>
    <d v="2008-02-06T00:00:00"/>
    <x v="6"/>
    <x v="1239"/>
    <x v="9"/>
    <x v="1"/>
    <x v="503"/>
    <x v="0"/>
    <x v="17"/>
  </r>
  <r>
    <x v="1243"/>
    <x v="1238"/>
    <d v="1981-07-08T00:00:00"/>
    <d v="1988-01-15T00:00:00"/>
    <x v="1"/>
    <x v="1240"/>
    <x v="8"/>
    <x v="1"/>
    <x v="183"/>
    <x v="1"/>
    <x v="37"/>
  </r>
  <r>
    <x v="1244"/>
    <x v="1239"/>
    <d v="1976-03-31T00:00:00"/>
    <d v="1975-05-13T00:00:00"/>
    <x v="6"/>
    <x v="1241"/>
    <x v="4"/>
    <x v="1"/>
    <x v="380"/>
    <x v="1"/>
    <x v="18"/>
  </r>
  <r>
    <x v="1245"/>
    <x v="1240"/>
    <d v="2002-11-12T00:00:00"/>
    <d v="2020-12-02T00:00:00"/>
    <x v="0"/>
    <x v="1242"/>
    <x v="3"/>
    <x v="1"/>
    <x v="20"/>
    <x v="3"/>
    <x v="32"/>
  </r>
  <r>
    <x v="1246"/>
    <x v="1241"/>
    <d v="1987-03-11T00:00:00"/>
    <d v="1974-04-02T00:00:00"/>
    <x v="1"/>
    <x v="1243"/>
    <x v="2"/>
    <x v="0"/>
    <x v="414"/>
    <x v="2"/>
    <x v="49"/>
  </r>
  <r>
    <x v="1247"/>
    <x v="1242"/>
    <d v="1962-08-18T00:00:00"/>
    <d v="2015-02-08T00:00:00"/>
    <x v="2"/>
    <x v="1244"/>
    <x v="7"/>
    <x v="1"/>
    <x v="511"/>
    <x v="4"/>
    <x v="43"/>
  </r>
  <r>
    <x v="1248"/>
    <x v="1243"/>
    <d v="1977-10-23T00:00:00"/>
    <d v="2002-01-02T00:00:00"/>
    <x v="6"/>
    <x v="1245"/>
    <x v="8"/>
    <x v="0"/>
    <x v="273"/>
    <x v="5"/>
    <x v="27"/>
  </r>
  <r>
    <x v="1249"/>
    <x v="1244"/>
    <d v="1981-03-03T00:00:00"/>
    <d v="2016-11-17T00:00:00"/>
    <x v="4"/>
    <x v="1246"/>
    <x v="7"/>
    <x v="0"/>
    <x v="678"/>
    <x v="2"/>
    <x v="48"/>
  </r>
  <r>
    <x v="1250"/>
    <x v="1245"/>
    <d v="1964-12-17T00:00:00"/>
    <d v="2001-05-04T00:00:00"/>
    <x v="5"/>
    <x v="1247"/>
    <x v="8"/>
    <x v="0"/>
    <x v="596"/>
    <x v="1"/>
    <x v="11"/>
  </r>
  <r>
    <x v="1251"/>
    <x v="1246"/>
    <d v="1977-06-21T00:00:00"/>
    <d v="2012-08-22T00:00:00"/>
    <x v="4"/>
    <x v="1248"/>
    <x v="2"/>
    <x v="1"/>
    <x v="71"/>
    <x v="5"/>
    <x v="16"/>
  </r>
  <r>
    <x v="1252"/>
    <x v="1247"/>
    <d v="1975-09-11T00:00:00"/>
    <d v="1973-02-18T00:00:00"/>
    <x v="4"/>
    <x v="1249"/>
    <x v="8"/>
    <x v="0"/>
    <x v="505"/>
    <x v="2"/>
    <x v="29"/>
  </r>
  <r>
    <x v="1253"/>
    <x v="1248"/>
    <d v="1992-07-31T00:00:00"/>
    <d v="1999-09-21T00:00:00"/>
    <x v="1"/>
    <x v="1250"/>
    <x v="3"/>
    <x v="0"/>
    <x v="679"/>
    <x v="3"/>
    <x v="6"/>
  </r>
  <r>
    <x v="1254"/>
    <x v="1249"/>
    <d v="1973-06-17T00:00:00"/>
    <d v="1985-01-08T00:00:00"/>
    <x v="5"/>
    <x v="334"/>
    <x v="2"/>
    <x v="1"/>
    <x v="242"/>
    <x v="0"/>
    <x v="12"/>
  </r>
  <r>
    <x v="1255"/>
    <x v="1250"/>
    <d v="1967-09-11T00:00:00"/>
    <d v="1992-04-15T00:00:00"/>
    <x v="1"/>
    <x v="1251"/>
    <x v="2"/>
    <x v="0"/>
    <x v="81"/>
    <x v="3"/>
    <x v="24"/>
  </r>
  <r>
    <x v="1256"/>
    <x v="1251"/>
    <d v="1973-02-07T00:00:00"/>
    <d v="1981-07-11T00:00:00"/>
    <x v="0"/>
    <x v="1252"/>
    <x v="4"/>
    <x v="1"/>
    <x v="437"/>
    <x v="5"/>
    <x v="15"/>
  </r>
  <r>
    <x v="1257"/>
    <x v="1252"/>
    <d v="1959-01-21T00:00:00"/>
    <d v="2013-01-11T00:00:00"/>
    <x v="6"/>
    <x v="1253"/>
    <x v="1"/>
    <x v="1"/>
    <x v="680"/>
    <x v="6"/>
    <x v="40"/>
  </r>
  <r>
    <x v="1258"/>
    <x v="1253"/>
    <d v="1961-01-02T00:00:00"/>
    <d v="2009-01-16T00:00:00"/>
    <x v="0"/>
    <x v="1254"/>
    <x v="8"/>
    <x v="0"/>
    <x v="681"/>
    <x v="4"/>
    <x v="25"/>
  </r>
  <r>
    <x v="1259"/>
    <x v="1254"/>
    <d v="1990-09-02T00:00:00"/>
    <d v="1974-09-20T00:00:00"/>
    <x v="4"/>
    <x v="1255"/>
    <x v="1"/>
    <x v="0"/>
    <x v="314"/>
    <x v="2"/>
    <x v="49"/>
  </r>
  <r>
    <x v="1260"/>
    <x v="1255"/>
    <d v="1959-05-15T00:00:00"/>
    <d v="1975-06-22T00:00:00"/>
    <x v="0"/>
    <x v="1256"/>
    <x v="0"/>
    <x v="0"/>
    <x v="266"/>
    <x v="4"/>
    <x v="18"/>
  </r>
  <r>
    <x v="1261"/>
    <x v="1256"/>
    <d v="1962-01-16T00:00:00"/>
    <d v="2016-10-19T00:00:00"/>
    <x v="1"/>
    <x v="1257"/>
    <x v="0"/>
    <x v="1"/>
    <x v="318"/>
    <x v="0"/>
    <x v="48"/>
  </r>
  <r>
    <x v="1262"/>
    <x v="1257"/>
    <d v="1973-03-04T00:00:00"/>
    <d v="1987-05-24T00:00:00"/>
    <x v="2"/>
    <x v="1258"/>
    <x v="2"/>
    <x v="1"/>
    <x v="299"/>
    <x v="1"/>
    <x v="46"/>
  </r>
  <r>
    <x v="1263"/>
    <x v="1258"/>
    <d v="2002-03-24T00:00:00"/>
    <d v="1982-02-20T00:00:00"/>
    <x v="5"/>
    <x v="1259"/>
    <x v="1"/>
    <x v="1"/>
    <x v="211"/>
    <x v="6"/>
    <x v="51"/>
  </r>
  <r>
    <x v="1264"/>
    <x v="1259"/>
    <d v="1987-12-22T00:00:00"/>
    <d v="2020-04-21T00:00:00"/>
    <x v="4"/>
    <x v="1260"/>
    <x v="6"/>
    <x v="0"/>
    <x v="127"/>
    <x v="5"/>
    <x v="32"/>
  </r>
  <r>
    <x v="1265"/>
    <x v="1260"/>
    <d v="2000-04-09T00:00:00"/>
    <d v="2011-08-16T00:00:00"/>
    <x v="1"/>
    <x v="1261"/>
    <x v="2"/>
    <x v="1"/>
    <x v="180"/>
    <x v="2"/>
    <x v="22"/>
  </r>
  <r>
    <x v="1266"/>
    <x v="1261"/>
    <d v="1971-08-19T00:00:00"/>
    <d v="1982-04-13T00:00:00"/>
    <x v="2"/>
    <x v="1262"/>
    <x v="5"/>
    <x v="1"/>
    <x v="326"/>
    <x v="6"/>
    <x v="51"/>
  </r>
  <r>
    <x v="1267"/>
    <x v="1262"/>
    <d v="1993-05-03T00:00:00"/>
    <d v="1989-06-07T00:00:00"/>
    <x v="5"/>
    <x v="1263"/>
    <x v="6"/>
    <x v="0"/>
    <x v="387"/>
    <x v="5"/>
    <x v="21"/>
  </r>
  <r>
    <x v="1268"/>
    <x v="1263"/>
    <d v="1962-06-01T00:00:00"/>
    <d v="2020-11-07T00:00:00"/>
    <x v="3"/>
    <x v="1264"/>
    <x v="5"/>
    <x v="1"/>
    <x v="386"/>
    <x v="2"/>
    <x v="32"/>
  </r>
  <r>
    <x v="1269"/>
    <x v="1264"/>
    <d v="1963-08-29T00:00:00"/>
    <d v="2016-08-08T00:00:00"/>
    <x v="5"/>
    <x v="1265"/>
    <x v="2"/>
    <x v="1"/>
    <x v="682"/>
    <x v="5"/>
    <x v="48"/>
  </r>
  <r>
    <x v="1270"/>
    <x v="1265"/>
    <d v="1982-06-10T00:00:00"/>
    <d v="1973-10-07T00:00:00"/>
    <x v="1"/>
    <x v="1266"/>
    <x v="5"/>
    <x v="0"/>
    <x v="210"/>
    <x v="2"/>
    <x v="29"/>
  </r>
  <r>
    <x v="1271"/>
    <x v="1266"/>
    <d v="1993-03-05T00:00:00"/>
    <d v="2021-09-23T00:00:00"/>
    <x v="0"/>
    <x v="1267"/>
    <x v="3"/>
    <x v="1"/>
    <x v="683"/>
    <x v="6"/>
    <x v="52"/>
  </r>
  <r>
    <x v="1272"/>
    <x v="1267"/>
    <d v="1969-08-03T00:00:00"/>
    <d v="1973-03-17T00:00:00"/>
    <x v="6"/>
    <x v="1268"/>
    <x v="9"/>
    <x v="0"/>
    <x v="684"/>
    <x v="4"/>
    <x v="29"/>
  </r>
  <r>
    <x v="1273"/>
    <x v="1268"/>
    <d v="1989-08-28T00:00:00"/>
    <d v="1973-01-24T00:00:00"/>
    <x v="0"/>
    <x v="1269"/>
    <x v="5"/>
    <x v="0"/>
    <x v="485"/>
    <x v="2"/>
    <x v="29"/>
  </r>
  <r>
    <x v="1274"/>
    <x v="1269"/>
    <d v="1961-01-05T00:00:00"/>
    <d v="2022-10-07T00:00:00"/>
    <x v="1"/>
    <x v="1270"/>
    <x v="5"/>
    <x v="1"/>
    <x v="12"/>
    <x v="1"/>
    <x v="39"/>
  </r>
  <r>
    <x v="1275"/>
    <x v="1270"/>
    <d v="1997-07-14T00:00:00"/>
    <d v="2004-01-14T00:00:00"/>
    <x v="5"/>
    <x v="1271"/>
    <x v="5"/>
    <x v="1"/>
    <x v="586"/>
    <x v="4"/>
    <x v="28"/>
  </r>
  <r>
    <x v="1276"/>
    <x v="1271"/>
    <d v="2002-12-08T00:00:00"/>
    <d v="2022-03-20T00:00:00"/>
    <x v="0"/>
    <x v="1272"/>
    <x v="3"/>
    <x v="1"/>
    <x v="369"/>
    <x v="0"/>
    <x v="39"/>
  </r>
  <r>
    <x v="1277"/>
    <x v="1272"/>
    <d v="1987-09-28T00:00:00"/>
    <d v="2020-03-27T00:00:00"/>
    <x v="1"/>
    <x v="1273"/>
    <x v="4"/>
    <x v="1"/>
    <x v="27"/>
    <x v="5"/>
    <x v="32"/>
  </r>
  <r>
    <x v="1278"/>
    <x v="1273"/>
    <d v="1979-12-19T00:00:00"/>
    <d v="1973-10-29T00:00:00"/>
    <x v="4"/>
    <x v="1274"/>
    <x v="1"/>
    <x v="1"/>
    <x v="361"/>
    <x v="4"/>
    <x v="29"/>
  </r>
  <r>
    <x v="1279"/>
    <x v="1274"/>
    <d v="1967-07-24T00:00:00"/>
    <d v="2009-12-24T00:00:00"/>
    <x v="0"/>
    <x v="1275"/>
    <x v="2"/>
    <x v="1"/>
    <x v="685"/>
    <x v="5"/>
    <x v="25"/>
  </r>
  <r>
    <x v="1280"/>
    <x v="1275"/>
    <d v="1999-05-25T00:00:00"/>
    <d v="2000-11-28T00:00:00"/>
    <x v="1"/>
    <x v="1276"/>
    <x v="6"/>
    <x v="0"/>
    <x v="418"/>
    <x v="1"/>
    <x v="3"/>
  </r>
  <r>
    <x v="1281"/>
    <x v="106"/>
    <d v="1964-08-02T00:00:00"/>
    <d v="1975-05-16T00:00:00"/>
    <x v="0"/>
    <x v="1277"/>
    <x v="2"/>
    <x v="1"/>
    <x v="113"/>
    <x v="2"/>
    <x v="18"/>
  </r>
  <r>
    <x v="1282"/>
    <x v="1276"/>
    <d v="1961-12-07T00:00:00"/>
    <d v="1998-03-21T00:00:00"/>
    <x v="1"/>
    <x v="1278"/>
    <x v="1"/>
    <x v="1"/>
    <x v="663"/>
    <x v="0"/>
    <x v="7"/>
  </r>
  <r>
    <x v="1283"/>
    <x v="1277"/>
    <d v="1962-12-30T00:00:00"/>
    <d v="2016-06-13T00:00:00"/>
    <x v="5"/>
    <x v="1279"/>
    <x v="7"/>
    <x v="0"/>
    <x v="347"/>
    <x v="2"/>
    <x v="48"/>
  </r>
  <r>
    <x v="1284"/>
    <x v="1278"/>
    <d v="2002-07-21T00:00:00"/>
    <d v="1980-01-19T00:00:00"/>
    <x v="3"/>
    <x v="1280"/>
    <x v="6"/>
    <x v="1"/>
    <x v="251"/>
    <x v="4"/>
    <x v="33"/>
  </r>
  <r>
    <x v="1285"/>
    <x v="1279"/>
    <d v="1992-06-04T00:00:00"/>
    <d v="2014-09-16T00:00:00"/>
    <x v="1"/>
    <x v="1281"/>
    <x v="2"/>
    <x v="0"/>
    <x v="643"/>
    <x v="6"/>
    <x v="0"/>
  </r>
  <r>
    <x v="1286"/>
    <x v="1280"/>
    <d v="1990-01-03T00:00:00"/>
    <d v="1998-02-03T00:00:00"/>
    <x v="3"/>
    <x v="1282"/>
    <x v="0"/>
    <x v="1"/>
    <x v="204"/>
    <x v="5"/>
    <x v="7"/>
  </r>
  <r>
    <x v="1287"/>
    <x v="1281"/>
    <d v="1970-01-16T00:00:00"/>
    <d v="2005-05-15T00:00:00"/>
    <x v="1"/>
    <x v="1283"/>
    <x v="5"/>
    <x v="0"/>
    <x v="581"/>
    <x v="3"/>
    <x v="9"/>
  </r>
  <r>
    <x v="1288"/>
    <x v="1282"/>
    <d v="1979-11-27T00:00:00"/>
    <d v="1972-06-19T00:00:00"/>
    <x v="1"/>
    <x v="1284"/>
    <x v="7"/>
    <x v="1"/>
    <x v="387"/>
    <x v="6"/>
    <x v="13"/>
  </r>
  <r>
    <x v="1289"/>
    <x v="1283"/>
    <d v="1978-11-30T00:00:00"/>
    <d v="2018-09-21T00:00:00"/>
    <x v="2"/>
    <x v="1285"/>
    <x v="2"/>
    <x v="1"/>
    <x v="80"/>
    <x v="3"/>
    <x v="1"/>
  </r>
  <r>
    <x v="1290"/>
    <x v="1284"/>
    <d v="1997-04-24T00:00:00"/>
    <d v="1992-11-24T00:00:00"/>
    <x v="0"/>
    <x v="1286"/>
    <x v="3"/>
    <x v="1"/>
    <x v="226"/>
    <x v="6"/>
    <x v="24"/>
  </r>
  <r>
    <x v="1291"/>
    <x v="1285"/>
    <d v="1997-10-07T00:00:00"/>
    <d v="1989-12-13T00:00:00"/>
    <x v="6"/>
    <x v="1287"/>
    <x v="7"/>
    <x v="0"/>
    <x v="560"/>
    <x v="4"/>
    <x v="21"/>
  </r>
  <r>
    <x v="1292"/>
    <x v="1286"/>
    <d v="1962-12-10T00:00:00"/>
    <d v="2017-08-27T00:00:00"/>
    <x v="1"/>
    <x v="1288"/>
    <x v="8"/>
    <x v="0"/>
    <x v="388"/>
    <x v="5"/>
    <x v="47"/>
  </r>
  <r>
    <x v="1293"/>
    <x v="1287"/>
    <d v="1970-02-23T00:00:00"/>
    <d v="2018-10-19T00:00:00"/>
    <x v="6"/>
    <x v="1289"/>
    <x v="5"/>
    <x v="1"/>
    <x v="4"/>
    <x v="4"/>
    <x v="1"/>
  </r>
  <r>
    <x v="1294"/>
    <x v="1288"/>
    <d v="1974-04-14T00:00:00"/>
    <d v="1990-02-14T00:00:00"/>
    <x v="1"/>
    <x v="1290"/>
    <x v="8"/>
    <x v="1"/>
    <x v="234"/>
    <x v="4"/>
    <x v="50"/>
  </r>
  <r>
    <x v="1295"/>
    <x v="1289"/>
    <d v="1996-09-01T00:00:00"/>
    <d v="1974-02-24T00:00:00"/>
    <x v="5"/>
    <x v="1291"/>
    <x v="4"/>
    <x v="0"/>
    <x v="373"/>
    <x v="1"/>
    <x v="49"/>
  </r>
  <r>
    <x v="1296"/>
    <x v="1290"/>
    <d v="1997-06-26T00:00:00"/>
    <d v="1999-09-12T00:00:00"/>
    <x v="2"/>
    <x v="1292"/>
    <x v="7"/>
    <x v="1"/>
    <x v="659"/>
    <x v="0"/>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BFBD89-5808-4F4B-B324-EA7C20FB358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18:I30" firstHeaderRow="1" firstDataRow="2" firstDataCol="1"/>
  <pivotFields count="11">
    <pivotField showAll="0">
      <items count="12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t="default"/>
      </items>
    </pivotField>
    <pivotField showAll="0"/>
    <pivotField numFmtId="164" showAll="0"/>
    <pivotField numFmtId="14" showAll="0"/>
    <pivotField dataField="1" showAll="0">
      <items count="8">
        <item x="5"/>
        <item x="1"/>
        <item x="6"/>
        <item x="0"/>
        <item x="4"/>
        <item x="2"/>
        <item x="3"/>
        <item t="default"/>
      </items>
    </pivotField>
    <pivotField showAll="0"/>
    <pivotField axis="axisRow" showAll="0">
      <items count="11">
        <item x="2"/>
        <item x="9"/>
        <item x="3"/>
        <item x="4"/>
        <item x="7"/>
        <item x="6"/>
        <item x="0"/>
        <item x="8"/>
        <item x="1"/>
        <item x="5"/>
        <item t="default"/>
      </items>
    </pivotField>
    <pivotField showAll="0"/>
    <pivotField showAll="0"/>
    <pivotField axis="axisCol" showAll="0">
      <items count="8">
        <item x="4"/>
        <item x="1"/>
        <item x="0"/>
        <item x="6"/>
        <item x="5"/>
        <item x="2"/>
        <item x="3"/>
        <item t="default"/>
      </items>
    </pivotField>
    <pivotField showAll="0">
      <items count="54">
        <item x="39"/>
        <item x="52"/>
        <item x="32"/>
        <item x="8"/>
        <item x="1"/>
        <item x="47"/>
        <item x="48"/>
        <item x="43"/>
        <item x="0"/>
        <item x="40"/>
        <item x="16"/>
        <item x="22"/>
        <item x="2"/>
        <item x="25"/>
        <item x="17"/>
        <item x="35"/>
        <item x="19"/>
        <item x="9"/>
        <item x="28"/>
        <item x="10"/>
        <item x="27"/>
        <item x="11"/>
        <item x="3"/>
        <item x="6"/>
        <item x="7"/>
        <item x="23"/>
        <item x="30"/>
        <item x="41"/>
        <item x="45"/>
        <item x="42"/>
        <item x="24"/>
        <item x="34"/>
        <item x="50"/>
        <item x="21"/>
        <item x="37"/>
        <item x="46"/>
        <item x="4"/>
        <item x="12"/>
        <item x="38"/>
        <item x="20"/>
        <item x="51"/>
        <item x="15"/>
        <item x="33"/>
        <item x="36"/>
        <item x="14"/>
        <item x="31"/>
        <item x="26"/>
        <item x="18"/>
        <item x="49"/>
        <item x="29"/>
        <item x="13"/>
        <item x="44"/>
        <item x="5"/>
        <item t="default"/>
      </items>
    </pivotField>
  </pivotFields>
  <rowFields count="1">
    <field x="6"/>
  </rowFields>
  <rowItems count="11">
    <i>
      <x/>
    </i>
    <i>
      <x v="1"/>
    </i>
    <i>
      <x v="2"/>
    </i>
    <i>
      <x v="3"/>
    </i>
    <i>
      <x v="4"/>
    </i>
    <i>
      <x v="5"/>
    </i>
    <i>
      <x v="6"/>
    </i>
    <i>
      <x v="7"/>
    </i>
    <i>
      <x v="8"/>
    </i>
    <i>
      <x v="9"/>
    </i>
    <i t="grand">
      <x/>
    </i>
  </rowItems>
  <colFields count="1">
    <field x="9"/>
  </colFields>
  <colItems count="8">
    <i>
      <x/>
    </i>
    <i>
      <x v="1"/>
    </i>
    <i>
      <x v="2"/>
    </i>
    <i>
      <x v="3"/>
    </i>
    <i>
      <x v="4"/>
    </i>
    <i>
      <x v="5"/>
    </i>
    <i>
      <x v="6"/>
    </i>
    <i t="grand">
      <x/>
    </i>
  </colItems>
  <dataFields count="1">
    <dataField name="Count of Department" fld="4" subtotal="count" baseField="0" baseItem="0"/>
  </dataFields>
  <formats count="10">
    <format dxfId="22">
      <pivotArea type="all" dataOnly="0" outline="0" fieldPosition="0"/>
    </format>
    <format dxfId="21">
      <pivotArea outline="0" collapsedLevelsAreSubtotals="1" fieldPosition="0"/>
    </format>
    <format dxfId="20">
      <pivotArea type="origin" dataOnly="0" labelOnly="1" outline="0" fieldPosition="0"/>
    </format>
    <format dxfId="19">
      <pivotArea field="9" type="button" dataOnly="0" labelOnly="1" outline="0" axis="axisCol" fieldPosition="0"/>
    </format>
    <format dxfId="18">
      <pivotArea type="topRight" dataOnly="0" labelOnly="1" outline="0" fieldPosition="0"/>
    </format>
    <format dxfId="17">
      <pivotArea field="6" type="button" dataOnly="0" labelOnly="1" outline="0" axis="axisRow" fieldPosition="0"/>
    </format>
    <format dxfId="16">
      <pivotArea dataOnly="0" labelOnly="1" fieldPosition="0">
        <references count="1">
          <reference field="6" count="0"/>
        </references>
      </pivotArea>
    </format>
    <format dxfId="15">
      <pivotArea dataOnly="0" labelOnly="1" grandRow="1" outline="0" fieldPosition="0"/>
    </format>
    <format dxfId="14">
      <pivotArea dataOnly="0" labelOnly="1" fieldPosition="0">
        <references count="1">
          <reference field="9" count="0"/>
        </references>
      </pivotArea>
    </format>
    <format dxfId="13">
      <pivotArea dataOnly="0" labelOnly="1" grandCol="1" outline="0" fieldPosition="0"/>
    </format>
  </formats>
  <chartFormats count="7">
    <chartFormat chart="22" format="21" series="1">
      <pivotArea type="data" outline="0" fieldPosition="0">
        <references count="2">
          <reference field="4294967294" count="1" selected="0">
            <x v="0"/>
          </reference>
          <reference field="9" count="1" selected="0">
            <x v="0"/>
          </reference>
        </references>
      </pivotArea>
    </chartFormat>
    <chartFormat chart="22" format="22" series="1">
      <pivotArea type="data" outline="0" fieldPosition="0">
        <references count="2">
          <reference field="4294967294" count="1" selected="0">
            <x v="0"/>
          </reference>
          <reference field="9" count="1" selected="0">
            <x v="1"/>
          </reference>
        </references>
      </pivotArea>
    </chartFormat>
    <chartFormat chart="22" format="23" series="1">
      <pivotArea type="data" outline="0" fieldPosition="0">
        <references count="2">
          <reference field="4294967294" count="1" selected="0">
            <x v="0"/>
          </reference>
          <reference field="9" count="1" selected="0">
            <x v="2"/>
          </reference>
        </references>
      </pivotArea>
    </chartFormat>
    <chartFormat chart="22" format="24" series="1">
      <pivotArea type="data" outline="0" fieldPosition="0">
        <references count="2">
          <reference field="4294967294" count="1" selected="0">
            <x v="0"/>
          </reference>
          <reference field="9" count="1" selected="0">
            <x v="3"/>
          </reference>
        </references>
      </pivotArea>
    </chartFormat>
    <chartFormat chart="22" format="25" series="1">
      <pivotArea type="data" outline="0" fieldPosition="0">
        <references count="2">
          <reference field="4294967294" count="1" selected="0">
            <x v="0"/>
          </reference>
          <reference field="9" count="1" selected="0">
            <x v="4"/>
          </reference>
        </references>
      </pivotArea>
    </chartFormat>
    <chartFormat chart="22" format="26" series="1">
      <pivotArea type="data" outline="0" fieldPosition="0">
        <references count="2">
          <reference field="4294967294" count="1" selected="0">
            <x v="0"/>
          </reference>
          <reference field="9" count="1" selected="0">
            <x v="5"/>
          </reference>
        </references>
      </pivotArea>
    </chartFormat>
    <chartFormat chart="22" format="27" series="1">
      <pivotArea type="data" outline="0" fieldPosition="0">
        <references count="2">
          <reference field="4294967294" count="1" selected="0">
            <x v="0"/>
          </reference>
          <reference field="9"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A6BE24-19F2-4D48-9817-9A0DA39C47A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60:I69" firstHeaderRow="1" firstDataRow="2" firstDataCol="1"/>
  <pivotFields count="11">
    <pivotField showAll="0">
      <items count="12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t="default"/>
      </items>
    </pivotField>
    <pivotField showAll="0"/>
    <pivotField numFmtId="164" showAll="0"/>
    <pivotField numFmtId="14" showAll="0"/>
    <pivotField axis="axisRow" showAll="0">
      <items count="8">
        <item x="5"/>
        <item x="1"/>
        <item x="6"/>
        <item x="0"/>
        <item x="4"/>
        <item x="2"/>
        <item x="3"/>
        <item t="default"/>
      </items>
    </pivotField>
    <pivotField dataField="1" showAll="0">
      <items count="1294">
        <item x="893"/>
        <item x="1247"/>
        <item x="1013"/>
        <item x="662"/>
        <item x="501"/>
        <item x="775"/>
        <item x="986"/>
        <item x="1225"/>
        <item x="399"/>
        <item x="850"/>
        <item x="1234"/>
        <item x="353"/>
        <item x="526"/>
        <item x="1018"/>
        <item x="928"/>
        <item x="43"/>
        <item x="1165"/>
        <item x="622"/>
        <item x="178"/>
        <item x="23"/>
        <item x="733"/>
        <item x="332"/>
        <item x="1132"/>
        <item x="188"/>
        <item x="998"/>
        <item x="661"/>
        <item x="1070"/>
        <item x="1276"/>
        <item x="6"/>
        <item x="1092"/>
        <item x="785"/>
        <item x="1106"/>
        <item x="116"/>
        <item x="708"/>
        <item x="93"/>
        <item x="273"/>
        <item x="764"/>
        <item x="563"/>
        <item x="760"/>
        <item x="711"/>
        <item x="280"/>
        <item x="149"/>
        <item x="710"/>
        <item x="630"/>
        <item x="880"/>
        <item x="886"/>
        <item x="1284"/>
        <item x="271"/>
        <item x="214"/>
        <item x="749"/>
        <item x="377"/>
        <item x="1226"/>
        <item x="341"/>
        <item x="305"/>
        <item x="88"/>
        <item x="384"/>
        <item x="669"/>
        <item x="1146"/>
        <item x="1095"/>
        <item x="156"/>
        <item x="679"/>
        <item x="896"/>
        <item x="663"/>
        <item x="389"/>
        <item x="1283"/>
        <item x="1218"/>
        <item x="1074"/>
        <item x="410"/>
        <item x="1189"/>
        <item x="1150"/>
        <item x="1200"/>
        <item x="197"/>
        <item x="171"/>
        <item x="170"/>
        <item x="311"/>
        <item x="457"/>
        <item x="368"/>
        <item x="884"/>
        <item x="583"/>
        <item x="1019"/>
        <item x="614"/>
        <item x="770"/>
        <item x="518"/>
        <item x="648"/>
        <item x="395"/>
        <item x="1253"/>
        <item x="72"/>
        <item x="429"/>
        <item x="900"/>
        <item x="310"/>
        <item x="1207"/>
        <item x="860"/>
        <item x="65"/>
        <item x="560"/>
        <item x="824"/>
        <item x="923"/>
        <item x="274"/>
        <item x="1123"/>
        <item x="129"/>
        <item x="907"/>
        <item x="680"/>
        <item x="1006"/>
        <item x="1076"/>
        <item x="954"/>
        <item x="485"/>
        <item x="528"/>
        <item x="407"/>
        <item x="248"/>
        <item x="869"/>
        <item x="989"/>
        <item x="31"/>
        <item x="921"/>
        <item x="889"/>
        <item x="1088"/>
        <item x="981"/>
        <item x="699"/>
        <item x="1248"/>
        <item x="1069"/>
        <item x="227"/>
        <item x="550"/>
        <item x="413"/>
        <item x="700"/>
        <item x="521"/>
        <item x="963"/>
        <item x="577"/>
        <item x="89"/>
        <item x="1054"/>
        <item x="412"/>
        <item x="437"/>
        <item x="358"/>
        <item x="1212"/>
        <item x="95"/>
        <item x="590"/>
        <item x="534"/>
        <item x="1067"/>
        <item x="1204"/>
        <item x="468"/>
        <item x="159"/>
        <item x="232"/>
        <item x="475"/>
        <item x="664"/>
        <item x="1269"/>
        <item x="842"/>
        <item x="1171"/>
        <item x="571"/>
        <item x="488"/>
        <item x="195"/>
        <item x="299"/>
        <item x="1243"/>
        <item x="91"/>
        <item x="1061"/>
        <item x="834"/>
        <item x="1071"/>
        <item x="1236"/>
        <item x="59"/>
        <item x="324"/>
        <item x="581"/>
        <item x="426"/>
        <item x="657"/>
        <item x="228"/>
        <item x="115"/>
        <item x="689"/>
        <item x="999"/>
        <item x="424"/>
        <item x="1181"/>
        <item x="477"/>
        <item x="1160"/>
        <item x="386"/>
        <item x="675"/>
        <item x="517"/>
        <item x="837"/>
        <item x="270"/>
        <item x="249"/>
        <item x="1167"/>
        <item x="1028"/>
        <item x="425"/>
        <item x="55"/>
        <item x="161"/>
        <item x="864"/>
        <item x="1271"/>
        <item x="338"/>
        <item x="909"/>
        <item x="1117"/>
        <item x="813"/>
        <item x="721"/>
        <item x="242"/>
        <item x="635"/>
        <item x="347"/>
        <item x="538"/>
        <item x="812"/>
        <item x="519"/>
        <item x="543"/>
        <item x="119"/>
        <item x="287"/>
        <item x="486"/>
        <item x="548"/>
        <item x="48"/>
        <item x="450"/>
        <item x="422"/>
        <item x="731"/>
        <item x="62"/>
        <item x="1251"/>
        <item x="537"/>
        <item x="414"/>
        <item x="573"/>
        <item x="868"/>
        <item x="369"/>
        <item x="726"/>
        <item x="552"/>
        <item x="436"/>
        <item x="417"/>
        <item x="367"/>
        <item x="950"/>
        <item x="196"/>
        <item x="143"/>
        <item x="64"/>
        <item x="849"/>
        <item x="344"/>
        <item x="1030"/>
        <item x="390"/>
        <item x="598"/>
        <item x="584"/>
        <item x="218"/>
        <item x="623"/>
        <item x="771"/>
        <item x="960"/>
        <item x="325"/>
        <item x="665"/>
        <item x="11"/>
        <item x="1197"/>
        <item x="672"/>
        <item x="1085"/>
        <item x="1215"/>
        <item x="1109"/>
        <item x="797"/>
        <item x="479"/>
        <item x="499"/>
        <item x="1066"/>
        <item x="497"/>
        <item x="110"/>
        <item x="742"/>
        <item x="656"/>
        <item x="373"/>
        <item x="839"/>
        <item x="1272"/>
        <item x="1199"/>
        <item x="71"/>
        <item x="1264"/>
        <item x="1130"/>
        <item x="694"/>
        <item x="1154"/>
        <item x="1192"/>
        <item x="251"/>
        <item x="966"/>
        <item x="206"/>
        <item x="704"/>
        <item x="278"/>
        <item x="555"/>
        <item x="1159"/>
        <item x="17"/>
        <item x="564"/>
        <item x="627"/>
        <item x="54"/>
        <item x="266"/>
        <item x="1231"/>
        <item x="761"/>
        <item x="365"/>
        <item x="87"/>
        <item x="949"/>
        <item x="755"/>
        <item x="1078"/>
        <item x="133"/>
        <item x="589"/>
        <item x="779"/>
        <item x="291"/>
        <item x="795"/>
        <item x="769"/>
        <item x="522"/>
        <item x="35"/>
        <item x="1198"/>
        <item x="1210"/>
        <item x="789"/>
        <item x="9"/>
        <item x="380"/>
        <item x="1060"/>
        <item x="357"/>
        <item x="78"/>
        <item x="202"/>
        <item x="252"/>
        <item x="970"/>
        <item x="304"/>
        <item x="948"/>
        <item x="289"/>
        <item x="978"/>
        <item x="1101"/>
        <item x="637"/>
        <item x="762"/>
        <item x="85"/>
        <item x="1020"/>
        <item x="1208"/>
        <item x="608"/>
        <item x="806"/>
        <item x="774"/>
        <item x="847"/>
        <item x="817"/>
        <item x="503"/>
        <item x="263"/>
        <item x="0"/>
        <item x="542"/>
        <item x="855"/>
        <item x="758"/>
        <item x="510"/>
        <item x="1038"/>
        <item x="1077"/>
        <item x="303"/>
        <item x="990"/>
        <item x="423"/>
        <item x="520"/>
        <item x="1136"/>
        <item x="803"/>
        <item x="898"/>
        <item x="277"/>
        <item x="956"/>
        <item x="498"/>
        <item x="618"/>
        <item x="342"/>
        <item x="448"/>
        <item x="246"/>
        <item x="245"/>
        <item x="631"/>
        <item x="42"/>
        <item x="1252"/>
        <item x="314"/>
        <item x="126"/>
        <item x="67"/>
        <item x="265"/>
        <item x="716"/>
        <item x="109"/>
        <item x="1022"/>
        <item x="237"/>
        <item x="439"/>
        <item x="719"/>
        <item x="461"/>
        <item x="70"/>
        <item x="404"/>
        <item x="441"/>
        <item x="326"/>
        <item x="1129"/>
        <item x="952"/>
        <item x="1286"/>
        <item x="984"/>
        <item x="1063"/>
        <item x="107"/>
        <item x="988"/>
        <item x="121"/>
        <item x="1245"/>
        <item x="1278"/>
        <item x="973"/>
        <item x="1174"/>
        <item x="83"/>
        <item x="120"/>
        <item x="1291"/>
        <item x="393"/>
        <item x="443"/>
        <item x="1285"/>
        <item x="1094"/>
        <item x="802"/>
        <item x="1114"/>
        <item x="1219"/>
        <item x="1121"/>
        <item x="180"/>
        <item x="1051"/>
        <item x="362"/>
        <item x="766"/>
        <item x="1270"/>
        <item x="1193"/>
        <item x="1229"/>
        <item x="211"/>
        <item x="1086"/>
        <item x="1158"/>
        <item x="354"/>
        <item x="484"/>
        <item x="1014"/>
        <item x="406"/>
        <item x="1044"/>
        <item x="76"/>
        <item x="98"/>
        <item x="561"/>
        <item x="2"/>
        <item x="574"/>
        <item x="932"/>
        <item x="620"/>
        <item x="1254"/>
        <item x="235"/>
        <item x="445"/>
        <item x="939"/>
        <item x="313"/>
        <item x="1230"/>
        <item x="236"/>
        <item x="792"/>
        <item x="53"/>
        <item x="1103"/>
        <item x="261"/>
        <item x="34"/>
        <item x="603"/>
        <item x="1201"/>
        <item x="1003"/>
        <item x="500"/>
        <item x="15"/>
        <item x="1102"/>
        <item x="388"/>
        <item x="645"/>
        <item x="111"/>
        <item x="937"/>
        <item x="1259"/>
        <item x="1093"/>
        <item x="781"/>
        <item x="678"/>
        <item x="878"/>
        <item x="568"/>
        <item x="269"/>
        <item x="929"/>
        <item x="744"/>
        <item x="1039"/>
        <item x="476"/>
        <item x="786"/>
        <item x="858"/>
        <item x="200"/>
        <item x="1116"/>
        <item x="264"/>
        <item x="1082"/>
        <item x="487"/>
        <item x="791"/>
        <item x="545"/>
        <item x="688"/>
        <item x="420"/>
        <item x="617"/>
        <item x="975"/>
        <item x="5"/>
        <item x="991"/>
        <item x="794"/>
        <item x="1224"/>
        <item x="752"/>
        <item x="787"/>
        <item x="1091"/>
        <item x="268"/>
        <item x="525"/>
        <item x="12"/>
        <item x="692"/>
        <item x="415"/>
        <item x="701"/>
        <item x="216"/>
        <item x="330"/>
        <item x="352"/>
        <item x="738"/>
        <item x="809"/>
        <item x="318"/>
        <item x="582"/>
        <item x="408"/>
        <item x="638"/>
        <item x="217"/>
        <item x="993"/>
        <item x="113"/>
        <item x="1100"/>
        <item x="27"/>
        <item x="867"/>
        <item x="1268"/>
        <item x="611"/>
        <item x="873"/>
        <item x="529"/>
        <item x="935"/>
        <item x="1170"/>
        <item x="602"/>
        <item x="579"/>
        <item x="58"/>
        <item x="77"/>
        <item x="513"/>
        <item x="201"/>
        <item x="132"/>
        <item x="1016"/>
        <item x="295"/>
        <item x="720"/>
        <item x="191"/>
        <item x="18"/>
        <item x="926"/>
        <item x="765"/>
        <item x="258"/>
        <item x="655"/>
        <item x="96"/>
        <item x="1238"/>
        <item x="418"/>
        <item x="523"/>
        <item x="1139"/>
        <item x="256"/>
        <item x="1223"/>
        <item x="38"/>
        <item x="845"/>
        <item x="965"/>
        <item x="1131"/>
        <item x="1047"/>
        <item x="830"/>
        <item x="1115"/>
        <item x="1050"/>
        <item x="494"/>
        <item x="793"/>
        <item x="1187"/>
        <item x="1280"/>
        <item x="1143"/>
        <item x="840"/>
        <item x="607"/>
        <item x="464"/>
        <item x="883"/>
        <item x="685"/>
        <item x="1211"/>
        <item x="853"/>
        <item x="562"/>
        <item x="985"/>
        <item x="1009"/>
        <item x="702"/>
        <item x="403"/>
        <item x="1058"/>
        <item x="1164"/>
        <item x="894"/>
        <item x="106"/>
        <item x="21"/>
        <item x="566"/>
        <item x="505"/>
        <item x="551"/>
        <item x="1034"/>
        <item x="363"/>
        <item x="172"/>
        <item x="942"/>
        <item x="1025"/>
        <item x="570"/>
        <item x="506"/>
        <item x="815"/>
        <item x="740"/>
        <item x="370"/>
        <item x="955"/>
        <item x="1250"/>
        <item x="189"/>
        <item x="44"/>
        <item x="799"/>
        <item x="306"/>
        <item x="383"/>
        <item x="238"/>
        <item x="328"/>
        <item x="455"/>
        <item x="554"/>
        <item x="233"/>
        <item x="829"/>
        <item x="1186"/>
        <item x="841"/>
        <item x="1202"/>
        <item x="469"/>
        <item x="148"/>
        <item x="594"/>
        <item x="862"/>
        <item x="994"/>
        <item x="782"/>
        <item x="411"/>
        <item x="703"/>
        <item x="259"/>
        <item x="351"/>
        <item x="442"/>
        <item x="39"/>
        <item x="473"/>
        <item x="419"/>
        <item x="430"/>
        <item x="572"/>
        <item x="391"/>
        <item x="1279"/>
        <item x="693"/>
        <item x="591"/>
        <item x="334"/>
        <item x="903"/>
        <item x="578"/>
        <item x="1008"/>
        <item x="474"/>
        <item x="1099"/>
        <item x="160"/>
        <item x="307"/>
        <item x="224"/>
        <item x="162"/>
        <item x="763"/>
        <item x="844"/>
        <item x="364"/>
        <item x="828"/>
        <item x="613"/>
        <item x="285"/>
        <item x="392"/>
        <item x="401"/>
        <item x="920"/>
        <item x="651"/>
        <item x="432"/>
        <item x="971"/>
        <item x="751"/>
        <item x="466"/>
        <item x="1072"/>
        <item x="902"/>
        <item x="821"/>
        <item x="1152"/>
        <item x="1241"/>
        <item x="1090"/>
        <item x="135"/>
        <item x="636"/>
        <item x="908"/>
        <item x="1145"/>
        <item x="586"/>
        <item x="433"/>
        <item x="1118"/>
        <item x="79"/>
        <item x="601"/>
        <item x="125"/>
        <item x="458"/>
        <item x="604"/>
        <item x="253"/>
        <item x="337"/>
        <item x="709"/>
        <item x="1124"/>
        <item x="482"/>
        <item x="1266"/>
        <item x="150"/>
        <item x="904"/>
        <item x="1049"/>
        <item x="454"/>
        <item x="861"/>
        <item x="166"/>
        <item x="205"/>
        <item x="1089"/>
        <item x="112"/>
        <item x="1184"/>
        <item x="1228"/>
        <item x="340"/>
        <item x="879"/>
        <item x="210"/>
        <item x="472"/>
        <item x="298"/>
        <item x="642"/>
        <item x="108"/>
        <item x="440"/>
        <item x="580"/>
        <item x="535"/>
        <item x="321"/>
        <item x="346"/>
        <item x="283"/>
        <item x="174"/>
        <item x="1168"/>
        <item x="322"/>
        <item x="540"/>
        <item x="743"/>
        <item x="1244"/>
        <item x="296"/>
        <item x="356"/>
        <item x="707"/>
        <item x="309"/>
        <item x="13"/>
        <item x="339"/>
        <item x="1011"/>
        <item x="1262"/>
        <item x="910"/>
        <item x="257"/>
        <item x="374"/>
        <item x="444"/>
        <item x="819"/>
        <item x="730"/>
        <item x="185"/>
        <item x="1097"/>
        <item x="911"/>
        <item x="977"/>
        <item x="1104"/>
        <item x="1256"/>
        <item x="532"/>
        <item x="681"/>
        <item x="997"/>
        <item x="1098"/>
        <item x="496"/>
        <item x="447"/>
        <item x="925"/>
        <item x="387"/>
        <item x="292"/>
        <item x="705"/>
        <item x="822"/>
        <item x="508"/>
        <item x="919"/>
        <item x="1273"/>
        <item x="434"/>
        <item x="1216"/>
        <item x="504"/>
        <item x="163"/>
        <item x="772"/>
        <item x="100"/>
        <item x="69"/>
        <item x="1190"/>
        <item x="959"/>
        <item x="934"/>
        <item x="139"/>
        <item x="1263"/>
        <item x="183"/>
        <item x="193"/>
        <item x="1056"/>
        <item x="3"/>
        <item x="917"/>
        <item x="516"/>
        <item x="1239"/>
        <item x="1073"/>
        <item x="887"/>
        <item x="541"/>
        <item x="1261"/>
        <item x="1000"/>
        <item x="81"/>
        <item x="1195"/>
        <item x="153"/>
        <item x="428"/>
        <item x="164"/>
        <item x="808"/>
        <item x="327"/>
        <item x="1246"/>
        <item x="462"/>
        <item x="557"/>
        <item x="33"/>
        <item x="198"/>
        <item x="768"/>
        <item x="103"/>
        <item x="1249"/>
        <item x="897"/>
        <item x="213"/>
        <item x="1126"/>
        <item x="511"/>
        <item x="647"/>
        <item x="626"/>
        <item x="101"/>
        <item x="1081"/>
        <item x="8"/>
        <item x="1075"/>
        <item x="690"/>
        <item x="1289"/>
        <item x="467"/>
        <item x="1023"/>
        <item x="154"/>
        <item x="446"/>
        <item x="1242"/>
        <item x="102"/>
        <item x="798"/>
        <item x="312"/>
        <item x="229"/>
        <item x="234"/>
        <item x="1083"/>
        <item x="565"/>
        <item x="536"/>
        <item x="1153"/>
        <item x="567"/>
        <item x="49"/>
        <item x="123"/>
        <item x="624"/>
        <item x="350"/>
        <item x="52"/>
        <item x="854"/>
        <item x="24"/>
        <item x="652"/>
        <item x="73"/>
        <item x="56"/>
        <item x="741"/>
        <item x="316"/>
        <item x="453"/>
        <item x="539"/>
        <item x="776"/>
        <item x="547"/>
        <item x="173"/>
        <item x="877"/>
        <item x="1292"/>
        <item x="969"/>
        <item x="20"/>
        <item x="801"/>
        <item x="823"/>
        <item x="507"/>
        <item x="40"/>
        <item x="1147"/>
        <item x="275"/>
        <item x="827"/>
        <item x="754"/>
        <item x="913"/>
        <item x="1177"/>
        <item x="493"/>
        <item x="272"/>
        <item x="1233"/>
        <item x="718"/>
        <item x="1027"/>
        <item x="1087"/>
        <item x="190"/>
        <item x="1142"/>
        <item x="155"/>
        <item x="118"/>
        <item x="26"/>
        <item x="333"/>
        <item x="1035"/>
        <item x="1220"/>
        <item x="187"/>
        <item x="460"/>
        <item x="221"/>
        <item x="1227"/>
        <item x="394"/>
        <item x="331"/>
        <item x="47"/>
        <item x="650"/>
        <item x="145"/>
        <item x="68"/>
        <item x="1267"/>
        <item x="826"/>
        <item x="51"/>
        <item x="524"/>
        <item x="459"/>
        <item x="1134"/>
        <item x="382"/>
        <item x="97"/>
        <item x="918"/>
        <item x="290"/>
        <item x="871"/>
        <item x="1065"/>
        <item x="916"/>
        <item x="891"/>
        <item x="1156"/>
        <item x="531"/>
        <item x="773"/>
        <item x="502"/>
        <item x="199"/>
        <item x="723"/>
        <item x="634"/>
        <item x="1105"/>
        <item x="747"/>
        <item x="1120"/>
        <item x="86"/>
        <item x="1185"/>
        <item x="267"/>
        <item x="1290"/>
        <item x="628"/>
        <item x="619"/>
        <item x="1125"/>
        <item x="16"/>
        <item x="223"/>
        <item x="82"/>
        <item x="1255"/>
        <item x="872"/>
        <item x="122"/>
        <item x="315"/>
        <item x="805"/>
        <item x="209"/>
        <item x="1188"/>
        <item x="790"/>
        <item x="1183"/>
        <item x="435"/>
        <item x="509"/>
        <item x="142"/>
        <item x="1133"/>
        <item x="559"/>
        <item x="585"/>
        <item x="1157"/>
        <item x="940"/>
        <item x="241"/>
        <item x="4"/>
        <item x="28"/>
        <item x="715"/>
        <item x="355"/>
        <item x="633"/>
        <item x="739"/>
        <item x="360"/>
        <item x="835"/>
        <item x="379"/>
        <item x="25"/>
        <item x="1258"/>
        <item x="36"/>
        <item x="682"/>
        <item x="1055"/>
        <item x="1024"/>
        <item x="848"/>
        <item x="649"/>
        <item x="319"/>
        <item x="695"/>
        <item x="75"/>
        <item x="596"/>
        <item x="717"/>
        <item x="1240"/>
        <item x="569"/>
        <item x="1045"/>
        <item x="359"/>
        <item x="1043"/>
        <item x="152"/>
        <item x="945"/>
        <item x="1017"/>
        <item x="282"/>
        <item x="968"/>
        <item x="1040"/>
        <item x="239"/>
        <item x="958"/>
        <item x="979"/>
        <item x="92"/>
        <item x="888"/>
        <item x="748"/>
        <item x="1172"/>
        <item x="962"/>
        <item x="66"/>
        <item x="1209"/>
        <item x="980"/>
        <item x="875"/>
        <item x="371"/>
        <item x="697"/>
        <item x="1161"/>
        <item x="866"/>
        <item x="1113"/>
        <item x="130"/>
        <item x="683"/>
        <item x="491"/>
        <item x="157"/>
        <item x="612"/>
        <item x="105"/>
        <item x="957"/>
        <item x="22"/>
        <item x="974"/>
        <item x="671"/>
        <item x="725"/>
        <item x="284"/>
        <item x="480"/>
        <item x="1010"/>
        <item x="1127"/>
        <item x="901"/>
        <item x="746"/>
        <item x="857"/>
        <item x="592"/>
        <item x="381"/>
        <item x="301"/>
        <item x="302"/>
        <item x="1096"/>
        <item x="660"/>
        <item x="300"/>
        <item x="158"/>
        <item x="996"/>
        <item x="41"/>
        <item x="982"/>
        <item x="63"/>
        <item x="212"/>
        <item x="670"/>
        <item x="1175"/>
        <item x="687"/>
        <item x="527"/>
        <item x="944"/>
        <item x="1119"/>
        <item x="646"/>
        <item x="288"/>
        <item x="1059"/>
        <item x="335"/>
        <item x="931"/>
        <item x="734"/>
        <item x="1046"/>
        <item x="686"/>
        <item x="1194"/>
        <item x="375"/>
        <item x="667"/>
        <item x="961"/>
        <item x="176"/>
        <item x="463"/>
        <item x="832"/>
        <item x="177"/>
        <item x="169"/>
        <item x="778"/>
        <item x="606"/>
        <item x="881"/>
        <item x="376"/>
        <item x="714"/>
        <item x="308"/>
        <item x="800"/>
        <item x="1163"/>
        <item x="783"/>
        <item x="495"/>
        <item x="1108"/>
        <item x="588"/>
        <item x="1257"/>
        <item x="512"/>
        <item x="1110"/>
        <item x="230"/>
        <item x="972"/>
        <item x="1021"/>
        <item x="609"/>
        <item x="610"/>
        <item x="1282"/>
        <item x="451"/>
        <item x="255"/>
        <item x="1196"/>
        <item x="140"/>
        <item x="1111"/>
        <item x="361"/>
        <item x="728"/>
        <item x="1032"/>
        <item x="546"/>
        <item x="117"/>
        <item x="14"/>
        <item x="1004"/>
        <item x="1084"/>
        <item x="724"/>
        <item x="1029"/>
        <item x="427"/>
        <item x="1166"/>
        <item x="1062"/>
        <item x="615"/>
        <item x="938"/>
        <item x="659"/>
        <item x="836"/>
        <item x="61"/>
        <item x="737"/>
        <item x="1042"/>
        <item x="222"/>
        <item x="281"/>
        <item x="409"/>
        <item x="882"/>
        <item x="175"/>
        <item x="329"/>
        <item x="276"/>
        <item x="46"/>
        <item x="653"/>
        <item x="421"/>
        <item x="1162"/>
        <item x="767"/>
        <item x="706"/>
        <item x="60"/>
        <item x="320"/>
        <item x="953"/>
        <item x="490"/>
        <item x="483"/>
        <item x="676"/>
        <item x="1037"/>
        <item x="1287"/>
        <item x="146"/>
        <item x="1169"/>
        <item x="756"/>
        <item x="870"/>
        <item x="57"/>
        <item x="114"/>
        <item x="818"/>
        <item x="643"/>
        <item x="895"/>
        <item x="1007"/>
        <item x="220"/>
        <item x="930"/>
        <item x="1205"/>
        <item x="1002"/>
        <item x="74"/>
        <item x="735"/>
        <item x="348"/>
        <item x="1232"/>
        <item x="600"/>
        <item x="336"/>
        <item x="343"/>
        <item x="396"/>
        <item x="729"/>
        <item x="226"/>
        <item x="1112"/>
        <item x="905"/>
        <item x="698"/>
        <item x="1012"/>
        <item x="250"/>
        <item x="1288"/>
        <item x="165"/>
        <item x="90"/>
        <item x="933"/>
        <item x="856"/>
        <item x="243"/>
        <item x="943"/>
        <item x="244"/>
        <item x="515"/>
        <item x="616"/>
        <item x="1277"/>
        <item x="625"/>
        <item x="1"/>
        <item x="438"/>
        <item x="1151"/>
        <item x="1217"/>
        <item x="294"/>
        <item x="203"/>
        <item x="1138"/>
        <item x="641"/>
        <item x="632"/>
        <item x="1206"/>
        <item x="378"/>
        <item x="629"/>
        <item x="1001"/>
        <item x="780"/>
        <item x="127"/>
        <item x="1148"/>
        <item x="345"/>
        <item x="134"/>
        <item x="811"/>
        <item x="750"/>
        <item x="1265"/>
        <item x="915"/>
        <item x="215"/>
        <item x="838"/>
        <item x="207"/>
        <item x="131"/>
        <item x="846"/>
        <item x="1026"/>
        <item x="124"/>
        <item x="713"/>
        <item x="820"/>
        <item x="349"/>
        <item x="182"/>
        <item x="852"/>
        <item x="1122"/>
        <item x="1281"/>
        <item x="397"/>
        <item x="10"/>
        <item x="796"/>
        <item x="194"/>
        <item x="1178"/>
        <item x="1041"/>
        <item x="831"/>
        <item x="922"/>
        <item x="136"/>
        <item x="995"/>
        <item x="576"/>
        <item x="727"/>
        <item x="621"/>
        <item x="757"/>
        <item x="865"/>
        <item x="372"/>
        <item x="186"/>
        <item x="481"/>
        <item x="983"/>
        <item x="489"/>
        <item x="668"/>
        <item x="104"/>
        <item x="593"/>
        <item x="885"/>
        <item x="575"/>
        <item x="385"/>
        <item x="976"/>
        <item x="431"/>
        <item x="1064"/>
        <item x="1222"/>
        <item x="599"/>
        <item x="1137"/>
        <item x="941"/>
        <item x="1214"/>
        <item x="7"/>
        <item x="1176"/>
        <item x="1191"/>
        <item x="992"/>
        <item x="45"/>
        <item x="947"/>
        <item x="759"/>
        <item x="19"/>
        <item x="323"/>
        <item x="1005"/>
        <item x="874"/>
        <item x="1015"/>
        <item x="1213"/>
        <item x="640"/>
        <item x="936"/>
        <item x="208"/>
        <item x="530"/>
        <item x="914"/>
        <item x="402"/>
        <item x="951"/>
        <item x="1053"/>
        <item x="924"/>
        <item x="478"/>
        <item x="138"/>
        <item x="892"/>
        <item x="677"/>
        <item x="732"/>
        <item x="297"/>
        <item x="533"/>
        <item x="37"/>
        <item x="587"/>
        <item x="400"/>
        <item x="544"/>
        <item x="32"/>
        <item x="833"/>
        <item x="912"/>
        <item x="398"/>
        <item x="286"/>
        <item x="674"/>
        <item x="1057"/>
        <item x="240"/>
        <item x="1173"/>
        <item x="691"/>
        <item x="416"/>
        <item x="712"/>
        <item x="179"/>
        <item x="863"/>
        <item x="184"/>
        <item x="684"/>
        <item x="736"/>
        <item x="595"/>
        <item x="597"/>
        <item x="219"/>
        <item x="141"/>
        <item x="1179"/>
        <item x="658"/>
        <item x="167"/>
        <item x="1128"/>
        <item x="899"/>
        <item x="1275"/>
        <item x="722"/>
        <item x="99"/>
        <item x="151"/>
        <item x="366"/>
        <item x="1144"/>
        <item x="1036"/>
        <item x="1052"/>
        <item x="1149"/>
        <item x="654"/>
        <item x="1203"/>
        <item x="30"/>
        <item x="553"/>
        <item x="465"/>
        <item x="1274"/>
        <item x="777"/>
        <item x="80"/>
        <item x="745"/>
        <item x="1031"/>
        <item x="673"/>
        <item x="225"/>
        <item x="128"/>
        <item x="147"/>
        <item x="1260"/>
        <item x="784"/>
        <item x="50"/>
        <item x="279"/>
        <item x="94"/>
        <item x="927"/>
        <item x="1141"/>
        <item x="906"/>
        <item x="456"/>
        <item x="876"/>
        <item x="946"/>
        <item x="666"/>
        <item x="1048"/>
        <item x="810"/>
        <item x="696"/>
        <item x="317"/>
        <item x="1135"/>
        <item x="1235"/>
        <item x="452"/>
        <item x="204"/>
        <item x="137"/>
        <item x="231"/>
        <item x="470"/>
        <item x="181"/>
        <item x="851"/>
        <item x="192"/>
        <item x="514"/>
        <item x="293"/>
        <item x="843"/>
        <item x="549"/>
        <item x="825"/>
        <item x="859"/>
        <item x="807"/>
        <item x="1140"/>
        <item x="449"/>
        <item x="753"/>
        <item x="1182"/>
        <item x="262"/>
        <item x="471"/>
        <item x="1155"/>
        <item x="804"/>
        <item x="644"/>
        <item x="987"/>
        <item x="558"/>
        <item x="247"/>
        <item x="964"/>
        <item x="492"/>
        <item x="260"/>
        <item x="84"/>
        <item x="814"/>
        <item x="639"/>
        <item x="556"/>
        <item x="1080"/>
        <item x="1079"/>
        <item x="967"/>
        <item x="1180"/>
        <item x="890"/>
        <item x="605"/>
        <item x="254"/>
        <item x="1068"/>
        <item x="788"/>
        <item x="29"/>
        <item x="1033"/>
        <item x="1221"/>
        <item x="1107"/>
        <item x="405"/>
        <item x="1237"/>
        <item x="144"/>
        <item x="168"/>
        <item x="816"/>
        <item t="default"/>
      </items>
    </pivotField>
    <pivotField showAll="0">
      <items count="11">
        <item x="2"/>
        <item x="9"/>
        <item x="3"/>
        <item x="4"/>
        <item x="7"/>
        <item x="6"/>
        <item x="0"/>
        <item x="8"/>
        <item x="1"/>
        <item x="5"/>
        <item t="default"/>
      </items>
    </pivotField>
    <pivotField showAll="0">
      <items count="3">
        <item x="0"/>
        <item x="1"/>
        <item t="default"/>
      </items>
    </pivotField>
    <pivotField showAll="0"/>
    <pivotField axis="axisCol" showAll="0">
      <items count="8">
        <item x="4"/>
        <item x="1"/>
        <item x="0"/>
        <item x="6"/>
        <item x="5"/>
        <item x="2"/>
        <item x="3"/>
        <item t="default"/>
      </items>
    </pivotField>
    <pivotField showAll="0">
      <items count="54">
        <item x="39"/>
        <item x="52"/>
        <item x="32"/>
        <item x="8"/>
        <item x="1"/>
        <item x="47"/>
        <item x="48"/>
        <item x="43"/>
        <item x="0"/>
        <item x="40"/>
        <item x="16"/>
        <item x="22"/>
        <item x="2"/>
        <item x="25"/>
        <item x="17"/>
        <item x="35"/>
        <item x="19"/>
        <item x="9"/>
        <item x="28"/>
        <item x="10"/>
        <item x="27"/>
        <item x="11"/>
        <item x="3"/>
        <item x="6"/>
        <item x="7"/>
        <item x="23"/>
        <item x="30"/>
        <item x="41"/>
        <item x="45"/>
        <item x="42"/>
        <item x="24"/>
        <item x="34"/>
        <item x="50"/>
        <item x="21"/>
        <item x="37"/>
        <item x="46"/>
        <item x="4"/>
        <item x="12"/>
        <item x="38"/>
        <item x="20"/>
        <item x="51"/>
        <item x="15"/>
        <item x="33"/>
        <item x="36"/>
        <item x="14"/>
        <item x="31"/>
        <item x="26"/>
        <item x="18"/>
        <item x="49"/>
        <item x="29"/>
        <item x="13"/>
        <item x="44"/>
        <item x="5"/>
        <item t="default"/>
      </items>
    </pivotField>
  </pivotFields>
  <rowFields count="1">
    <field x="4"/>
  </rowFields>
  <rowItems count="8">
    <i>
      <x/>
    </i>
    <i>
      <x v="1"/>
    </i>
    <i>
      <x v="2"/>
    </i>
    <i>
      <x v="3"/>
    </i>
    <i>
      <x v="4"/>
    </i>
    <i>
      <x v="5"/>
    </i>
    <i>
      <x v="6"/>
    </i>
    <i t="grand">
      <x/>
    </i>
  </rowItems>
  <colFields count="1">
    <field x="9"/>
  </colFields>
  <colItems count="8">
    <i>
      <x/>
    </i>
    <i>
      <x v="1"/>
    </i>
    <i>
      <x v="2"/>
    </i>
    <i>
      <x v="3"/>
    </i>
    <i>
      <x v="4"/>
    </i>
    <i>
      <x v="5"/>
    </i>
    <i>
      <x v="6"/>
    </i>
    <i t="grand">
      <x/>
    </i>
  </colItems>
  <dataFields count="1">
    <dataField name="Sum of Salary" fld="5" baseField="0" baseItem="0"/>
  </dataFields>
  <formats count="10">
    <format dxfId="32">
      <pivotArea type="all" dataOnly="0" outline="0" fieldPosition="0"/>
    </format>
    <format dxfId="31">
      <pivotArea outline="0" collapsedLevelsAreSubtotals="1" fieldPosition="0"/>
    </format>
    <format dxfId="30">
      <pivotArea type="origin" dataOnly="0" labelOnly="1" outline="0" fieldPosition="0"/>
    </format>
    <format dxfId="29">
      <pivotArea field="9" type="button" dataOnly="0" labelOnly="1" outline="0" axis="axisCol" fieldPosition="0"/>
    </format>
    <format dxfId="28">
      <pivotArea type="topRight" dataOnly="0" labelOnly="1" outline="0" fieldPosition="0"/>
    </format>
    <format dxfId="27">
      <pivotArea field="4" type="button" dataOnly="0" labelOnly="1" outline="0" axis="axisRow" fieldPosition="0"/>
    </format>
    <format dxfId="26">
      <pivotArea dataOnly="0" labelOnly="1" fieldPosition="0">
        <references count="1">
          <reference field="4" count="0"/>
        </references>
      </pivotArea>
    </format>
    <format dxfId="25">
      <pivotArea dataOnly="0" labelOnly="1" grandRow="1" outline="0" fieldPosition="0"/>
    </format>
    <format dxfId="24">
      <pivotArea dataOnly="0" labelOnly="1" fieldPosition="0">
        <references count="1">
          <reference field="9" count="0"/>
        </references>
      </pivotArea>
    </format>
    <format dxfId="23">
      <pivotArea dataOnly="0" labelOnly="1" grandCol="1" outline="0" fieldPosition="0"/>
    </format>
  </formats>
  <chartFormats count="14">
    <chartFormat chart="12" format="0" series="1">
      <pivotArea type="data" outline="0" fieldPosition="0">
        <references count="2">
          <reference field="4294967294" count="1" selected="0">
            <x v="0"/>
          </reference>
          <reference field="9" count="1" selected="0">
            <x v="0"/>
          </reference>
        </references>
      </pivotArea>
    </chartFormat>
    <chartFormat chart="12" format="1" series="1">
      <pivotArea type="data" outline="0" fieldPosition="0">
        <references count="2">
          <reference field="4294967294" count="1" selected="0">
            <x v="0"/>
          </reference>
          <reference field="9" count="1" selected="0">
            <x v="1"/>
          </reference>
        </references>
      </pivotArea>
    </chartFormat>
    <chartFormat chart="12" format="2" series="1">
      <pivotArea type="data" outline="0" fieldPosition="0">
        <references count="2">
          <reference field="4294967294" count="1" selected="0">
            <x v="0"/>
          </reference>
          <reference field="9" count="1" selected="0">
            <x v="2"/>
          </reference>
        </references>
      </pivotArea>
    </chartFormat>
    <chartFormat chart="12" format="3" series="1">
      <pivotArea type="data" outline="0" fieldPosition="0">
        <references count="2">
          <reference field="4294967294" count="1" selected="0">
            <x v="0"/>
          </reference>
          <reference field="9" count="1" selected="0">
            <x v="3"/>
          </reference>
        </references>
      </pivotArea>
    </chartFormat>
    <chartFormat chart="12" format="4" series="1">
      <pivotArea type="data" outline="0" fieldPosition="0">
        <references count="2">
          <reference field="4294967294" count="1" selected="0">
            <x v="0"/>
          </reference>
          <reference field="9" count="1" selected="0">
            <x v="4"/>
          </reference>
        </references>
      </pivotArea>
    </chartFormat>
    <chartFormat chart="12" format="5" series="1">
      <pivotArea type="data" outline="0" fieldPosition="0">
        <references count="2">
          <reference field="4294967294" count="1" selected="0">
            <x v="0"/>
          </reference>
          <reference field="9" count="1" selected="0">
            <x v="5"/>
          </reference>
        </references>
      </pivotArea>
    </chartFormat>
    <chartFormat chart="12" format="6" series="1">
      <pivotArea type="data" outline="0" fieldPosition="0">
        <references count="2">
          <reference field="4294967294" count="1" selected="0">
            <x v="0"/>
          </reference>
          <reference field="9" count="1" selected="0">
            <x v="6"/>
          </reference>
        </references>
      </pivotArea>
    </chartFormat>
    <chartFormat chart="14" format="14" series="1">
      <pivotArea type="data" outline="0" fieldPosition="0">
        <references count="2">
          <reference field="4294967294" count="1" selected="0">
            <x v="0"/>
          </reference>
          <reference field="9" count="1" selected="0">
            <x v="0"/>
          </reference>
        </references>
      </pivotArea>
    </chartFormat>
    <chartFormat chart="14" format="15" series="1">
      <pivotArea type="data" outline="0" fieldPosition="0">
        <references count="2">
          <reference field="4294967294" count="1" selected="0">
            <x v="0"/>
          </reference>
          <reference field="9" count="1" selected="0">
            <x v="1"/>
          </reference>
        </references>
      </pivotArea>
    </chartFormat>
    <chartFormat chart="14" format="16" series="1">
      <pivotArea type="data" outline="0" fieldPosition="0">
        <references count="2">
          <reference field="4294967294" count="1" selected="0">
            <x v="0"/>
          </reference>
          <reference field="9" count="1" selected="0">
            <x v="2"/>
          </reference>
        </references>
      </pivotArea>
    </chartFormat>
    <chartFormat chart="14" format="17" series="1">
      <pivotArea type="data" outline="0" fieldPosition="0">
        <references count="2">
          <reference field="4294967294" count="1" selected="0">
            <x v="0"/>
          </reference>
          <reference field="9" count="1" selected="0">
            <x v="3"/>
          </reference>
        </references>
      </pivotArea>
    </chartFormat>
    <chartFormat chart="14" format="18" series="1">
      <pivotArea type="data" outline="0" fieldPosition="0">
        <references count="2">
          <reference field="4294967294" count="1" selected="0">
            <x v="0"/>
          </reference>
          <reference field="9" count="1" selected="0">
            <x v="4"/>
          </reference>
        </references>
      </pivotArea>
    </chartFormat>
    <chartFormat chart="14" format="19" series="1">
      <pivotArea type="data" outline="0" fieldPosition="0">
        <references count="2">
          <reference field="4294967294" count="1" selected="0">
            <x v="0"/>
          </reference>
          <reference field="9" count="1" selected="0">
            <x v="5"/>
          </reference>
        </references>
      </pivotArea>
    </chartFormat>
    <chartFormat chart="14" format="20" series="1">
      <pivotArea type="data" outline="0" fieldPosition="0">
        <references count="2">
          <reference field="4294967294" count="1" selected="0">
            <x v="0"/>
          </reference>
          <reference field="9"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1895C2-65AB-43E2-99B5-23C68506B75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43:D55" firstHeaderRow="1" firstDataRow="2" firstDataCol="1"/>
  <pivotFields count="11">
    <pivotField showAll="0">
      <items count="12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t="default"/>
      </items>
    </pivotField>
    <pivotField showAll="0"/>
    <pivotField numFmtId="164" showAll="0"/>
    <pivotField numFmtId="14" showAll="0"/>
    <pivotField showAll="0">
      <items count="8">
        <item x="5"/>
        <item x="1"/>
        <item x="6"/>
        <item x="0"/>
        <item x="4"/>
        <item x="2"/>
        <item x="3"/>
        <item t="default"/>
      </items>
    </pivotField>
    <pivotField showAll="0"/>
    <pivotField axis="axisRow" showAll="0">
      <items count="11">
        <item x="2"/>
        <item x="9"/>
        <item x="3"/>
        <item x="4"/>
        <item x="7"/>
        <item x="6"/>
        <item x="0"/>
        <item x="8"/>
        <item x="1"/>
        <item x="5"/>
        <item t="default"/>
      </items>
    </pivotField>
    <pivotField axis="axisCol" showAll="0">
      <items count="3">
        <item x="0"/>
        <item x="1"/>
        <item t="default"/>
      </items>
    </pivotField>
    <pivotField dataField="1" showAll="0"/>
    <pivotField showAll="0"/>
    <pivotField showAll="0">
      <items count="54">
        <item x="39"/>
        <item x="52"/>
        <item x="32"/>
        <item x="8"/>
        <item x="1"/>
        <item x="47"/>
        <item x="48"/>
        <item x="43"/>
        <item x="0"/>
        <item x="40"/>
        <item x="16"/>
        <item x="22"/>
        <item x="2"/>
        <item x="25"/>
        <item x="17"/>
        <item x="35"/>
        <item x="19"/>
        <item x="9"/>
        <item x="28"/>
        <item x="10"/>
        <item x="27"/>
        <item x="11"/>
        <item x="3"/>
        <item x="6"/>
        <item x="7"/>
        <item x="23"/>
        <item x="30"/>
        <item x="41"/>
        <item x="45"/>
        <item x="42"/>
        <item x="24"/>
        <item x="34"/>
        <item x="50"/>
        <item x="21"/>
        <item x="37"/>
        <item x="46"/>
        <item x="4"/>
        <item x="12"/>
        <item x="38"/>
        <item x="20"/>
        <item x="51"/>
        <item x="15"/>
        <item x="33"/>
        <item x="36"/>
        <item x="14"/>
        <item x="31"/>
        <item x="26"/>
        <item x="18"/>
        <item x="49"/>
        <item x="29"/>
        <item x="13"/>
        <item x="44"/>
        <item x="5"/>
        <item t="default"/>
      </items>
    </pivotField>
  </pivotFields>
  <rowFields count="1">
    <field x="6"/>
  </rowFields>
  <rowItems count="11">
    <i>
      <x/>
    </i>
    <i>
      <x v="1"/>
    </i>
    <i>
      <x v="2"/>
    </i>
    <i>
      <x v="3"/>
    </i>
    <i>
      <x v="4"/>
    </i>
    <i>
      <x v="5"/>
    </i>
    <i>
      <x v="6"/>
    </i>
    <i>
      <x v="7"/>
    </i>
    <i>
      <x v="8"/>
    </i>
    <i>
      <x v="9"/>
    </i>
    <i t="grand">
      <x/>
    </i>
  </rowItems>
  <colFields count="1">
    <field x="7"/>
  </colFields>
  <colItems count="3">
    <i>
      <x/>
    </i>
    <i>
      <x v="1"/>
    </i>
    <i t="grand">
      <x/>
    </i>
  </colItems>
  <dataFields count="1">
    <dataField name="Count of Job Code" fld="8" subtotal="count" baseField="0" baseItem="0"/>
  </dataFields>
  <formats count="10">
    <format dxfId="42">
      <pivotArea type="all" dataOnly="0" outline="0" fieldPosition="0"/>
    </format>
    <format dxfId="41">
      <pivotArea outline="0" collapsedLevelsAreSubtotals="1" fieldPosition="0"/>
    </format>
    <format dxfId="40">
      <pivotArea type="origin" dataOnly="0" labelOnly="1" outline="0" fieldPosition="0"/>
    </format>
    <format dxfId="39">
      <pivotArea field="7" type="button" dataOnly="0" labelOnly="1" outline="0" axis="axisCol" fieldPosition="0"/>
    </format>
    <format dxfId="38">
      <pivotArea type="topRight" dataOnly="0" labelOnly="1" outline="0" fieldPosition="0"/>
    </format>
    <format dxfId="37">
      <pivotArea field="6" type="button" dataOnly="0" labelOnly="1" outline="0" axis="axisRow" fieldPosition="0"/>
    </format>
    <format dxfId="36">
      <pivotArea dataOnly="0" labelOnly="1" fieldPosition="0">
        <references count="1">
          <reference field="6" count="0"/>
        </references>
      </pivotArea>
    </format>
    <format dxfId="35">
      <pivotArea dataOnly="0" labelOnly="1" grandRow="1" outline="0" fieldPosition="0"/>
    </format>
    <format dxfId="34">
      <pivotArea dataOnly="0" labelOnly="1" fieldPosition="0">
        <references count="1">
          <reference field="7" count="0"/>
        </references>
      </pivotArea>
    </format>
    <format dxfId="33">
      <pivotArea dataOnly="0" labelOnly="1" grandCol="1" outline="0" fieldPosition="0"/>
    </format>
  </formats>
  <chartFormats count="24">
    <chartFormat chart="5" format="0" series="1">
      <pivotArea type="data" outline="0" fieldPosition="0">
        <references count="2">
          <reference field="4294967294" count="1" selected="0">
            <x v="0"/>
          </reference>
          <reference field="7" count="1" selected="0">
            <x v="0"/>
          </reference>
        </references>
      </pivotArea>
    </chartFormat>
    <chartFormat chart="5" format="1" series="1">
      <pivotArea type="data" outline="0" fieldPosition="0">
        <references count="2">
          <reference field="4294967294" count="1" selected="0">
            <x v="0"/>
          </reference>
          <reference field="7" count="1" selected="0">
            <x v="1"/>
          </reference>
        </references>
      </pivotArea>
    </chartFormat>
    <chartFormat chart="11" format="24" series="1">
      <pivotArea type="data" outline="0" fieldPosition="0">
        <references count="2">
          <reference field="4294967294" count="1" selected="0">
            <x v="0"/>
          </reference>
          <reference field="7" count="1" selected="0">
            <x v="0"/>
          </reference>
        </references>
      </pivotArea>
    </chartFormat>
    <chartFormat chart="11" format="25">
      <pivotArea type="data" outline="0" fieldPosition="0">
        <references count="3">
          <reference field="4294967294" count="1" selected="0">
            <x v="0"/>
          </reference>
          <reference field="6" count="1" selected="0">
            <x v="0"/>
          </reference>
          <reference field="7" count="1" selected="0">
            <x v="0"/>
          </reference>
        </references>
      </pivotArea>
    </chartFormat>
    <chartFormat chart="11" format="26">
      <pivotArea type="data" outline="0" fieldPosition="0">
        <references count="3">
          <reference field="4294967294" count="1" selected="0">
            <x v="0"/>
          </reference>
          <reference field="6" count="1" selected="0">
            <x v="1"/>
          </reference>
          <reference field="7" count="1" selected="0">
            <x v="0"/>
          </reference>
        </references>
      </pivotArea>
    </chartFormat>
    <chartFormat chart="11" format="27">
      <pivotArea type="data" outline="0" fieldPosition="0">
        <references count="3">
          <reference field="4294967294" count="1" selected="0">
            <x v="0"/>
          </reference>
          <reference field="6" count="1" selected="0">
            <x v="2"/>
          </reference>
          <reference field="7" count="1" selected="0">
            <x v="0"/>
          </reference>
        </references>
      </pivotArea>
    </chartFormat>
    <chartFormat chart="11" format="28">
      <pivotArea type="data" outline="0" fieldPosition="0">
        <references count="3">
          <reference field="4294967294" count="1" selected="0">
            <x v="0"/>
          </reference>
          <reference field="6" count="1" selected="0">
            <x v="3"/>
          </reference>
          <reference field="7" count="1" selected="0">
            <x v="0"/>
          </reference>
        </references>
      </pivotArea>
    </chartFormat>
    <chartFormat chart="11" format="29">
      <pivotArea type="data" outline="0" fieldPosition="0">
        <references count="3">
          <reference field="4294967294" count="1" selected="0">
            <x v="0"/>
          </reference>
          <reference field="6" count="1" selected="0">
            <x v="4"/>
          </reference>
          <reference field="7" count="1" selected="0">
            <x v="0"/>
          </reference>
        </references>
      </pivotArea>
    </chartFormat>
    <chartFormat chart="11" format="30">
      <pivotArea type="data" outline="0" fieldPosition="0">
        <references count="3">
          <reference field="4294967294" count="1" selected="0">
            <x v="0"/>
          </reference>
          <reference field="6" count="1" selected="0">
            <x v="5"/>
          </reference>
          <reference field="7" count="1" selected="0">
            <x v="0"/>
          </reference>
        </references>
      </pivotArea>
    </chartFormat>
    <chartFormat chart="11" format="31">
      <pivotArea type="data" outline="0" fieldPosition="0">
        <references count="3">
          <reference field="4294967294" count="1" selected="0">
            <x v="0"/>
          </reference>
          <reference field="6" count="1" selected="0">
            <x v="6"/>
          </reference>
          <reference field="7" count="1" selected="0">
            <x v="0"/>
          </reference>
        </references>
      </pivotArea>
    </chartFormat>
    <chartFormat chart="11" format="32">
      <pivotArea type="data" outline="0" fieldPosition="0">
        <references count="3">
          <reference field="4294967294" count="1" selected="0">
            <x v="0"/>
          </reference>
          <reference field="6" count="1" selected="0">
            <x v="7"/>
          </reference>
          <reference field="7" count="1" selected="0">
            <x v="0"/>
          </reference>
        </references>
      </pivotArea>
    </chartFormat>
    <chartFormat chart="11" format="33">
      <pivotArea type="data" outline="0" fieldPosition="0">
        <references count="3">
          <reference field="4294967294" count="1" selected="0">
            <x v="0"/>
          </reference>
          <reference field="6" count="1" selected="0">
            <x v="8"/>
          </reference>
          <reference field="7" count="1" selected="0">
            <x v="0"/>
          </reference>
        </references>
      </pivotArea>
    </chartFormat>
    <chartFormat chart="11" format="34">
      <pivotArea type="data" outline="0" fieldPosition="0">
        <references count="3">
          <reference field="4294967294" count="1" selected="0">
            <x v="0"/>
          </reference>
          <reference field="6" count="1" selected="0">
            <x v="9"/>
          </reference>
          <reference field="7" count="1" selected="0">
            <x v="0"/>
          </reference>
        </references>
      </pivotArea>
    </chartFormat>
    <chartFormat chart="11" format="35" series="1">
      <pivotArea type="data" outline="0" fieldPosition="0">
        <references count="2">
          <reference field="4294967294" count="1" selected="0">
            <x v="0"/>
          </reference>
          <reference field="7" count="1" selected="0">
            <x v="1"/>
          </reference>
        </references>
      </pivotArea>
    </chartFormat>
    <chartFormat chart="11" format="36">
      <pivotArea type="data" outline="0" fieldPosition="0">
        <references count="3">
          <reference field="4294967294" count="1" selected="0">
            <x v="0"/>
          </reference>
          <reference field="6" count="1" selected="0">
            <x v="0"/>
          </reference>
          <reference field="7" count="1" selected="0">
            <x v="1"/>
          </reference>
        </references>
      </pivotArea>
    </chartFormat>
    <chartFormat chart="11" format="37">
      <pivotArea type="data" outline="0" fieldPosition="0">
        <references count="3">
          <reference field="4294967294" count="1" selected="0">
            <x v="0"/>
          </reference>
          <reference field="6" count="1" selected="0">
            <x v="1"/>
          </reference>
          <reference field="7" count="1" selected="0">
            <x v="1"/>
          </reference>
        </references>
      </pivotArea>
    </chartFormat>
    <chartFormat chart="11" format="38">
      <pivotArea type="data" outline="0" fieldPosition="0">
        <references count="3">
          <reference field="4294967294" count="1" selected="0">
            <x v="0"/>
          </reference>
          <reference field="6" count="1" selected="0">
            <x v="2"/>
          </reference>
          <reference field="7" count="1" selected="0">
            <x v="1"/>
          </reference>
        </references>
      </pivotArea>
    </chartFormat>
    <chartFormat chart="11" format="39">
      <pivotArea type="data" outline="0" fieldPosition="0">
        <references count="3">
          <reference field="4294967294" count="1" selected="0">
            <x v="0"/>
          </reference>
          <reference field="6" count="1" selected="0">
            <x v="3"/>
          </reference>
          <reference field="7" count="1" selected="0">
            <x v="1"/>
          </reference>
        </references>
      </pivotArea>
    </chartFormat>
    <chartFormat chart="11" format="40">
      <pivotArea type="data" outline="0" fieldPosition="0">
        <references count="3">
          <reference field="4294967294" count="1" selected="0">
            <x v="0"/>
          </reference>
          <reference field="6" count="1" selected="0">
            <x v="4"/>
          </reference>
          <reference field="7" count="1" selected="0">
            <x v="1"/>
          </reference>
        </references>
      </pivotArea>
    </chartFormat>
    <chartFormat chart="11" format="41">
      <pivotArea type="data" outline="0" fieldPosition="0">
        <references count="3">
          <reference field="4294967294" count="1" selected="0">
            <x v="0"/>
          </reference>
          <reference field="6" count="1" selected="0">
            <x v="5"/>
          </reference>
          <reference field="7" count="1" selected="0">
            <x v="1"/>
          </reference>
        </references>
      </pivotArea>
    </chartFormat>
    <chartFormat chart="11" format="42">
      <pivotArea type="data" outline="0" fieldPosition="0">
        <references count="3">
          <reference field="4294967294" count="1" selected="0">
            <x v="0"/>
          </reference>
          <reference field="6" count="1" selected="0">
            <x v="6"/>
          </reference>
          <reference field="7" count="1" selected="0">
            <x v="1"/>
          </reference>
        </references>
      </pivotArea>
    </chartFormat>
    <chartFormat chart="11" format="43">
      <pivotArea type="data" outline="0" fieldPosition="0">
        <references count="3">
          <reference field="4294967294" count="1" selected="0">
            <x v="0"/>
          </reference>
          <reference field="6" count="1" selected="0">
            <x v="7"/>
          </reference>
          <reference field="7" count="1" selected="0">
            <x v="1"/>
          </reference>
        </references>
      </pivotArea>
    </chartFormat>
    <chartFormat chart="11" format="44">
      <pivotArea type="data" outline="0" fieldPosition="0">
        <references count="3">
          <reference field="4294967294" count="1" selected="0">
            <x v="0"/>
          </reference>
          <reference field="6" count="1" selected="0">
            <x v="8"/>
          </reference>
          <reference field="7" count="1" selected="0">
            <x v="1"/>
          </reference>
        </references>
      </pivotArea>
    </chartFormat>
    <chartFormat chart="11" format="45">
      <pivotArea type="data" outline="0" fieldPosition="0">
        <references count="3">
          <reference field="4294967294" count="1" selected="0">
            <x v="0"/>
          </reference>
          <reference field="6" count="1" selected="0">
            <x v="9"/>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3283F1-3193-48CD-B193-1EE77D1B7C9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5:D14" firstHeaderRow="1" firstDataRow="2" firstDataCol="1"/>
  <pivotFields count="11">
    <pivotField showAll="0">
      <items count="12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t="default"/>
      </items>
    </pivotField>
    <pivotField showAll="0"/>
    <pivotField numFmtId="164" showAll="0"/>
    <pivotField numFmtId="14" showAll="0"/>
    <pivotField showAll="0">
      <items count="8">
        <item x="5"/>
        <item x="1"/>
        <item x="6"/>
        <item x="0"/>
        <item x="4"/>
        <item x="2"/>
        <item x="3"/>
        <item t="default"/>
      </items>
    </pivotField>
    <pivotField showAll="0"/>
    <pivotField dataField="1" showAll="0">
      <items count="11">
        <item x="2"/>
        <item x="9"/>
        <item x="3"/>
        <item x="4"/>
        <item x="7"/>
        <item x="6"/>
        <item x="0"/>
        <item x="8"/>
        <item x="1"/>
        <item x="5"/>
        <item t="default"/>
      </items>
    </pivotField>
    <pivotField axis="axisCol" showAll="0">
      <items count="3">
        <item x="0"/>
        <item x="1"/>
        <item t="default"/>
      </items>
    </pivotField>
    <pivotField showAll="0">
      <items count="687">
        <item x="3"/>
        <item x="233"/>
        <item x="89"/>
        <item x="445"/>
        <item x="132"/>
        <item x="660"/>
        <item x="305"/>
        <item x="604"/>
        <item x="157"/>
        <item x="107"/>
        <item x="456"/>
        <item x="494"/>
        <item x="164"/>
        <item x="40"/>
        <item x="363"/>
        <item x="323"/>
        <item x="399"/>
        <item x="280"/>
        <item x="142"/>
        <item x="267"/>
        <item x="403"/>
        <item x="620"/>
        <item x="163"/>
        <item x="674"/>
        <item x="398"/>
        <item x="508"/>
        <item x="540"/>
        <item x="343"/>
        <item x="390"/>
        <item x="355"/>
        <item x="239"/>
        <item x="303"/>
        <item x="72"/>
        <item x="622"/>
        <item x="675"/>
        <item x="411"/>
        <item x="472"/>
        <item x="580"/>
        <item x="478"/>
        <item x="427"/>
        <item x="78"/>
        <item x="19"/>
        <item x="286"/>
        <item x="67"/>
        <item x="634"/>
        <item x="466"/>
        <item x="640"/>
        <item x="235"/>
        <item x="293"/>
        <item x="229"/>
        <item x="189"/>
        <item x="258"/>
        <item x="294"/>
        <item x="541"/>
        <item x="391"/>
        <item x="552"/>
        <item x="663"/>
        <item x="484"/>
        <item x="335"/>
        <item x="671"/>
        <item x="193"/>
        <item x="538"/>
        <item x="377"/>
        <item x="204"/>
        <item x="611"/>
        <item x="35"/>
        <item x="149"/>
        <item x="299"/>
        <item x="196"/>
        <item x="495"/>
        <item x="361"/>
        <item x="259"/>
        <item x="277"/>
        <item x="550"/>
        <item x="71"/>
        <item x="311"/>
        <item x="467"/>
        <item x="588"/>
        <item x="683"/>
        <item x="329"/>
        <item x="1"/>
        <item x="413"/>
        <item x="50"/>
        <item x="201"/>
        <item x="667"/>
        <item x="68"/>
        <item x="392"/>
        <item x="101"/>
        <item x="48"/>
        <item x="491"/>
        <item x="613"/>
        <item x="187"/>
        <item x="665"/>
        <item x="177"/>
        <item x="595"/>
        <item x="586"/>
        <item x="597"/>
        <item x="41"/>
        <item x="513"/>
        <item x="641"/>
        <item x="536"/>
        <item x="273"/>
        <item x="306"/>
        <item x="457"/>
        <item x="237"/>
        <item x="304"/>
        <item x="543"/>
        <item x="627"/>
        <item x="653"/>
        <item x="173"/>
        <item x="610"/>
        <item x="407"/>
        <item x="570"/>
        <item x="577"/>
        <item x="165"/>
        <item x="537"/>
        <item x="324"/>
        <item x="344"/>
        <item x="288"/>
        <item x="99"/>
        <item x="553"/>
        <item x="256"/>
        <item x="191"/>
        <item x="358"/>
        <item x="111"/>
        <item x="341"/>
        <item x="312"/>
        <item x="70"/>
        <item x="357"/>
        <item x="365"/>
        <item x="338"/>
        <item x="591"/>
        <item x="460"/>
        <item x="535"/>
        <item x="96"/>
        <item x="209"/>
        <item x="376"/>
        <item x="150"/>
        <item x="92"/>
        <item x="668"/>
        <item x="646"/>
        <item x="153"/>
        <item x="626"/>
        <item x="521"/>
        <item x="593"/>
        <item x="318"/>
        <item x="36"/>
        <item x="490"/>
        <item x="63"/>
        <item x="430"/>
        <item x="281"/>
        <item x="32"/>
        <item x="565"/>
        <item x="680"/>
        <item x="80"/>
        <item x="349"/>
        <item x="139"/>
        <item x="7"/>
        <item x="679"/>
        <item x="190"/>
        <item x="547"/>
        <item x="65"/>
        <item x="469"/>
        <item x="564"/>
        <item x="24"/>
        <item x="147"/>
        <item x="334"/>
        <item x="474"/>
        <item x="567"/>
        <item x="558"/>
        <item x="458"/>
        <item x="346"/>
        <item x="498"/>
        <item x="630"/>
        <item x="657"/>
        <item x="574"/>
        <item x="222"/>
        <item x="492"/>
        <item x="410"/>
        <item x="600"/>
        <item x="442"/>
        <item x="110"/>
        <item x="533"/>
        <item x="447"/>
        <item x="122"/>
        <item x="405"/>
        <item x="30"/>
        <item x="677"/>
        <item x="669"/>
        <item x="367"/>
        <item x="57"/>
        <item x="684"/>
        <item x="589"/>
        <item x="383"/>
        <item x="261"/>
        <item x="13"/>
        <item x="496"/>
        <item x="253"/>
        <item x="231"/>
        <item x="236"/>
        <item x="33"/>
        <item x="336"/>
        <item x="441"/>
        <item x="685"/>
        <item x="308"/>
        <item x="287"/>
        <item x="333"/>
        <item x="395"/>
        <item x="534"/>
        <item x="404"/>
        <item x="544"/>
        <item x="590"/>
        <item x="375"/>
        <item x="207"/>
        <item x="603"/>
        <item x="249"/>
        <item x="93"/>
        <item x="131"/>
        <item x="58"/>
        <item x="105"/>
        <item x="464"/>
        <item x="260"/>
        <item x="569"/>
        <item x="607"/>
        <item x="295"/>
        <item x="154"/>
        <item x="655"/>
        <item x="126"/>
        <item x="125"/>
        <item x="178"/>
        <item x="296"/>
        <item x="673"/>
        <item x="566"/>
        <item x="330"/>
        <item x="156"/>
        <item x="242"/>
        <item x="621"/>
        <item x="440"/>
        <item x="263"/>
        <item x="226"/>
        <item x="661"/>
        <item x="313"/>
        <item x="289"/>
        <item x="532"/>
        <item x="331"/>
        <item x="353"/>
        <item x="504"/>
        <item x="221"/>
        <item x="34"/>
        <item x="244"/>
        <item x="301"/>
        <item x="161"/>
        <item x="507"/>
        <item x="217"/>
        <item x="371"/>
        <item x="450"/>
        <item x="572"/>
        <item x="208"/>
        <item x="130"/>
        <item x="649"/>
        <item x="179"/>
        <item x="502"/>
        <item x="645"/>
        <item x="49"/>
        <item x="559"/>
        <item x="360"/>
        <item x="218"/>
        <item x="682"/>
        <item x="81"/>
        <item x="406"/>
        <item x="461"/>
        <item x="522"/>
        <item x="29"/>
        <item x="594"/>
        <item x="583"/>
        <item x="575"/>
        <item x="159"/>
        <item x="118"/>
        <item x="632"/>
        <item x="439"/>
        <item x="134"/>
        <item x="315"/>
        <item x="473"/>
        <item x="602"/>
        <item x="423"/>
        <item x="56"/>
        <item x="426"/>
        <item x="211"/>
        <item x="257"/>
        <item x="479"/>
        <item x="486"/>
        <item x="592"/>
        <item x="511"/>
        <item x="86"/>
        <item x="241"/>
        <item x="60"/>
        <item x="617"/>
        <item x="127"/>
        <item x="499"/>
        <item x="394"/>
        <item x="579"/>
        <item x="158"/>
        <item x="240"/>
        <item x="366"/>
        <item x="337"/>
        <item x="160"/>
        <item x="650"/>
        <item x="585"/>
        <item x="91"/>
        <item x="97"/>
        <item x="121"/>
        <item x="76"/>
        <item x="647"/>
        <item x="141"/>
        <item x="245"/>
        <item x="129"/>
        <item x="601"/>
        <item x="421"/>
        <item x="272"/>
        <item x="181"/>
        <item x="326"/>
        <item x="477"/>
        <item x="389"/>
        <item x="381"/>
        <item x="582"/>
        <item x="573"/>
        <item x="174"/>
        <item x="184"/>
        <item x="251"/>
        <item x="475"/>
        <item x="378"/>
        <item x="416"/>
        <item x="250"/>
        <item x="612"/>
        <item x="316"/>
        <item x="414"/>
        <item x="605"/>
        <item x="206"/>
        <item x="114"/>
        <item x="561"/>
        <item x="408"/>
        <item x="166"/>
        <item x="90"/>
        <item x="419"/>
        <item x="480"/>
        <item x="216"/>
        <item x="380"/>
        <item x="481"/>
        <item x="109"/>
        <item x="171"/>
        <item x="417"/>
        <item x="55"/>
        <item x="223"/>
        <item x="310"/>
        <item x="576"/>
        <item x="255"/>
        <item x="387"/>
        <item x="432"/>
        <item x="435"/>
        <item x="662"/>
        <item x="123"/>
        <item x="503"/>
        <item x="192"/>
        <item x="98"/>
        <item x="117"/>
        <item x="463"/>
        <item x="635"/>
        <item x="554"/>
        <item x="350"/>
        <item x="300"/>
        <item x="340"/>
        <item x="0"/>
        <item x="384"/>
        <item x="438"/>
        <item x="186"/>
        <item x="162"/>
        <item x="119"/>
        <item x="66"/>
        <item x="624"/>
        <item x="4"/>
        <item x="28"/>
        <item x="528"/>
        <item x="562"/>
        <item x="352"/>
        <item x="290"/>
        <item x="104"/>
        <item x="449"/>
        <item x="643"/>
        <item x="470"/>
        <item x="429"/>
        <item x="247"/>
        <item x="616"/>
        <item x="112"/>
        <item x="568"/>
        <item x="108"/>
        <item x="471"/>
        <item x="518"/>
        <item x="638"/>
        <item x="243"/>
        <item x="551"/>
        <item x="116"/>
        <item x="510"/>
        <item x="133"/>
        <item x="230"/>
        <item x="225"/>
        <item x="619"/>
        <item x="409"/>
        <item x="599"/>
        <item x="368"/>
        <item x="18"/>
        <item x="43"/>
        <item x="254"/>
        <item x="509"/>
        <item x="264"/>
        <item x="51"/>
        <item x="524"/>
        <item x="351"/>
        <item x="560"/>
        <item x="396"/>
        <item x="428"/>
        <item x="42"/>
        <item x="188"/>
        <item x="459"/>
        <item x="451"/>
        <item x="431"/>
        <item x="462"/>
        <item x="106"/>
        <item x="436"/>
        <item x="195"/>
        <item x="298"/>
        <item x="144"/>
        <item x="345"/>
        <item x="485"/>
        <item x="87"/>
        <item x="103"/>
        <item x="145"/>
        <item x="14"/>
        <item x="555"/>
        <item x="483"/>
        <item x="629"/>
        <item x="320"/>
        <item x="275"/>
        <item x="53"/>
        <item x="319"/>
        <item x="520"/>
        <item x="623"/>
        <item x="488"/>
        <item x="102"/>
        <item x="546"/>
        <item x="609"/>
        <item x="519"/>
        <item x="270"/>
        <item x="200"/>
        <item x="167"/>
        <item x="656"/>
        <item x="199"/>
        <item x="2"/>
        <item x="652"/>
        <item x="637"/>
        <item x="180"/>
        <item x="62"/>
        <item x="608"/>
        <item x="83"/>
        <item x="372"/>
        <item x="232"/>
        <item x="670"/>
        <item x="52"/>
        <item x="487"/>
        <item x="21"/>
        <item x="8"/>
        <item x="37"/>
        <item x="659"/>
        <item x="482"/>
        <item x="120"/>
        <item x="527"/>
        <item x="276"/>
        <item x="557"/>
        <item x="238"/>
        <item x="515"/>
        <item x="185"/>
        <item x="283"/>
        <item x="354"/>
        <item x="664"/>
        <item x="531"/>
        <item x="606"/>
        <item x="170"/>
        <item x="501"/>
        <item x="282"/>
        <item x="322"/>
        <item x="15"/>
        <item x="644"/>
        <item x="54"/>
        <item x="465"/>
        <item x="266"/>
        <item x="631"/>
        <item x="168"/>
        <item x="348"/>
        <item x="339"/>
        <item x="194"/>
        <item x="505"/>
        <item x="525"/>
        <item x="26"/>
        <item x="292"/>
        <item x="38"/>
        <item x="44"/>
        <item x="271"/>
        <item x="386"/>
        <item x="506"/>
        <item x="143"/>
        <item x="95"/>
        <item x="88"/>
        <item x="182"/>
        <item x="11"/>
        <item x="452"/>
        <item x="489"/>
        <item x="113"/>
        <item x="382"/>
        <item x="175"/>
        <item x="327"/>
        <item x="424"/>
        <item x="176"/>
        <item x="598"/>
        <item x="297"/>
        <item x="85"/>
        <item x="678"/>
        <item x="151"/>
        <item x="397"/>
        <item x="454"/>
        <item x="137"/>
        <item x="246"/>
        <item x="155"/>
        <item x="542"/>
        <item x="374"/>
        <item x="548"/>
        <item x="393"/>
        <item x="169"/>
        <item x="581"/>
        <item x="269"/>
        <item x="433"/>
        <item x="285"/>
        <item x="248"/>
        <item x="412"/>
        <item x="476"/>
        <item x="128"/>
        <item x="203"/>
        <item x="328"/>
        <item x="278"/>
        <item x="138"/>
        <item x="31"/>
        <item x="578"/>
        <item x="47"/>
        <item x="500"/>
        <item x="307"/>
        <item x="302"/>
        <item x="618"/>
        <item x="212"/>
        <item x="523"/>
        <item x="61"/>
        <item x="359"/>
        <item x="198"/>
        <item x="615"/>
        <item x="22"/>
        <item x="75"/>
        <item x="639"/>
        <item x="215"/>
        <item x="642"/>
        <item x="347"/>
        <item x="512"/>
        <item x="205"/>
        <item x="614"/>
        <item x="545"/>
        <item x="658"/>
        <item x="152"/>
        <item x="73"/>
        <item x="648"/>
        <item x="517"/>
        <item x="571"/>
        <item x="20"/>
        <item x="74"/>
        <item x="39"/>
        <item x="549"/>
        <item x="183"/>
        <item x="446"/>
        <item x="526"/>
        <item x="332"/>
        <item x="227"/>
        <item x="364"/>
        <item x="672"/>
        <item x="556"/>
        <item x="5"/>
        <item x="563"/>
        <item x="388"/>
        <item x="321"/>
        <item x="497"/>
        <item x="373"/>
        <item x="146"/>
        <item x="314"/>
        <item x="172"/>
        <item x="94"/>
        <item x="529"/>
        <item x="633"/>
        <item x="46"/>
        <item x="342"/>
        <item x="6"/>
        <item x="584"/>
        <item x="530"/>
        <item x="681"/>
        <item x="210"/>
        <item x="84"/>
        <item x="437"/>
        <item x="82"/>
        <item x="291"/>
        <item x="234"/>
        <item x="252"/>
        <item x="654"/>
        <item x="422"/>
        <item x="369"/>
        <item x="202"/>
        <item x="625"/>
        <item x="651"/>
        <item x="425"/>
        <item x="262"/>
        <item x="124"/>
        <item x="228"/>
        <item x="12"/>
        <item x="493"/>
        <item x="514"/>
        <item x="628"/>
        <item x="356"/>
        <item x="23"/>
        <item x="587"/>
        <item x="402"/>
        <item x="676"/>
        <item x="69"/>
        <item x="325"/>
        <item x="636"/>
        <item x="420"/>
        <item x="213"/>
        <item x="64"/>
        <item x="468"/>
        <item x="666"/>
        <item x="224"/>
        <item x="79"/>
        <item x="59"/>
        <item x="136"/>
        <item x="10"/>
        <item x="140"/>
        <item x="539"/>
        <item x="317"/>
        <item x="279"/>
        <item x="448"/>
        <item x="516"/>
        <item x="400"/>
        <item x="214"/>
        <item x="444"/>
        <item x="148"/>
        <item x="418"/>
        <item x="220"/>
        <item x="274"/>
        <item x="596"/>
        <item x="27"/>
        <item x="265"/>
        <item x="268"/>
        <item x="385"/>
        <item x="135"/>
        <item x="401"/>
        <item x="25"/>
        <item x="100"/>
        <item x="443"/>
        <item x="115"/>
        <item x="284"/>
        <item x="45"/>
        <item x="370"/>
        <item x="197"/>
        <item x="362"/>
        <item x="415"/>
        <item x="17"/>
        <item x="309"/>
        <item x="379"/>
        <item x="9"/>
        <item x="16"/>
        <item x="77"/>
        <item x="434"/>
        <item x="455"/>
        <item x="219"/>
        <item x="453"/>
        <item t="default"/>
      </items>
    </pivotField>
    <pivotField axis="axisRow" showAll="0">
      <items count="8">
        <item x="4"/>
        <item x="1"/>
        <item x="0"/>
        <item x="6"/>
        <item x="5"/>
        <item x="2"/>
        <item x="3"/>
        <item t="default"/>
      </items>
    </pivotField>
    <pivotField showAll="0">
      <items count="54">
        <item x="39"/>
        <item x="52"/>
        <item x="32"/>
        <item x="8"/>
        <item x="1"/>
        <item x="47"/>
        <item x="48"/>
        <item x="43"/>
        <item x="0"/>
        <item x="40"/>
        <item x="16"/>
        <item x="22"/>
        <item x="2"/>
        <item x="25"/>
        <item x="17"/>
        <item x="35"/>
        <item x="19"/>
        <item x="9"/>
        <item x="28"/>
        <item x="10"/>
        <item x="27"/>
        <item x="11"/>
        <item x="3"/>
        <item x="6"/>
        <item x="7"/>
        <item x="23"/>
        <item x="30"/>
        <item x="41"/>
        <item x="45"/>
        <item x="42"/>
        <item x="24"/>
        <item x="34"/>
        <item x="50"/>
        <item x="21"/>
        <item x="37"/>
        <item x="46"/>
        <item x="4"/>
        <item x="12"/>
        <item x="38"/>
        <item x="20"/>
        <item x="51"/>
        <item x="15"/>
        <item x="33"/>
        <item x="36"/>
        <item x="14"/>
        <item x="31"/>
        <item x="26"/>
        <item x="18"/>
        <item x="49"/>
        <item x="29"/>
        <item x="13"/>
        <item x="44"/>
        <item x="5"/>
        <item t="default"/>
      </items>
    </pivotField>
  </pivotFields>
  <rowFields count="1">
    <field x="9"/>
  </rowFields>
  <rowItems count="8">
    <i>
      <x/>
    </i>
    <i>
      <x v="1"/>
    </i>
    <i>
      <x v="2"/>
    </i>
    <i>
      <x v="3"/>
    </i>
    <i>
      <x v="4"/>
    </i>
    <i>
      <x v="5"/>
    </i>
    <i>
      <x v="6"/>
    </i>
    <i t="grand">
      <x/>
    </i>
  </rowItems>
  <colFields count="1">
    <field x="7"/>
  </colFields>
  <colItems count="3">
    <i>
      <x/>
    </i>
    <i>
      <x v="1"/>
    </i>
    <i t="grand">
      <x/>
    </i>
  </colItems>
  <dataFields count="1">
    <dataField name="Count of Location" fld="6" subtotal="count" showDataAs="percentOfTotal" baseField="9" baseItem="0" numFmtId="10"/>
  </dataFields>
  <formats count="10">
    <format dxfId="52">
      <pivotArea type="all" dataOnly="0" outline="0" fieldPosition="0"/>
    </format>
    <format dxfId="51">
      <pivotArea outline="0" collapsedLevelsAreSubtotals="1" fieldPosition="0"/>
    </format>
    <format dxfId="50">
      <pivotArea type="origin" dataOnly="0" labelOnly="1" outline="0" fieldPosition="0"/>
    </format>
    <format dxfId="49">
      <pivotArea field="7" type="button" dataOnly="0" labelOnly="1" outline="0" axis="axisCol" fieldPosition="0"/>
    </format>
    <format dxfId="48">
      <pivotArea type="topRight" dataOnly="0" labelOnly="1" outline="0" fieldPosition="0"/>
    </format>
    <format dxfId="47">
      <pivotArea field="9" type="button" dataOnly="0" labelOnly="1" outline="0" axis="axisRow" fieldPosition="0"/>
    </format>
    <format dxfId="46">
      <pivotArea dataOnly="0" labelOnly="1" fieldPosition="0">
        <references count="1">
          <reference field="9" count="0"/>
        </references>
      </pivotArea>
    </format>
    <format dxfId="45">
      <pivotArea dataOnly="0" labelOnly="1" grandRow="1" outline="0" fieldPosition="0"/>
    </format>
    <format dxfId="44">
      <pivotArea dataOnly="0" labelOnly="1" fieldPosition="0">
        <references count="1">
          <reference field="7" count="0"/>
        </references>
      </pivotArea>
    </format>
    <format dxfId="43">
      <pivotArea dataOnly="0" labelOnly="1" grandCol="1" outline="0" fieldPosition="0"/>
    </format>
  </formats>
  <chartFormats count="4">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12" format="4" series="1">
      <pivotArea type="data" outline="0" fieldPosition="0">
        <references count="2">
          <reference field="4294967294" count="1" selected="0">
            <x v="0"/>
          </reference>
          <reference field="7" count="1" selected="0">
            <x v="0"/>
          </reference>
        </references>
      </pivotArea>
    </chartFormat>
    <chartFormat chart="12" format="5"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5C1C7AD-CF0C-4BCC-9CDD-334E048698D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34:I38" firstHeaderRow="1" firstDataRow="2" firstDataCol="1"/>
  <pivotFields count="11">
    <pivotField showAll="0">
      <items count="12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t="default"/>
      </items>
    </pivotField>
    <pivotField showAll="0"/>
    <pivotField numFmtId="164" showAll="0"/>
    <pivotField numFmtId="14" showAll="0"/>
    <pivotField axis="axisCol" showAll="0">
      <items count="8">
        <item x="5"/>
        <item x="1"/>
        <item x="6"/>
        <item x="0"/>
        <item x="4"/>
        <item x="2"/>
        <item x="3"/>
        <item t="default"/>
      </items>
    </pivotField>
    <pivotField showAll="0"/>
    <pivotField showAll="0">
      <items count="11">
        <item x="2"/>
        <item x="9"/>
        <item x="3"/>
        <item x="4"/>
        <item x="7"/>
        <item x="6"/>
        <item x="0"/>
        <item x="8"/>
        <item x="1"/>
        <item x="5"/>
        <item t="default"/>
      </items>
    </pivotField>
    <pivotField axis="axisRow" showAll="0">
      <items count="3">
        <item x="0"/>
        <item x="1"/>
        <item t="default"/>
      </items>
    </pivotField>
    <pivotField showAll="0"/>
    <pivotField showAll="0">
      <items count="8">
        <item x="4"/>
        <item x="1"/>
        <item x="0"/>
        <item x="6"/>
        <item x="5"/>
        <item x="2"/>
        <item x="3"/>
        <item t="default"/>
      </items>
    </pivotField>
    <pivotField dataField="1" showAll="0">
      <items count="54">
        <item x="39"/>
        <item x="52"/>
        <item x="32"/>
        <item x="8"/>
        <item x="1"/>
        <item x="47"/>
        <item x="48"/>
        <item x="43"/>
        <item x="0"/>
        <item x="40"/>
        <item x="16"/>
        <item x="22"/>
        <item x="2"/>
        <item x="25"/>
        <item x="17"/>
        <item x="35"/>
        <item x="19"/>
        <item x="9"/>
        <item x="28"/>
        <item x="10"/>
        <item x="27"/>
        <item x="11"/>
        <item x="3"/>
        <item x="6"/>
        <item x="7"/>
        <item x="23"/>
        <item x="30"/>
        <item x="41"/>
        <item x="45"/>
        <item x="42"/>
        <item x="24"/>
        <item x="34"/>
        <item x="50"/>
        <item x="21"/>
        <item x="37"/>
        <item x="46"/>
        <item x="4"/>
        <item x="12"/>
        <item x="38"/>
        <item x="20"/>
        <item x="51"/>
        <item x="15"/>
        <item x="33"/>
        <item x="36"/>
        <item x="14"/>
        <item x="31"/>
        <item x="26"/>
        <item x="18"/>
        <item x="49"/>
        <item x="29"/>
        <item x="13"/>
        <item x="44"/>
        <item x="5"/>
        <item t="default"/>
      </items>
    </pivotField>
  </pivotFields>
  <rowFields count="1">
    <field x="7"/>
  </rowFields>
  <rowItems count="3">
    <i>
      <x/>
    </i>
    <i>
      <x v="1"/>
    </i>
    <i t="grand">
      <x/>
    </i>
  </rowItems>
  <colFields count="1">
    <field x="4"/>
  </colFields>
  <colItems count="8">
    <i>
      <x/>
    </i>
    <i>
      <x v="1"/>
    </i>
    <i>
      <x v="2"/>
    </i>
    <i>
      <x v="3"/>
    </i>
    <i>
      <x v="4"/>
    </i>
    <i>
      <x v="5"/>
    </i>
    <i>
      <x v="6"/>
    </i>
    <i t="grand">
      <x/>
    </i>
  </colItems>
  <dataFields count="1">
    <dataField name="Sum of Working Experience" fld="10" baseField="0" baseItem="0"/>
  </dataFields>
  <formats count="10">
    <format dxfId="62">
      <pivotArea type="all" dataOnly="0" outline="0" fieldPosition="0"/>
    </format>
    <format dxfId="61">
      <pivotArea outline="0" collapsedLevelsAreSubtotals="1" fieldPosition="0"/>
    </format>
    <format dxfId="60">
      <pivotArea type="origin" dataOnly="0" labelOnly="1" outline="0" fieldPosition="0"/>
    </format>
    <format dxfId="59">
      <pivotArea field="4" type="button" dataOnly="0" labelOnly="1" outline="0" axis="axisCol" fieldPosition="0"/>
    </format>
    <format dxfId="58">
      <pivotArea type="topRight" dataOnly="0" labelOnly="1" outline="0" fieldPosition="0"/>
    </format>
    <format dxfId="57">
      <pivotArea field="7" type="button" dataOnly="0" labelOnly="1" outline="0" axis="axisRow" fieldPosition="0"/>
    </format>
    <format dxfId="56">
      <pivotArea dataOnly="0" labelOnly="1" fieldPosition="0">
        <references count="1">
          <reference field="7" count="0"/>
        </references>
      </pivotArea>
    </format>
    <format dxfId="55">
      <pivotArea dataOnly="0" labelOnly="1" grandRow="1" outline="0" fieldPosition="0"/>
    </format>
    <format dxfId="54">
      <pivotArea dataOnly="0" labelOnly="1" fieldPosition="0">
        <references count="1">
          <reference field="4" count="0"/>
        </references>
      </pivotArea>
    </format>
    <format dxfId="53">
      <pivotArea dataOnly="0" labelOnly="1" grandCol="1" outline="0" fieldPosition="0"/>
    </format>
  </formats>
  <chartFormats count="7">
    <chartFormat chart="12" format="14" series="1">
      <pivotArea type="data" outline="0" fieldPosition="0">
        <references count="2">
          <reference field="4294967294" count="1" selected="0">
            <x v="0"/>
          </reference>
          <reference field="4" count="1" selected="0">
            <x v="0"/>
          </reference>
        </references>
      </pivotArea>
    </chartFormat>
    <chartFormat chart="12" format="15" series="1">
      <pivotArea type="data" outline="0" fieldPosition="0">
        <references count="2">
          <reference field="4294967294" count="1" selected="0">
            <x v="0"/>
          </reference>
          <reference field="4" count="1" selected="0">
            <x v="1"/>
          </reference>
        </references>
      </pivotArea>
    </chartFormat>
    <chartFormat chart="12" format="16" series="1">
      <pivotArea type="data" outline="0" fieldPosition="0">
        <references count="2">
          <reference field="4294967294" count="1" selected="0">
            <x v="0"/>
          </reference>
          <reference field="4" count="1" selected="0">
            <x v="2"/>
          </reference>
        </references>
      </pivotArea>
    </chartFormat>
    <chartFormat chart="12" format="17" series="1">
      <pivotArea type="data" outline="0" fieldPosition="0">
        <references count="2">
          <reference field="4294967294" count="1" selected="0">
            <x v="0"/>
          </reference>
          <reference field="4" count="1" selected="0">
            <x v="3"/>
          </reference>
        </references>
      </pivotArea>
    </chartFormat>
    <chartFormat chart="12" format="18" series="1">
      <pivotArea type="data" outline="0" fieldPosition="0">
        <references count="2">
          <reference field="4294967294" count="1" selected="0">
            <x v="0"/>
          </reference>
          <reference field="4" count="1" selected="0">
            <x v="4"/>
          </reference>
        </references>
      </pivotArea>
    </chartFormat>
    <chartFormat chart="12" format="19" series="1">
      <pivotArea type="data" outline="0" fieldPosition="0">
        <references count="2">
          <reference field="4294967294" count="1" selected="0">
            <x v="0"/>
          </reference>
          <reference field="4" count="1" selected="0">
            <x v="5"/>
          </reference>
        </references>
      </pivotArea>
    </chartFormat>
    <chartFormat chart="12" format="20" series="1">
      <pivotArea type="data" outline="0" fieldPosition="0">
        <references count="2">
          <reference field="4294967294" count="1" selected="0">
            <x v="0"/>
          </reference>
          <reference field="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2EBA0507-87F4-4DB0-9E88-40B9885E992A}" sourceName="Department">
  <pivotTables>
    <pivotTable tabId="5" name="PivotTable9"/>
    <pivotTable tabId="5" name="PivotTable1"/>
    <pivotTable tabId="5" name="PivotTable3"/>
  </pivotTables>
  <data>
    <tabular pivotCacheId="814499404">
      <items count="7">
        <i x="5" s="1"/>
        <i x="1" s="1"/>
        <i x="6" s="1"/>
        <i x="0" s="1"/>
        <i x="4"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0921C0D5-F3F9-4EBA-A1F4-8FE995BD34F2}" sourceName="Location">
  <pivotTables>
    <pivotTable tabId="5" name="PivotTable9"/>
    <pivotTable tabId="5" name="PivotTable1"/>
    <pivotTable tabId="5" name="PivotTable3"/>
  </pivotTables>
  <data>
    <tabular pivotCacheId="814499404">
      <items count="10">
        <i x="2" s="1"/>
        <i x="9" s="1"/>
        <i x="3" s="1"/>
        <i x="4" s="1"/>
        <i x="7" s="1"/>
        <i x="6" s="1"/>
        <i x="0" s="1"/>
        <i x="8" s="1"/>
        <i x="1"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C5DD524-140C-4E4C-B50F-DDB54669E0A4}" sourceName="Gender">
  <pivotTables>
    <pivotTable tabId="5" name="PivotTable9"/>
    <pivotTable tabId="5" name="PivotTable1"/>
    <pivotTable tabId="5" name="PivotTable3"/>
  </pivotTables>
  <data>
    <tabular pivotCacheId="814499404">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ignation" xr10:uid="{579A3C06-8C50-4623-A680-01B52161615A}" sourceName="Designation">
  <pivotTables>
    <pivotTable tabId="5" name="PivotTable9"/>
    <pivotTable tabId="5" name="PivotTable1"/>
    <pivotTable tabId="5" name="PivotTable3"/>
  </pivotTables>
  <data>
    <tabular pivotCacheId="814499404">
      <items count="7">
        <i x="4" s="1"/>
        <i x="1" s="1"/>
        <i x="0" s="1"/>
        <i x="6" s="1"/>
        <i x="5"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DA12DB47-1CCC-4FC7-A7AD-2EC505491F07}" cache="Slicer_Department" caption="Department" rowHeight="234950"/>
  <slicer name="Location" xr10:uid="{9F4BFF97-E97E-465F-B26A-E7A8E3B47A4A}" cache="Slicer_Location" caption="Location" rowHeight="234950"/>
  <slicer name="Gender" xr10:uid="{F52B1AC3-44DB-426A-8D31-972C7EEFB13E}" cache="Slicer_Gender" caption="Gender" rowHeight="234950"/>
  <slicer name="Designation" xr10:uid="{2D99BE8C-4FFE-4E40-9786-5F401A4BCCBA}" cache="Slicer_Designation" caption="Designat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17E2471-2F88-429D-9329-303268DDE9C7}" name="Table2" displayName="Table2" ref="A1:L1298" totalsRowShown="0" headerRowDxfId="65" dataDxfId="63" headerRowBorderDxfId="64" tableBorderDxfId="12">
  <autoFilter ref="A1:L1298" xr:uid="{A64468B9-AE36-4F4A-9188-180CC8D1F651}"/>
  <tableColumns count="12">
    <tableColumn id="1" xr3:uid="{1F012558-B5FA-41B1-8F2D-B1BF3DF8D9F7}" name="Employee ID" dataDxfId="11"/>
    <tableColumn id="12" xr3:uid="{DFD453BC-2FC3-497E-9DD6-8AA4069BFE22}" name="Length" dataDxfId="10">
      <calculatedColumnFormula>LEN(Table2[[#This Row],[Employee ID]])</calculatedColumnFormula>
    </tableColumn>
    <tableColumn id="2" xr3:uid="{33E075A3-D073-4E89-B4AC-CA060CE6A452}" name="Employee Name" dataDxfId="9"/>
    <tableColumn id="3" xr3:uid="{6A66A55D-F063-40F6-99E4-894591392B62}" name="Date of Birth" dataDxfId="8"/>
    <tableColumn id="4" xr3:uid="{BD25FADB-F9FC-4B66-A640-6DCA9558B210}" name="Joining Date" dataDxfId="7"/>
    <tableColumn id="5" xr3:uid="{36ECE499-16C9-46B1-BCEE-5F0B200AFEE1}" name="Department" dataDxfId="6"/>
    <tableColumn id="6" xr3:uid="{BB8DA37E-6730-4D1E-B7A5-31D81D576044}" name="Salary" dataDxfId="5"/>
    <tableColumn id="7" xr3:uid="{4A4B5FFA-EF4A-41A3-BAA5-CB7FC110001C}" name="Location" dataDxfId="4"/>
    <tableColumn id="8" xr3:uid="{F16425B0-22C0-4701-8F93-4623A567DA41}" name="Gender" dataDxfId="3"/>
    <tableColumn id="9" xr3:uid="{90A38280-A181-4010-AF28-51F9866112DE}" name="Job Code" dataDxfId="2"/>
    <tableColumn id="10" xr3:uid="{F8594F28-26A3-4422-B3E1-4A20312DDA8E}" name="Designation" dataDxfId="1"/>
    <tableColumn id="11" xr3:uid="{E22722B4-C619-4421-9D30-5FF5837E1AC5}" name="Working Experience" dataDxfId="0"/>
  </tableColumns>
  <tableStyleInfo name="TableStyleMedium9"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Banded">
  <a:themeElements>
    <a:clrScheme name="Banded">
      <a:dk1>
        <a:srgbClr val="2C2C2C"/>
      </a:dk1>
      <a:lt1>
        <a:srgbClr val="FFFFFF"/>
      </a:lt1>
      <a:dk2>
        <a:srgbClr val="099BDD"/>
      </a:dk2>
      <a:lt2>
        <a:srgbClr val="F2F2F2"/>
      </a:lt2>
      <a:accent1>
        <a:srgbClr val="FFC000"/>
      </a:accent1>
      <a:accent2>
        <a:srgbClr val="A5D028"/>
      </a:accent2>
      <a:accent3>
        <a:srgbClr val="08CC78"/>
      </a:accent3>
      <a:accent4>
        <a:srgbClr val="F24099"/>
      </a:accent4>
      <a:accent5>
        <a:srgbClr val="828288"/>
      </a:accent5>
      <a:accent6>
        <a:srgbClr val="F56617"/>
      </a:accent6>
      <a:hlink>
        <a:srgbClr val="005DBA"/>
      </a:hlink>
      <a:folHlink>
        <a:srgbClr val="6C606A"/>
      </a:folHlink>
    </a:clrScheme>
    <a:fontScheme name="Banded">
      <a:maj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Banded">
      <a:fillStyleLst>
        <a:solidFill>
          <a:schemeClr val="phClr"/>
        </a:solidFill>
        <a:gradFill rotWithShape="1">
          <a:gsLst>
            <a:gs pos="0">
              <a:schemeClr val="phClr">
                <a:tint val="65000"/>
                <a:satMod val="120000"/>
                <a:lumMod val="107000"/>
              </a:schemeClr>
            </a:gs>
            <a:gs pos="50000">
              <a:schemeClr val="phClr">
                <a:tint val="70000"/>
                <a:satMod val="124000"/>
                <a:lumMod val="103000"/>
              </a:schemeClr>
            </a:gs>
            <a:gs pos="100000">
              <a:schemeClr val="phClr">
                <a:tint val="85000"/>
                <a:satMod val="120000"/>
                <a:lumMod val="100000"/>
              </a:schemeClr>
            </a:gs>
          </a:gsLst>
          <a:lin ang="5400000" scaled="0"/>
        </a:gradFill>
        <a:gradFill rotWithShape="1">
          <a:gsLst>
            <a:gs pos="0">
              <a:schemeClr val="phClr">
                <a:tint val="85000"/>
                <a:shade val="98000"/>
                <a:satMod val="110000"/>
                <a:lumMod val="103000"/>
              </a:schemeClr>
            </a:gs>
            <a:gs pos="50000">
              <a:schemeClr val="phClr">
                <a:shade val="85000"/>
                <a:satMod val="105000"/>
                <a:lumMod val="100000"/>
              </a:schemeClr>
            </a:gs>
            <a:gs pos="100000">
              <a:schemeClr val="phClr">
                <a:shade val="60000"/>
                <a:satMod val="120000"/>
                <a:lumMod val="100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50800" dist="15875" dir="5400000" algn="ctr" rotWithShape="0">
              <a:srgbClr val="000000">
                <a:alpha val="68000"/>
              </a:srgbClr>
            </a:outerShdw>
          </a:effectLst>
        </a:effectStyle>
        <a:effectStyle>
          <a:effectLst>
            <a:outerShdw blurRad="88900" dist="27940" dir="5400000" algn="ctr" rotWithShape="0">
              <a:srgbClr val="000000">
                <a:alpha val="63000"/>
              </a:srgbClr>
            </a:outerShdw>
          </a:effectLst>
        </a:effectStyle>
      </a:effectStyleLst>
      <a:bgFillStyleLst>
        <a:solidFill>
          <a:schemeClr val="phClr"/>
        </a:solidFill>
        <a:blipFill rotWithShape="1">
          <a:blip xmlns:r="http://schemas.openxmlformats.org/officeDocument/2006/relationships" r:embed="rId1">
            <a:duotone>
              <a:schemeClr val="phClr"/>
              <a:schemeClr val="phClr">
                <a:shade val="91000"/>
                <a:satMod val="105000"/>
              </a:schemeClr>
            </a:duotone>
          </a:blip>
          <a:tile tx="0" ty="0" sx="100000" sy="100000" flip="none" algn="tl"/>
        </a:blipFill>
        <a:gradFill rotWithShape="1">
          <a:gsLst>
            <a:gs pos="0">
              <a:schemeClr val="phClr">
                <a:tint val="100000"/>
                <a:shade val="0"/>
                <a:satMod val="100000"/>
              </a:schemeClr>
            </a:gs>
            <a:gs pos="100000">
              <a:schemeClr val="phClr">
                <a:shade val="100000"/>
                <a:satMod val="100000"/>
              </a:schemeClr>
            </a:gs>
          </a:gsLst>
          <a:lin ang="5400000" scaled="0"/>
        </a:gradFill>
      </a:bgFillStyleLst>
    </a:fmtScheme>
  </a:themeElements>
  <a:objectDefaults/>
  <a:extraClrSchemeLst/>
  <a:extLst>
    <a:ext uri="{05A4C25C-085E-4340-85A3-A5531E510DB2}">
      <thm15:themeFamily xmlns:thm15="http://schemas.microsoft.com/office/thememl/2012/main" name="Banded" id="{98DFF888-2449-4D28-977C-6306C017633E}" vid="{9792607F-9579-4224-82FF-9C88C3E1E53D}"/>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03"/>
  <sheetViews>
    <sheetView workbookViewId="0">
      <selection activeCell="E1226" sqref="E1226"/>
    </sheetView>
  </sheetViews>
  <sheetFormatPr defaultRowHeight="14.4" x14ac:dyDescent="0.3"/>
  <cols>
    <col min="1" max="1" width="14.21875" customWidth="1"/>
    <col min="2" max="2" width="23.88671875" customWidth="1"/>
    <col min="3" max="3" width="14.44140625" customWidth="1"/>
    <col min="4" max="4" width="15.44140625" style="1" customWidth="1"/>
    <col min="5" max="5" width="15.21875" customWidth="1"/>
    <col min="6" max="6" width="15" customWidth="1"/>
    <col min="7" max="7" width="14.44140625" customWidth="1"/>
    <col min="8" max="8" width="18.21875" customWidth="1"/>
    <col min="9" max="9" width="18.88671875" customWidth="1"/>
    <col min="10" max="10" width="17.77734375" customWidth="1"/>
    <col min="11" max="11" width="17.88671875" customWidth="1"/>
  </cols>
  <sheetData>
    <row r="1" spans="1:11" x14ac:dyDescent="0.3">
      <c r="A1" s="4" t="s">
        <v>0</v>
      </c>
      <c r="B1" s="4" t="s">
        <v>1</v>
      </c>
      <c r="C1" s="4" t="s">
        <v>2</v>
      </c>
      <c r="D1" s="5" t="s">
        <v>3</v>
      </c>
      <c r="E1" s="4" t="s">
        <v>4</v>
      </c>
      <c r="F1" s="4" t="s">
        <v>5</v>
      </c>
      <c r="G1" s="4" t="s">
        <v>6</v>
      </c>
      <c r="H1" s="4" t="s">
        <v>7</v>
      </c>
      <c r="I1" s="4" t="s">
        <v>8</v>
      </c>
      <c r="J1" s="4" t="s">
        <v>9</v>
      </c>
      <c r="K1" s="4" t="s">
        <v>10</v>
      </c>
    </row>
    <row r="2" spans="1:11" x14ac:dyDescent="0.3">
      <c r="A2" s="6" t="s">
        <v>11</v>
      </c>
      <c r="B2" s="6" t="s">
        <v>1308</v>
      </c>
      <c r="C2" s="7">
        <v>22180</v>
      </c>
      <c r="D2" s="8">
        <v>41839</v>
      </c>
      <c r="E2" s="6" t="s">
        <v>2599</v>
      </c>
      <c r="F2" s="6">
        <v>68714</v>
      </c>
      <c r="G2" s="6" t="s">
        <v>2606</v>
      </c>
      <c r="H2" s="6" t="s">
        <v>2616</v>
      </c>
      <c r="I2" s="6" t="s">
        <v>2618</v>
      </c>
      <c r="J2" s="6" t="s">
        <v>3304</v>
      </c>
      <c r="K2" s="6">
        <v>11</v>
      </c>
    </row>
    <row r="3" spans="1:11" x14ac:dyDescent="0.3">
      <c r="A3" s="6" t="s">
        <v>12</v>
      </c>
      <c r="B3" s="6" t="s">
        <v>1309</v>
      </c>
      <c r="C3" s="7">
        <v>36636</v>
      </c>
      <c r="D3" s="8">
        <v>43163</v>
      </c>
      <c r="E3" s="6" t="s">
        <v>2600</v>
      </c>
      <c r="F3" s="6">
        <v>173501</v>
      </c>
      <c r="G3" s="6" t="s">
        <v>2607</v>
      </c>
      <c r="H3" s="6" t="s">
        <v>2616</v>
      </c>
      <c r="I3" s="6" t="s">
        <v>2619</v>
      </c>
      <c r="J3" s="6" t="s">
        <v>3305</v>
      </c>
      <c r="K3" s="6">
        <v>7</v>
      </c>
    </row>
    <row r="4" spans="1:11" x14ac:dyDescent="0.3">
      <c r="A4" s="6" t="s">
        <v>13</v>
      </c>
      <c r="B4" s="6" t="s">
        <v>1310</v>
      </c>
      <c r="C4" s="7">
        <v>34522</v>
      </c>
      <c r="D4" s="8">
        <v>40325</v>
      </c>
      <c r="E4" s="6" t="s">
        <v>2599</v>
      </c>
      <c r="F4" s="6">
        <v>78659</v>
      </c>
      <c r="G4" s="6" t="s">
        <v>2606</v>
      </c>
      <c r="H4" s="6" t="s">
        <v>2617</v>
      </c>
      <c r="I4" s="6" t="s">
        <v>2620</v>
      </c>
      <c r="J4" s="6" t="s">
        <v>3306</v>
      </c>
      <c r="K4" s="6">
        <v>15</v>
      </c>
    </row>
    <row r="5" spans="1:11" x14ac:dyDescent="0.3">
      <c r="A5" s="6" t="s">
        <v>14</v>
      </c>
      <c r="B5" s="6" t="s">
        <v>1311</v>
      </c>
      <c r="C5" s="7">
        <v>35976</v>
      </c>
      <c r="D5" s="8">
        <v>36810</v>
      </c>
      <c r="E5" s="6" t="s">
        <v>2601</v>
      </c>
      <c r="F5" s="6">
        <v>122559</v>
      </c>
      <c r="G5" s="6" t="s">
        <v>2608</v>
      </c>
      <c r="H5" s="6" t="s">
        <v>2617</v>
      </c>
      <c r="I5" s="6" t="s">
        <v>2621</v>
      </c>
      <c r="J5" s="6" t="s">
        <v>3305</v>
      </c>
      <c r="K5" s="6">
        <v>25</v>
      </c>
    </row>
    <row r="6" spans="1:11" x14ac:dyDescent="0.3">
      <c r="A6" s="6" t="s">
        <v>15</v>
      </c>
      <c r="B6" s="6" t="s">
        <v>1312</v>
      </c>
      <c r="C6" s="7">
        <v>22441</v>
      </c>
      <c r="D6" s="8">
        <v>31501</v>
      </c>
      <c r="E6" s="6" t="s">
        <v>2602</v>
      </c>
      <c r="F6" s="6">
        <v>143801</v>
      </c>
      <c r="G6" s="6" t="s">
        <v>2608</v>
      </c>
      <c r="H6" s="6" t="s">
        <v>2617</v>
      </c>
      <c r="I6" s="6" t="s">
        <v>2622</v>
      </c>
      <c r="J6" s="6" t="s">
        <v>3306</v>
      </c>
      <c r="K6" s="6">
        <v>39</v>
      </c>
    </row>
    <row r="7" spans="1:11" x14ac:dyDescent="0.3">
      <c r="A7" s="6" t="s">
        <v>16</v>
      </c>
      <c r="B7" s="6" t="s">
        <v>1313</v>
      </c>
      <c r="C7" s="7">
        <v>33598</v>
      </c>
      <c r="D7" s="8">
        <v>25818</v>
      </c>
      <c r="E7" s="6" t="s">
        <v>2600</v>
      </c>
      <c r="F7" s="6">
        <v>85405</v>
      </c>
      <c r="G7" s="6" t="s">
        <v>2609</v>
      </c>
      <c r="H7" s="6" t="s">
        <v>2616</v>
      </c>
      <c r="I7" s="6" t="s">
        <v>2623</v>
      </c>
      <c r="J7" s="6" t="s">
        <v>3306</v>
      </c>
      <c r="K7" s="6">
        <v>55</v>
      </c>
    </row>
    <row r="8" spans="1:11" x14ac:dyDescent="0.3">
      <c r="A8" s="6" t="s">
        <v>17</v>
      </c>
      <c r="B8" s="6"/>
      <c r="C8" s="7">
        <v>29425</v>
      </c>
      <c r="D8" s="8">
        <v>36320</v>
      </c>
      <c r="E8" s="6" t="s">
        <v>2603</v>
      </c>
      <c r="F8" s="6">
        <v>24858</v>
      </c>
      <c r="G8" s="6" t="s">
        <v>2610</v>
      </c>
      <c r="H8" s="6" t="s">
        <v>2617</v>
      </c>
      <c r="I8" s="6" t="s">
        <v>2624</v>
      </c>
      <c r="J8" s="6" t="s">
        <v>3306</v>
      </c>
      <c r="K8" s="6">
        <v>26</v>
      </c>
    </row>
    <row r="9" spans="1:11" x14ac:dyDescent="0.3">
      <c r="A9" s="6" t="s">
        <v>18</v>
      </c>
      <c r="B9" s="6" t="s">
        <v>1314</v>
      </c>
      <c r="C9" s="7">
        <v>29059</v>
      </c>
      <c r="D9" s="8">
        <v>36818</v>
      </c>
      <c r="E9" s="6" t="s">
        <v>2601</v>
      </c>
      <c r="F9" s="6">
        <v>182803</v>
      </c>
      <c r="G9" s="6" t="s">
        <v>2611</v>
      </c>
      <c r="H9" s="6" t="s">
        <v>2617</v>
      </c>
      <c r="I9" s="6" t="s">
        <v>2625</v>
      </c>
      <c r="J9" s="6" t="s">
        <v>3306</v>
      </c>
      <c r="K9" s="6">
        <v>25</v>
      </c>
    </row>
    <row r="10" spans="1:11" x14ac:dyDescent="0.3">
      <c r="A10" s="6" t="s">
        <v>19</v>
      </c>
      <c r="B10" s="6" t="s">
        <v>1315</v>
      </c>
      <c r="C10" s="7">
        <v>37619</v>
      </c>
      <c r="D10" s="8">
        <v>25882</v>
      </c>
      <c r="E10" s="6" t="s">
        <v>2604</v>
      </c>
      <c r="F10" s="6">
        <v>127076</v>
      </c>
      <c r="G10" s="6" t="s">
        <v>2611</v>
      </c>
      <c r="H10" s="6" t="s">
        <v>2617</v>
      </c>
      <c r="I10" s="6" t="s">
        <v>2626</v>
      </c>
      <c r="J10" s="6" t="s">
        <v>3307</v>
      </c>
      <c r="K10" s="6">
        <v>55</v>
      </c>
    </row>
    <row r="11" spans="1:11" x14ac:dyDescent="0.3">
      <c r="A11" s="6" t="s">
        <v>20</v>
      </c>
      <c r="B11" s="6" t="s">
        <v>1316</v>
      </c>
      <c r="C11" s="7">
        <v>33969</v>
      </c>
      <c r="D11" s="8">
        <v>35916</v>
      </c>
      <c r="E11" s="6" t="s">
        <v>2602</v>
      </c>
      <c r="F11" s="6">
        <v>65259</v>
      </c>
      <c r="G11" s="6" t="s">
        <v>2609</v>
      </c>
      <c r="H11" s="6" t="s">
        <v>2616</v>
      </c>
      <c r="I11" s="6" t="s">
        <v>2627</v>
      </c>
      <c r="J11" s="6" t="s">
        <v>3308</v>
      </c>
      <c r="K11" s="6">
        <v>27</v>
      </c>
    </row>
    <row r="12" spans="1:11" x14ac:dyDescent="0.3">
      <c r="A12" s="6" t="s">
        <v>21</v>
      </c>
      <c r="B12" s="6" t="s">
        <v>1317</v>
      </c>
      <c r="C12" s="7">
        <v>28579</v>
      </c>
      <c r="D12" s="8">
        <v>43735</v>
      </c>
      <c r="E12" s="6" t="s">
        <v>2605</v>
      </c>
      <c r="F12" s="6">
        <v>178832</v>
      </c>
      <c r="G12" s="6" t="s">
        <v>2608</v>
      </c>
      <c r="H12" s="6" t="s">
        <v>2617</v>
      </c>
      <c r="I12" s="6" t="s">
        <v>2628</v>
      </c>
      <c r="J12" s="6" t="s">
        <v>3306</v>
      </c>
      <c r="K12" s="6">
        <v>6</v>
      </c>
    </row>
    <row r="13" spans="1:11" x14ac:dyDescent="0.3">
      <c r="A13" s="6" t="s">
        <v>22</v>
      </c>
      <c r="B13" s="6" t="s">
        <v>1318</v>
      </c>
      <c r="C13" s="7">
        <v>28684</v>
      </c>
      <c r="D13" s="8">
        <v>38675</v>
      </c>
      <c r="E13" s="6" t="s">
        <v>2605</v>
      </c>
      <c r="F13" s="6">
        <v>57911</v>
      </c>
      <c r="G13" s="6" t="s">
        <v>2608</v>
      </c>
      <c r="H13" s="6" t="s">
        <v>2616</v>
      </c>
      <c r="I13" s="6" t="s">
        <v>3334</v>
      </c>
      <c r="J13" s="6" t="s">
        <v>3307</v>
      </c>
      <c r="K13" s="6">
        <v>20</v>
      </c>
    </row>
    <row r="14" spans="1:11" x14ac:dyDescent="0.3">
      <c r="A14" s="6" t="s">
        <v>23</v>
      </c>
      <c r="B14" s="6" t="s">
        <v>1319</v>
      </c>
      <c r="C14" s="7">
        <v>33868</v>
      </c>
      <c r="D14" s="8">
        <v>37851</v>
      </c>
      <c r="E14" s="6" t="s">
        <v>2603</v>
      </c>
      <c r="F14" s="6">
        <v>86201</v>
      </c>
      <c r="G14" s="6" t="s">
        <v>2612</v>
      </c>
      <c r="H14" s="6" t="s">
        <v>2616</v>
      </c>
      <c r="I14" s="6" t="s">
        <v>2630</v>
      </c>
      <c r="J14" s="6" t="s">
        <v>3305</v>
      </c>
      <c r="K14" s="6">
        <v>22</v>
      </c>
    </row>
    <row r="15" spans="1:11" x14ac:dyDescent="0.3">
      <c r="A15" s="6" t="s">
        <v>24</v>
      </c>
      <c r="B15" s="6" t="s">
        <v>1320</v>
      </c>
      <c r="C15" s="7">
        <v>35709</v>
      </c>
      <c r="D15" s="8">
        <v>36955</v>
      </c>
      <c r="E15" s="6" t="s">
        <v>2605</v>
      </c>
      <c r="F15" s="6">
        <v>116998</v>
      </c>
      <c r="G15" s="6" t="s">
        <v>2607</v>
      </c>
      <c r="H15" s="6" t="s">
        <v>2616</v>
      </c>
      <c r="I15" s="6" t="s">
        <v>2631</v>
      </c>
      <c r="J15" s="6" t="s">
        <v>3307</v>
      </c>
      <c r="K15" s="6">
        <v>24</v>
      </c>
    </row>
    <row r="16" spans="1:11" x14ac:dyDescent="0.3">
      <c r="A16" s="6" t="s">
        <v>25</v>
      </c>
      <c r="B16" s="6" t="s">
        <v>1321</v>
      </c>
      <c r="C16" s="7">
        <v>36838</v>
      </c>
      <c r="D16" s="8">
        <v>31253</v>
      </c>
      <c r="E16" s="6" t="s">
        <v>2602</v>
      </c>
      <c r="F16" s="6">
        <v>163291</v>
      </c>
      <c r="G16" s="6" t="s">
        <v>2610</v>
      </c>
      <c r="H16" s="6" t="s">
        <v>2617</v>
      </c>
      <c r="I16" s="6" t="s">
        <v>2632</v>
      </c>
      <c r="J16" s="6" t="s">
        <v>3307</v>
      </c>
      <c r="K16" s="6">
        <v>40</v>
      </c>
    </row>
    <row r="17" spans="1:12" x14ac:dyDescent="0.3">
      <c r="A17" s="6" t="s">
        <v>26</v>
      </c>
      <c r="B17" s="6" t="s">
        <v>1322</v>
      </c>
      <c r="C17" s="7">
        <v>29000</v>
      </c>
      <c r="D17" s="8">
        <v>36557</v>
      </c>
      <c r="E17" s="6" t="s">
        <v>2600</v>
      </c>
      <c r="F17" s="6">
        <v>80988</v>
      </c>
      <c r="G17" s="6" t="s">
        <v>2611</v>
      </c>
      <c r="H17" s="6" t="s">
        <v>2617</v>
      </c>
      <c r="I17" s="6" t="s">
        <v>2633</v>
      </c>
      <c r="J17" s="6" t="s">
        <v>3308</v>
      </c>
      <c r="K17" s="6">
        <v>25</v>
      </c>
    </row>
    <row r="18" spans="1:12" x14ac:dyDescent="0.3">
      <c r="A18" s="6" t="s">
        <v>27</v>
      </c>
      <c r="B18" s="6" t="s">
        <v>1323</v>
      </c>
      <c r="C18" s="7">
        <v>28243</v>
      </c>
      <c r="D18" s="8">
        <v>26438</v>
      </c>
      <c r="E18" s="6" t="s">
        <v>2601</v>
      </c>
      <c r="F18" s="6">
        <v>140435</v>
      </c>
      <c r="G18" s="6"/>
      <c r="H18" s="6" t="s">
        <v>2611</v>
      </c>
      <c r="I18" s="6" t="s">
        <v>2616</v>
      </c>
      <c r="J18" s="6" t="s">
        <v>2634</v>
      </c>
      <c r="K18" s="6" t="s">
        <v>3308</v>
      </c>
      <c r="L18" s="6">
        <v>53</v>
      </c>
    </row>
    <row r="19" spans="1:12" x14ac:dyDescent="0.3">
      <c r="A19" s="6" t="s">
        <v>28</v>
      </c>
      <c r="B19" s="6" t="s">
        <v>1324</v>
      </c>
      <c r="C19" s="7">
        <v>33113</v>
      </c>
      <c r="D19" s="8">
        <v>28588</v>
      </c>
      <c r="E19" s="6" t="s">
        <v>2600</v>
      </c>
      <c r="F19" s="6">
        <v>62510</v>
      </c>
      <c r="G19" s="6" t="s">
        <v>2613</v>
      </c>
      <c r="H19" s="6" t="s">
        <v>2616</v>
      </c>
      <c r="I19" s="6" t="s">
        <v>2635</v>
      </c>
      <c r="J19" s="6" t="s">
        <v>3309</v>
      </c>
      <c r="K19" s="6">
        <v>47</v>
      </c>
    </row>
    <row r="20" spans="1:12" x14ac:dyDescent="0.3">
      <c r="A20" s="6" t="s">
        <v>29</v>
      </c>
      <c r="B20" s="6" t="s">
        <v>1325</v>
      </c>
      <c r="C20" s="7">
        <v>27985</v>
      </c>
      <c r="D20" s="8">
        <v>29873</v>
      </c>
      <c r="E20" s="6" t="s">
        <v>2605</v>
      </c>
      <c r="F20" s="6">
        <v>90827</v>
      </c>
      <c r="G20" s="6" t="s">
        <v>2606</v>
      </c>
      <c r="H20" s="6" t="s">
        <v>2616</v>
      </c>
      <c r="I20" s="6" t="s">
        <v>2636</v>
      </c>
      <c r="J20" s="6" t="s">
        <v>3307</v>
      </c>
      <c r="K20" s="6">
        <v>44</v>
      </c>
    </row>
    <row r="21" spans="1:12" x14ac:dyDescent="0.3">
      <c r="A21" s="6" t="s">
        <v>30</v>
      </c>
      <c r="B21" s="6" t="s">
        <v>1326</v>
      </c>
      <c r="C21" s="7">
        <v>25861</v>
      </c>
      <c r="D21" s="8">
        <v>41187</v>
      </c>
      <c r="E21" s="6" t="s">
        <v>2605</v>
      </c>
      <c r="F21" s="6">
        <v>184057</v>
      </c>
      <c r="G21" s="6" t="s">
        <v>2606</v>
      </c>
      <c r="H21" s="6" t="s">
        <v>2617</v>
      </c>
      <c r="I21" s="6" t="s">
        <v>2637</v>
      </c>
      <c r="J21" s="6" t="s">
        <v>3307</v>
      </c>
      <c r="K21" s="6">
        <v>13</v>
      </c>
    </row>
    <row r="22" spans="1:12" x14ac:dyDescent="0.3">
      <c r="A22" s="6" t="s">
        <v>31</v>
      </c>
      <c r="B22" s="6" t="s">
        <v>1327</v>
      </c>
      <c r="C22" s="7">
        <v>23674</v>
      </c>
      <c r="D22" s="8">
        <v>39722</v>
      </c>
      <c r="E22" s="6" t="s">
        <v>2599</v>
      </c>
      <c r="F22" s="6">
        <v>132823</v>
      </c>
      <c r="G22" s="6" t="s">
        <v>2612</v>
      </c>
      <c r="H22" s="6" t="s">
        <v>2617</v>
      </c>
      <c r="I22" s="6" t="s">
        <v>2638</v>
      </c>
      <c r="J22" s="6" t="s">
        <v>3305</v>
      </c>
      <c r="K22" s="6">
        <v>17</v>
      </c>
    </row>
    <row r="23" spans="1:12" x14ac:dyDescent="0.3">
      <c r="A23" s="6" t="s">
        <v>32</v>
      </c>
      <c r="B23" s="6" t="s">
        <v>1328</v>
      </c>
      <c r="C23" s="7">
        <v>36398</v>
      </c>
      <c r="D23" s="8">
        <v>27440</v>
      </c>
      <c r="E23" s="6" t="s">
        <v>2602</v>
      </c>
      <c r="F23" s="6">
        <v>97382</v>
      </c>
      <c r="G23" s="6" t="s">
        <v>2608</v>
      </c>
      <c r="H23" s="6" t="s">
        <v>2616</v>
      </c>
      <c r="I23" s="6" t="s">
        <v>2639</v>
      </c>
      <c r="J23" s="6" t="s">
        <v>3307</v>
      </c>
      <c r="K23" s="6">
        <v>50</v>
      </c>
    </row>
    <row r="24" spans="1:12" x14ac:dyDescent="0.3">
      <c r="A24" s="6" t="s">
        <v>33</v>
      </c>
      <c r="B24" s="6" t="s">
        <v>1329</v>
      </c>
      <c r="C24" s="7">
        <v>33309</v>
      </c>
      <c r="D24" s="8">
        <v>39066</v>
      </c>
      <c r="E24" s="6" t="s">
        <v>2603</v>
      </c>
      <c r="F24" s="6">
        <v>152798</v>
      </c>
      <c r="G24" s="6" t="s">
        <v>2611</v>
      </c>
      <c r="H24" s="6" t="s">
        <v>2617</v>
      </c>
      <c r="I24" s="6" t="s">
        <v>2640</v>
      </c>
      <c r="J24" s="6" t="s">
        <v>3309</v>
      </c>
      <c r="K24" s="6">
        <v>19</v>
      </c>
    </row>
    <row r="25" spans="1:12" x14ac:dyDescent="0.3">
      <c r="A25" s="6" t="s">
        <v>34</v>
      </c>
      <c r="B25" s="6" t="s">
        <v>1330</v>
      </c>
      <c r="C25" s="7">
        <v>29157</v>
      </c>
      <c r="D25" s="8">
        <v>40324</v>
      </c>
      <c r="E25" s="6" t="s">
        <v>2600</v>
      </c>
      <c r="F25" s="6">
        <v>24173</v>
      </c>
      <c r="G25" s="6" t="s">
        <v>2614</v>
      </c>
      <c r="H25" s="6" t="s">
        <v>2616</v>
      </c>
      <c r="I25" s="6" t="s">
        <v>2641</v>
      </c>
      <c r="J25" s="6" t="s">
        <v>3306</v>
      </c>
      <c r="K25" s="6">
        <v>15</v>
      </c>
    </row>
    <row r="26" spans="1:12" x14ac:dyDescent="0.3">
      <c r="A26" s="6" t="s">
        <v>35</v>
      </c>
      <c r="B26" s="6" t="s">
        <v>1331</v>
      </c>
      <c r="C26" s="7">
        <v>35758</v>
      </c>
      <c r="D26" s="8">
        <v>30603</v>
      </c>
      <c r="E26" s="6" t="s">
        <v>2601</v>
      </c>
      <c r="F26" s="6">
        <v>131132</v>
      </c>
      <c r="G26" s="6" t="s">
        <v>2615</v>
      </c>
      <c r="H26" s="6" t="s">
        <v>2617</v>
      </c>
      <c r="I26" s="6" t="s">
        <v>2642</v>
      </c>
      <c r="J26" s="6" t="s">
        <v>3306</v>
      </c>
      <c r="K26" s="6">
        <v>42</v>
      </c>
    </row>
    <row r="27" spans="1:12" x14ac:dyDescent="0.3">
      <c r="A27" s="6" t="s">
        <v>36</v>
      </c>
      <c r="B27" s="6" t="s">
        <v>1332</v>
      </c>
      <c r="C27" s="7">
        <v>29646</v>
      </c>
      <c r="D27" s="8">
        <v>36278</v>
      </c>
      <c r="E27" s="6" t="s">
        <v>2602</v>
      </c>
      <c r="F27" s="6">
        <v>145437</v>
      </c>
      <c r="G27" s="6" t="s">
        <v>2610</v>
      </c>
      <c r="H27" s="6" t="s">
        <v>2617</v>
      </c>
      <c r="I27" s="6" t="s">
        <v>2643</v>
      </c>
      <c r="J27" s="6" t="s">
        <v>3307</v>
      </c>
      <c r="K27" s="6">
        <v>26</v>
      </c>
    </row>
    <row r="28" spans="1:12" x14ac:dyDescent="0.3">
      <c r="A28" s="6" t="s">
        <v>37</v>
      </c>
      <c r="B28" s="6" t="s">
        <v>1333</v>
      </c>
      <c r="C28" s="7">
        <v>30828</v>
      </c>
      <c r="D28" s="8">
        <v>32530</v>
      </c>
      <c r="E28" s="6" t="s">
        <v>2599</v>
      </c>
      <c r="F28" s="6">
        <v>135145</v>
      </c>
      <c r="G28" s="6" t="s">
        <v>2609</v>
      </c>
      <c r="H28" s="6" t="s">
        <v>2617</v>
      </c>
      <c r="I28" s="6" t="s">
        <v>2644</v>
      </c>
      <c r="J28" s="6" t="s">
        <v>3308</v>
      </c>
      <c r="K28" s="6">
        <v>36</v>
      </c>
    </row>
    <row r="29" spans="1:12" x14ac:dyDescent="0.3">
      <c r="A29" s="6" t="s">
        <v>38</v>
      </c>
      <c r="B29" s="6" t="s">
        <v>1334</v>
      </c>
      <c r="C29" s="7">
        <v>31291</v>
      </c>
      <c r="D29" s="8">
        <v>37094</v>
      </c>
      <c r="E29" s="6" t="s">
        <v>2604</v>
      </c>
      <c r="F29" s="6">
        <v>87948</v>
      </c>
      <c r="G29" s="6" t="s">
        <v>2615</v>
      </c>
      <c r="H29" s="6" t="s">
        <v>2617</v>
      </c>
      <c r="I29" s="6" t="s">
        <v>2645</v>
      </c>
      <c r="J29" s="6" t="s">
        <v>3306</v>
      </c>
      <c r="K29" s="6">
        <v>24</v>
      </c>
    </row>
    <row r="30" spans="1:12" x14ac:dyDescent="0.3">
      <c r="A30" s="6" t="s">
        <v>39</v>
      </c>
      <c r="B30" s="6" t="s">
        <v>1335</v>
      </c>
      <c r="C30" s="7">
        <v>32183</v>
      </c>
      <c r="D30" s="8">
        <v>29739</v>
      </c>
      <c r="E30" s="6" t="s">
        <v>2603</v>
      </c>
      <c r="F30" s="6">
        <v>144034</v>
      </c>
      <c r="G30" s="6" t="s">
        <v>2606</v>
      </c>
      <c r="H30" s="6" t="s">
        <v>2616</v>
      </c>
      <c r="I30" s="6" t="s">
        <v>2646</v>
      </c>
      <c r="J30" s="6" t="s">
        <v>3306</v>
      </c>
      <c r="K30" s="6">
        <v>44</v>
      </c>
    </row>
    <row r="31" spans="1:12" x14ac:dyDescent="0.3">
      <c r="A31" s="6" t="s">
        <v>40</v>
      </c>
      <c r="B31" s="6" t="s">
        <v>1336</v>
      </c>
      <c r="C31" s="7">
        <v>21649</v>
      </c>
      <c r="D31" s="8">
        <v>40726</v>
      </c>
      <c r="E31" s="6" t="s">
        <v>2605</v>
      </c>
      <c r="F31" s="6">
        <v>198801</v>
      </c>
      <c r="G31" s="6" t="s">
        <v>2612</v>
      </c>
      <c r="H31" s="6" t="s">
        <v>2617</v>
      </c>
      <c r="I31" s="6" t="s">
        <v>2647</v>
      </c>
      <c r="J31" s="6" t="s">
        <v>3310</v>
      </c>
      <c r="K31" s="6">
        <v>14</v>
      </c>
    </row>
    <row r="32" spans="1:12" x14ac:dyDescent="0.3">
      <c r="A32" s="6" t="s">
        <v>41</v>
      </c>
      <c r="B32" s="6" t="s">
        <v>1337</v>
      </c>
      <c r="C32" s="7">
        <v>27763</v>
      </c>
      <c r="D32" s="8">
        <v>35732</v>
      </c>
      <c r="E32" s="6" t="s">
        <v>2601</v>
      </c>
      <c r="F32" s="6">
        <v>191756</v>
      </c>
      <c r="G32" s="6" t="s">
        <v>2613</v>
      </c>
      <c r="H32" s="6" t="s">
        <v>2616</v>
      </c>
      <c r="I32" s="6" t="s">
        <v>2648</v>
      </c>
      <c r="J32" s="6" t="s">
        <v>3306</v>
      </c>
      <c r="K32" s="6">
        <v>28</v>
      </c>
    </row>
    <row r="33" spans="1:11" x14ac:dyDescent="0.3">
      <c r="A33" s="6" t="s">
        <v>42</v>
      </c>
      <c r="B33" s="6" t="s">
        <v>1338</v>
      </c>
      <c r="C33" s="7">
        <v>26614</v>
      </c>
      <c r="D33" s="8">
        <v>33786</v>
      </c>
      <c r="E33" s="6" t="s">
        <v>2599</v>
      </c>
      <c r="F33" s="6">
        <v>35955</v>
      </c>
      <c r="G33" s="6" t="s">
        <v>2608</v>
      </c>
      <c r="H33" s="6" t="s">
        <v>2617</v>
      </c>
      <c r="I33" s="6" t="s">
        <v>2649</v>
      </c>
      <c r="J33" s="6" t="s">
        <v>3308</v>
      </c>
      <c r="K33" s="6">
        <v>33</v>
      </c>
    </row>
    <row r="34" spans="1:11" x14ac:dyDescent="0.3">
      <c r="A34" s="6" t="s">
        <v>43</v>
      </c>
      <c r="B34" s="6" t="s">
        <v>1339</v>
      </c>
      <c r="C34" s="7">
        <v>37300</v>
      </c>
      <c r="D34" s="8">
        <v>40038</v>
      </c>
      <c r="E34" s="6" t="s">
        <v>2600</v>
      </c>
      <c r="F34" s="6">
        <v>187043</v>
      </c>
      <c r="G34" s="6" t="s">
        <v>2615</v>
      </c>
      <c r="H34" s="6" t="s">
        <v>2616</v>
      </c>
      <c r="I34" s="6" t="s">
        <v>2650</v>
      </c>
      <c r="J34" s="6" t="s">
        <v>3310</v>
      </c>
      <c r="K34" s="6">
        <v>16</v>
      </c>
    </row>
    <row r="35" spans="1:11" x14ac:dyDescent="0.3">
      <c r="A35" s="6" t="s">
        <v>44</v>
      </c>
      <c r="B35" s="6" t="s">
        <v>1340</v>
      </c>
      <c r="C35" s="7">
        <v>24554</v>
      </c>
      <c r="D35" s="8">
        <v>36249</v>
      </c>
      <c r="E35" s="6" t="s">
        <v>2599</v>
      </c>
      <c r="F35" s="6">
        <v>125651</v>
      </c>
      <c r="G35" s="6" t="s">
        <v>2615</v>
      </c>
      <c r="H35" s="6" t="s">
        <v>2616</v>
      </c>
      <c r="I35" s="6" t="s">
        <v>2651</v>
      </c>
      <c r="J35" s="6" t="s">
        <v>3307</v>
      </c>
      <c r="K35" s="6">
        <v>26</v>
      </c>
    </row>
    <row r="36" spans="1:11" x14ac:dyDescent="0.3">
      <c r="A36" s="6" t="s">
        <v>45</v>
      </c>
      <c r="B36" s="6" t="s">
        <v>1341</v>
      </c>
      <c r="C36" s="7">
        <v>35569</v>
      </c>
      <c r="D36" s="8">
        <v>27835</v>
      </c>
      <c r="E36" s="6" t="s">
        <v>2601</v>
      </c>
      <c r="F36" s="6">
        <v>80372</v>
      </c>
      <c r="G36" s="6" t="s">
        <v>2613</v>
      </c>
      <c r="H36" s="6" t="s">
        <v>2616</v>
      </c>
      <c r="I36" s="6" t="s">
        <v>2627</v>
      </c>
      <c r="J36" s="6" t="s">
        <v>3310</v>
      </c>
      <c r="K36" s="6">
        <v>49</v>
      </c>
    </row>
    <row r="37" spans="1:11" x14ac:dyDescent="0.3">
      <c r="A37" s="6" t="s">
        <v>46</v>
      </c>
      <c r="B37" s="6" t="s">
        <v>1342</v>
      </c>
      <c r="C37" s="7">
        <v>34500</v>
      </c>
      <c r="D37" s="8">
        <v>35659</v>
      </c>
      <c r="E37" s="6" t="s">
        <v>2602</v>
      </c>
      <c r="F37" s="6">
        <v>64595</v>
      </c>
      <c r="G37" s="6" t="s">
        <v>2606</v>
      </c>
      <c r="H37" s="6" t="s">
        <v>2617</v>
      </c>
      <c r="I37" s="6" t="s">
        <v>2652</v>
      </c>
      <c r="J37" s="6" t="s">
        <v>3307</v>
      </c>
      <c r="K37" s="6">
        <v>28</v>
      </c>
    </row>
    <row r="38" spans="1:11" x14ac:dyDescent="0.3">
      <c r="A38" s="6" t="s">
        <v>47</v>
      </c>
      <c r="B38" s="6" t="s">
        <v>1343</v>
      </c>
      <c r="C38" s="7">
        <v>29077</v>
      </c>
      <c r="D38" s="8">
        <v>40509</v>
      </c>
      <c r="E38" s="6"/>
      <c r="F38" s="6">
        <v>146314</v>
      </c>
      <c r="G38" s="6" t="s">
        <v>2612</v>
      </c>
      <c r="H38" s="6" t="s">
        <v>2617</v>
      </c>
      <c r="I38" s="6" t="s">
        <v>2653</v>
      </c>
      <c r="J38" s="6" t="s">
        <v>3306</v>
      </c>
      <c r="K38" s="6">
        <v>15</v>
      </c>
    </row>
    <row r="39" spans="1:11" x14ac:dyDescent="0.3">
      <c r="A39" s="6" t="s">
        <v>48</v>
      </c>
      <c r="B39" s="6" t="s">
        <v>1344</v>
      </c>
      <c r="C39" s="7">
        <v>36362</v>
      </c>
      <c r="D39" s="8">
        <v>37478</v>
      </c>
      <c r="E39" s="6" t="s">
        <v>2601</v>
      </c>
      <c r="F39" s="6">
        <v>186139</v>
      </c>
      <c r="G39" s="6" t="s">
        <v>2613</v>
      </c>
      <c r="H39" s="6" t="s">
        <v>2617</v>
      </c>
      <c r="I39" s="6" t="s">
        <v>2654</v>
      </c>
      <c r="J39" s="6" t="s">
        <v>3309</v>
      </c>
      <c r="K39" s="6">
        <v>23</v>
      </c>
    </row>
    <row r="40" spans="1:11" x14ac:dyDescent="0.3">
      <c r="A40" s="6" t="s">
        <v>49</v>
      </c>
      <c r="B40" s="6" t="s">
        <v>1345</v>
      </c>
      <c r="C40" s="7">
        <v>31525</v>
      </c>
      <c r="D40" s="8">
        <v>38054</v>
      </c>
      <c r="E40" s="6" t="s">
        <v>2603</v>
      </c>
      <c r="F40" s="6">
        <v>92655</v>
      </c>
      <c r="G40" s="6" t="s">
        <v>2613</v>
      </c>
      <c r="H40" s="6" t="s">
        <v>2617</v>
      </c>
      <c r="I40" s="6" t="s">
        <v>2655</v>
      </c>
      <c r="J40" s="6" t="s">
        <v>3310</v>
      </c>
      <c r="K40" s="6">
        <v>21</v>
      </c>
    </row>
    <row r="41" spans="1:11" x14ac:dyDescent="0.3">
      <c r="A41" s="6" t="s">
        <v>50</v>
      </c>
      <c r="B41" s="6" t="s">
        <v>1346</v>
      </c>
      <c r="C41" s="7">
        <v>24005</v>
      </c>
      <c r="D41" s="8">
        <v>26505</v>
      </c>
      <c r="E41" s="6" t="s">
        <v>2605</v>
      </c>
      <c r="F41" s="6">
        <v>104585</v>
      </c>
      <c r="G41" s="6" t="s">
        <v>2611</v>
      </c>
      <c r="H41" s="6" t="s">
        <v>2617</v>
      </c>
      <c r="I41" s="6" t="s">
        <v>2656</v>
      </c>
      <c r="J41" s="6" t="s">
        <v>3307</v>
      </c>
      <c r="K41" s="6">
        <v>53</v>
      </c>
    </row>
    <row r="42" spans="1:11" x14ac:dyDescent="0.3">
      <c r="A42" s="6" t="s">
        <v>51</v>
      </c>
      <c r="B42" s="6" t="s">
        <v>1347</v>
      </c>
      <c r="C42" s="7">
        <v>30768</v>
      </c>
      <c r="D42" s="8">
        <v>38661</v>
      </c>
      <c r="E42" s="6" t="s">
        <v>2602</v>
      </c>
      <c r="F42" s="6">
        <v>133053</v>
      </c>
      <c r="G42" s="6" t="s">
        <v>2609</v>
      </c>
      <c r="H42" s="6" t="s">
        <v>2617</v>
      </c>
      <c r="I42" s="6" t="s">
        <v>2657</v>
      </c>
      <c r="J42" s="6" t="s">
        <v>3305</v>
      </c>
      <c r="K42" s="6">
        <v>20</v>
      </c>
    </row>
    <row r="43" spans="1:11" x14ac:dyDescent="0.3">
      <c r="A43" s="6" t="s">
        <v>52</v>
      </c>
      <c r="B43" s="6" t="s">
        <v>1348</v>
      </c>
      <c r="C43" s="7">
        <v>35241</v>
      </c>
      <c r="D43" s="8">
        <v>29801</v>
      </c>
      <c r="E43" s="6" t="s">
        <v>2599</v>
      </c>
      <c r="F43" s="6">
        <v>155724</v>
      </c>
      <c r="G43" s="6" t="s">
        <v>2606</v>
      </c>
      <c r="H43" s="6" t="s">
        <v>2616</v>
      </c>
      <c r="I43" s="6" t="s">
        <v>2658</v>
      </c>
      <c r="J43" s="6" t="s">
        <v>3309</v>
      </c>
      <c r="K43" s="6">
        <v>44</v>
      </c>
    </row>
    <row r="44" spans="1:11" x14ac:dyDescent="0.3">
      <c r="A44" s="6" t="s">
        <v>53</v>
      </c>
      <c r="B44" s="6" t="s">
        <v>1349</v>
      </c>
      <c r="C44" s="7">
        <v>31623</v>
      </c>
      <c r="D44" s="8">
        <v>26672</v>
      </c>
      <c r="E44" s="6" t="s">
        <v>2599</v>
      </c>
      <c r="F44" s="6">
        <v>71232</v>
      </c>
      <c r="G44" s="6" t="s">
        <v>2607</v>
      </c>
      <c r="H44" s="6" t="s">
        <v>2617</v>
      </c>
      <c r="I44" s="6" t="s">
        <v>2659</v>
      </c>
      <c r="J44" s="6" t="s">
        <v>3307</v>
      </c>
      <c r="K44" s="6">
        <v>52</v>
      </c>
    </row>
    <row r="45" spans="1:11" x14ac:dyDescent="0.3">
      <c r="A45" s="6" t="s">
        <v>54</v>
      </c>
      <c r="B45" s="6" t="s">
        <v>1350</v>
      </c>
      <c r="C45" s="7">
        <v>28482</v>
      </c>
      <c r="D45" s="8">
        <v>35206</v>
      </c>
      <c r="E45" s="6" t="s">
        <v>2603</v>
      </c>
      <c r="F45" s="6">
        <v>23743</v>
      </c>
      <c r="G45" s="6" t="s">
        <v>2614</v>
      </c>
      <c r="H45" s="6" t="s">
        <v>2617</v>
      </c>
      <c r="I45" s="6" t="s">
        <v>2660</v>
      </c>
      <c r="J45" s="6" t="s">
        <v>3304</v>
      </c>
      <c r="K45" s="6">
        <v>29</v>
      </c>
    </row>
    <row r="46" spans="1:11" x14ac:dyDescent="0.3">
      <c r="A46" s="6" t="s">
        <v>55</v>
      </c>
      <c r="B46" s="6" t="s">
        <v>1351</v>
      </c>
      <c r="C46" s="7">
        <v>27760</v>
      </c>
      <c r="D46" s="8">
        <v>37335</v>
      </c>
      <c r="E46" s="6" t="s">
        <v>2604</v>
      </c>
      <c r="F46" s="6">
        <v>100175</v>
      </c>
      <c r="G46" s="6" t="s">
        <v>2606</v>
      </c>
      <c r="H46" s="6" t="s">
        <v>2617</v>
      </c>
      <c r="I46" s="6" t="s">
        <v>2661</v>
      </c>
      <c r="J46" s="6" t="s">
        <v>3308</v>
      </c>
      <c r="K46" s="6">
        <v>23</v>
      </c>
    </row>
    <row r="47" spans="1:11" x14ac:dyDescent="0.3">
      <c r="A47" s="6" t="s">
        <v>56</v>
      </c>
      <c r="B47" s="6" t="s">
        <v>1352</v>
      </c>
      <c r="C47" s="7">
        <v>34954</v>
      </c>
      <c r="D47" s="8">
        <v>28591</v>
      </c>
      <c r="E47" s="6" t="s">
        <v>2600</v>
      </c>
      <c r="F47" s="6">
        <v>183318</v>
      </c>
      <c r="G47" s="6" t="s">
        <v>2608</v>
      </c>
      <c r="H47" s="6" t="s">
        <v>2617</v>
      </c>
      <c r="I47" s="6" t="s">
        <v>2662</v>
      </c>
      <c r="J47" s="6" t="s">
        <v>3308</v>
      </c>
      <c r="K47" s="6">
        <v>47</v>
      </c>
    </row>
    <row r="48" spans="1:11" x14ac:dyDescent="0.3">
      <c r="A48" s="6" t="s">
        <v>57</v>
      </c>
      <c r="B48" s="6" t="s">
        <v>1353</v>
      </c>
      <c r="C48" s="7">
        <v>37157</v>
      </c>
      <c r="D48" s="8">
        <v>26716</v>
      </c>
      <c r="E48" s="6" t="s">
        <v>2601</v>
      </c>
      <c r="F48" s="6">
        <v>166030</v>
      </c>
      <c r="G48" s="6" t="s">
        <v>2607</v>
      </c>
      <c r="H48" s="6" t="s">
        <v>2616</v>
      </c>
      <c r="I48" s="6" t="s">
        <v>2628</v>
      </c>
      <c r="J48" s="6" t="s">
        <v>3305</v>
      </c>
      <c r="K48" s="6">
        <v>52</v>
      </c>
    </row>
    <row r="49" spans="1:11" x14ac:dyDescent="0.3">
      <c r="A49" s="6" t="s">
        <v>58</v>
      </c>
      <c r="B49" s="6" t="s">
        <v>1354</v>
      </c>
      <c r="C49" s="7">
        <v>31839</v>
      </c>
      <c r="D49" s="8">
        <v>28251</v>
      </c>
      <c r="E49" s="6" t="s">
        <v>2601</v>
      </c>
      <c r="F49" s="6">
        <v>135963</v>
      </c>
      <c r="G49" s="6" t="s">
        <v>2609</v>
      </c>
      <c r="H49" s="6" t="s">
        <v>2616</v>
      </c>
      <c r="I49" s="6" t="s">
        <v>2631</v>
      </c>
      <c r="J49" s="6" t="s">
        <v>3308</v>
      </c>
      <c r="K49" s="6">
        <v>48</v>
      </c>
    </row>
    <row r="50" spans="1:11" x14ac:dyDescent="0.3">
      <c r="A50" s="6" t="s">
        <v>59</v>
      </c>
      <c r="B50" s="6" t="s">
        <v>1355</v>
      </c>
      <c r="C50" s="7">
        <v>29196</v>
      </c>
      <c r="D50" s="8">
        <v>38451</v>
      </c>
      <c r="E50" s="6" t="s">
        <v>2604</v>
      </c>
      <c r="F50" s="6">
        <v>52083</v>
      </c>
      <c r="G50" s="6" t="s">
        <v>2608</v>
      </c>
      <c r="H50" s="6" t="s">
        <v>2616</v>
      </c>
      <c r="I50" s="6" t="s">
        <v>2663</v>
      </c>
      <c r="J50" s="6" t="s">
        <v>3307</v>
      </c>
      <c r="K50" s="6">
        <v>20</v>
      </c>
    </row>
    <row r="51" spans="1:11" x14ac:dyDescent="0.3">
      <c r="A51" s="6" t="s">
        <v>60</v>
      </c>
      <c r="B51" s="6" t="s">
        <v>1356</v>
      </c>
      <c r="C51" s="7">
        <v>35622</v>
      </c>
      <c r="D51" s="8">
        <v>39890</v>
      </c>
      <c r="E51" s="6" t="s">
        <v>2601</v>
      </c>
      <c r="F51" s="6">
        <v>130654</v>
      </c>
      <c r="G51" s="6" t="s">
        <v>2611</v>
      </c>
      <c r="H51" s="6" t="s">
        <v>2616</v>
      </c>
      <c r="I51" s="6" t="s">
        <v>2618</v>
      </c>
      <c r="J51" s="6" t="s">
        <v>3304</v>
      </c>
      <c r="K51" s="6">
        <v>16</v>
      </c>
    </row>
    <row r="52" spans="1:11" x14ac:dyDescent="0.3">
      <c r="A52" s="6" t="s">
        <v>61</v>
      </c>
      <c r="B52" s="6" t="s">
        <v>1357</v>
      </c>
      <c r="C52" s="7">
        <v>31879</v>
      </c>
      <c r="D52" s="8">
        <v>39688</v>
      </c>
      <c r="E52" s="6" t="s">
        <v>2603</v>
      </c>
      <c r="F52" s="6">
        <v>193262</v>
      </c>
      <c r="G52" s="6" t="s">
        <v>2613</v>
      </c>
      <c r="H52" s="6" t="s">
        <v>2616</v>
      </c>
      <c r="I52" s="6" t="s">
        <v>2664</v>
      </c>
      <c r="J52" s="6" t="s">
        <v>3310</v>
      </c>
      <c r="K52" s="6">
        <v>17</v>
      </c>
    </row>
    <row r="53" spans="1:11" x14ac:dyDescent="0.3">
      <c r="A53" s="6" t="s">
        <v>3335</v>
      </c>
      <c r="B53" s="6" t="s">
        <v>1358</v>
      </c>
      <c r="C53" s="7">
        <v>30618</v>
      </c>
      <c r="D53" s="8">
        <v>44194</v>
      </c>
      <c r="E53" s="6" t="s">
        <v>2603</v>
      </c>
      <c r="F53" s="6">
        <v>136837</v>
      </c>
      <c r="G53" s="6" t="s">
        <v>2613</v>
      </c>
      <c r="H53" s="6" t="s">
        <v>2616</v>
      </c>
      <c r="I53" s="6" t="s">
        <v>2665</v>
      </c>
      <c r="J53" s="6" t="s">
        <v>3306</v>
      </c>
      <c r="K53" s="6">
        <v>5</v>
      </c>
    </row>
    <row r="54" spans="1:11" x14ac:dyDescent="0.3">
      <c r="A54" s="6" t="s">
        <v>3336</v>
      </c>
      <c r="B54" s="6" t="s">
        <v>1359</v>
      </c>
      <c r="C54" s="7">
        <v>27577</v>
      </c>
      <c r="D54" s="8">
        <v>29437</v>
      </c>
      <c r="E54" s="6" t="s">
        <v>2599</v>
      </c>
      <c r="F54" s="6">
        <v>130986</v>
      </c>
      <c r="G54" s="6" t="s">
        <v>2612</v>
      </c>
      <c r="H54" s="6" t="s">
        <v>2616</v>
      </c>
      <c r="I54" s="6" t="s">
        <v>2666</v>
      </c>
      <c r="J54" s="6" t="s">
        <v>3310</v>
      </c>
      <c r="K54" s="6">
        <v>45</v>
      </c>
    </row>
    <row r="55" spans="1:11" x14ac:dyDescent="0.3">
      <c r="A55" s="6" t="s">
        <v>64</v>
      </c>
      <c r="B55" s="6" t="s">
        <v>1360</v>
      </c>
      <c r="C55" s="7">
        <v>35554</v>
      </c>
      <c r="D55" s="8">
        <v>33269</v>
      </c>
      <c r="E55" s="6" t="s">
        <v>2604</v>
      </c>
      <c r="F55" s="6">
        <v>79945</v>
      </c>
      <c r="G55" s="6" t="s">
        <v>2615</v>
      </c>
      <c r="H55" s="6" t="s">
        <v>2616</v>
      </c>
      <c r="I55" s="6" t="s">
        <v>2667</v>
      </c>
      <c r="J55" s="6" t="s">
        <v>3310</v>
      </c>
      <c r="K55" s="6">
        <v>34</v>
      </c>
    </row>
    <row r="56" spans="1:11" x14ac:dyDescent="0.3">
      <c r="A56" s="6" t="s">
        <v>65</v>
      </c>
      <c r="B56" s="6" t="s">
        <v>1361</v>
      </c>
      <c r="C56" s="7">
        <v>30303</v>
      </c>
      <c r="D56" s="8">
        <v>39083</v>
      </c>
      <c r="E56" s="6" t="s">
        <v>2601</v>
      </c>
      <c r="F56" s="6">
        <v>62949</v>
      </c>
      <c r="G56" s="6" t="s">
        <v>2611</v>
      </c>
      <c r="H56" s="6" t="s">
        <v>2617</v>
      </c>
      <c r="I56" s="6" t="s">
        <v>2668</v>
      </c>
      <c r="J56" s="6" t="s">
        <v>3308</v>
      </c>
      <c r="K56" s="6">
        <v>18</v>
      </c>
    </row>
    <row r="57" spans="1:11" x14ac:dyDescent="0.3">
      <c r="A57" s="6" t="s">
        <v>66</v>
      </c>
      <c r="B57" s="6" t="s">
        <v>1362</v>
      </c>
      <c r="C57" s="7">
        <v>28264</v>
      </c>
      <c r="D57" s="8">
        <v>29140</v>
      </c>
      <c r="E57" s="6" t="s">
        <v>2605</v>
      </c>
      <c r="F57" s="6">
        <v>48367</v>
      </c>
      <c r="G57" s="6" t="s">
        <v>2608</v>
      </c>
      <c r="H57" s="6" t="s">
        <v>2616</v>
      </c>
      <c r="I57" s="6" t="s">
        <v>2669</v>
      </c>
      <c r="J57" s="6" t="s">
        <v>3304</v>
      </c>
      <c r="K57" s="6">
        <v>46</v>
      </c>
    </row>
    <row r="58" spans="1:11" x14ac:dyDescent="0.3">
      <c r="A58" s="6" t="s">
        <v>67</v>
      </c>
      <c r="B58" s="6" t="s">
        <v>1363</v>
      </c>
      <c r="C58" s="7">
        <v>28990</v>
      </c>
      <c r="D58" s="8">
        <v>36963</v>
      </c>
      <c r="E58" s="6" t="s">
        <v>2603</v>
      </c>
      <c r="F58" s="6">
        <v>131505</v>
      </c>
      <c r="G58" s="6" t="s">
        <v>2608</v>
      </c>
      <c r="H58" s="6" t="s">
        <v>2616</v>
      </c>
      <c r="I58" s="6" t="s">
        <v>2670</v>
      </c>
      <c r="J58" s="6" t="s">
        <v>3307</v>
      </c>
      <c r="K58" s="6">
        <v>24</v>
      </c>
    </row>
    <row r="59" spans="1:11" x14ac:dyDescent="0.3">
      <c r="A59" s="6" t="s">
        <v>68</v>
      </c>
      <c r="B59" s="6" t="s">
        <v>1364</v>
      </c>
      <c r="C59" s="7">
        <v>32120</v>
      </c>
      <c r="D59" s="8">
        <v>38577</v>
      </c>
      <c r="E59" s="6" t="s">
        <v>2603</v>
      </c>
      <c r="F59" s="6">
        <v>167788</v>
      </c>
      <c r="G59" s="6" t="s">
        <v>2615</v>
      </c>
      <c r="H59" s="6" t="s">
        <v>2617</v>
      </c>
      <c r="I59" s="6" t="s">
        <v>2671</v>
      </c>
      <c r="J59" s="6" t="s">
        <v>3310</v>
      </c>
      <c r="K59" s="6">
        <v>20</v>
      </c>
    </row>
    <row r="60" spans="1:11" x14ac:dyDescent="0.3">
      <c r="A60" s="6" t="s">
        <v>69</v>
      </c>
      <c r="B60" s="6" t="s">
        <v>1365</v>
      </c>
      <c r="C60" s="7">
        <v>36614</v>
      </c>
      <c r="D60" s="8">
        <v>41656</v>
      </c>
      <c r="E60" s="6" t="s">
        <v>2601</v>
      </c>
      <c r="F60" s="6">
        <v>89467</v>
      </c>
      <c r="G60" s="6" t="s">
        <v>2612</v>
      </c>
      <c r="H60" s="6" t="s">
        <v>2616</v>
      </c>
      <c r="I60" s="6" t="s">
        <v>2672</v>
      </c>
      <c r="J60" s="6" t="s">
        <v>3309</v>
      </c>
      <c r="K60" s="6">
        <v>11</v>
      </c>
    </row>
    <row r="61" spans="1:11" x14ac:dyDescent="0.3">
      <c r="A61" s="6" t="s">
        <v>70</v>
      </c>
      <c r="B61" s="6" t="s">
        <v>1366</v>
      </c>
      <c r="C61" s="7">
        <v>32792</v>
      </c>
      <c r="D61" s="8">
        <v>26646</v>
      </c>
      <c r="E61" s="6" t="s">
        <v>2604</v>
      </c>
      <c r="F61" s="6">
        <v>43750</v>
      </c>
      <c r="G61" s="6" t="s">
        <v>2611</v>
      </c>
      <c r="H61" s="6" t="s">
        <v>2616</v>
      </c>
      <c r="I61" s="6" t="s">
        <v>2673</v>
      </c>
      <c r="J61" s="6" t="s">
        <v>3310</v>
      </c>
      <c r="K61" s="6">
        <v>53</v>
      </c>
    </row>
    <row r="62" spans="1:11" x14ac:dyDescent="0.3">
      <c r="A62" s="6" t="s">
        <v>71</v>
      </c>
      <c r="B62" s="6" t="s">
        <v>1367</v>
      </c>
      <c r="C62" s="7">
        <v>29139</v>
      </c>
      <c r="D62" s="8">
        <v>32396</v>
      </c>
      <c r="E62" s="6" t="s">
        <v>2603</v>
      </c>
      <c r="F62" s="6">
        <v>166605</v>
      </c>
      <c r="G62" s="6" t="s">
        <v>2608</v>
      </c>
      <c r="H62" s="6" t="s">
        <v>2617</v>
      </c>
      <c r="I62" s="6" t="s">
        <v>2674</v>
      </c>
      <c r="J62" s="6" t="s">
        <v>3308</v>
      </c>
      <c r="K62" s="6">
        <v>37</v>
      </c>
    </row>
    <row r="63" spans="1:11" x14ac:dyDescent="0.3">
      <c r="A63" s="6" t="s">
        <v>72</v>
      </c>
      <c r="B63" s="6" t="s">
        <v>1368</v>
      </c>
      <c r="C63" s="7">
        <v>36958</v>
      </c>
      <c r="D63" s="8">
        <v>35568</v>
      </c>
      <c r="E63" s="6" t="s">
        <v>2600</v>
      </c>
      <c r="F63" s="6">
        <v>164369</v>
      </c>
      <c r="G63" s="6" t="s">
        <v>2612</v>
      </c>
      <c r="H63" s="6" t="s">
        <v>2617</v>
      </c>
      <c r="I63" s="6" t="s">
        <v>2675</v>
      </c>
      <c r="J63" s="6" t="s">
        <v>3307</v>
      </c>
      <c r="K63" s="6">
        <v>28</v>
      </c>
    </row>
    <row r="64" spans="1:11" x14ac:dyDescent="0.3">
      <c r="A64" s="6" t="s">
        <v>73</v>
      </c>
      <c r="B64" s="6" t="s">
        <v>1369</v>
      </c>
      <c r="C64" s="7">
        <v>25766</v>
      </c>
      <c r="D64" s="8">
        <v>28072</v>
      </c>
      <c r="E64" s="6" t="s">
        <v>2599</v>
      </c>
      <c r="F64" s="6">
        <v>52472</v>
      </c>
      <c r="G64" s="6" t="s">
        <v>2606</v>
      </c>
      <c r="H64" s="6" t="s">
        <v>2616</v>
      </c>
      <c r="I64" s="6" t="s">
        <v>2676</v>
      </c>
      <c r="J64" s="6" t="s">
        <v>3308</v>
      </c>
      <c r="K64" s="6">
        <v>49</v>
      </c>
    </row>
    <row r="65" spans="1:11" x14ac:dyDescent="0.3">
      <c r="A65" s="6" t="s">
        <v>74</v>
      </c>
      <c r="B65" s="6" t="s">
        <v>1370</v>
      </c>
      <c r="C65" s="7">
        <v>26712</v>
      </c>
      <c r="D65" s="8">
        <v>26979</v>
      </c>
      <c r="E65" s="6" t="s">
        <v>2602</v>
      </c>
      <c r="F65" s="6">
        <v>155912</v>
      </c>
      <c r="G65" s="6" t="s">
        <v>2609</v>
      </c>
      <c r="H65" s="6" t="s">
        <v>2616</v>
      </c>
      <c r="I65" s="6" t="s">
        <v>2638</v>
      </c>
      <c r="J65" s="6" t="s">
        <v>3310</v>
      </c>
      <c r="K65" s="6">
        <v>52</v>
      </c>
    </row>
    <row r="66" spans="1:11" x14ac:dyDescent="0.3">
      <c r="A66" s="6" t="s">
        <v>75</v>
      </c>
      <c r="B66" s="6" t="s">
        <v>1371</v>
      </c>
      <c r="C66" s="7">
        <v>35498</v>
      </c>
      <c r="D66" s="8">
        <v>39487</v>
      </c>
      <c r="E66" s="6" t="s">
        <v>2599</v>
      </c>
      <c r="F66" s="6">
        <v>55083</v>
      </c>
      <c r="G66" s="6" t="s">
        <v>2612</v>
      </c>
      <c r="H66" s="6" t="s">
        <v>2617</v>
      </c>
      <c r="I66" s="6" t="s">
        <v>2677</v>
      </c>
      <c r="J66" s="6" t="s">
        <v>3308</v>
      </c>
      <c r="K66" s="6">
        <v>17</v>
      </c>
    </row>
    <row r="67" spans="1:11" x14ac:dyDescent="0.3">
      <c r="A67" s="6" t="s">
        <v>76</v>
      </c>
      <c r="B67" s="6" t="s">
        <v>1372</v>
      </c>
      <c r="C67" s="7">
        <v>30343</v>
      </c>
      <c r="D67" s="8">
        <v>26503</v>
      </c>
      <c r="E67" s="6" t="s">
        <v>2602</v>
      </c>
      <c r="F67" s="6">
        <v>33451</v>
      </c>
      <c r="G67" s="6" t="s">
        <v>2614</v>
      </c>
      <c r="H67" s="6" t="s">
        <v>2616</v>
      </c>
      <c r="I67" s="6" t="s">
        <v>2651</v>
      </c>
      <c r="J67" s="6" t="s">
        <v>3304</v>
      </c>
      <c r="K67" s="6">
        <v>53</v>
      </c>
    </row>
    <row r="68" spans="1:11" x14ac:dyDescent="0.3">
      <c r="A68" s="6" t="s">
        <v>77</v>
      </c>
      <c r="B68" s="6" t="s">
        <v>1373</v>
      </c>
      <c r="C68" s="7">
        <v>31787</v>
      </c>
      <c r="D68" s="8">
        <v>36820</v>
      </c>
      <c r="E68" s="6" t="s">
        <v>2602</v>
      </c>
      <c r="F68" s="6">
        <v>150654</v>
      </c>
      <c r="G68" s="6" t="s">
        <v>2614</v>
      </c>
      <c r="H68" s="6" t="s">
        <v>2617</v>
      </c>
      <c r="I68" s="6" t="s">
        <v>2678</v>
      </c>
      <c r="J68" s="6" t="s">
        <v>3305</v>
      </c>
      <c r="K68" s="6">
        <v>25</v>
      </c>
    </row>
    <row r="69" spans="1:11" x14ac:dyDescent="0.3">
      <c r="A69" s="6" t="s">
        <v>78</v>
      </c>
      <c r="B69" s="6" t="s">
        <v>1374</v>
      </c>
      <c r="C69" s="7">
        <v>27843</v>
      </c>
      <c r="D69" s="8">
        <v>30936</v>
      </c>
      <c r="E69" s="6" t="s">
        <v>2605</v>
      </c>
      <c r="F69" s="6">
        <v>71862</v>
      </c>
      <c r="G69" s="6" t="s">
        <v>2615</v>
      </c>
      <c r="H69" s="6" t="s">
        <v>2616</v>
      </c>
      <c r="I69" s="6" t="s">
        <v>2679</v>
      </c>
      <c r="J69" s="6" t="s">
        <v>3304</v>
      </c>
      <c r="K69" s="6">
        <v>41</v>
      </c>
    </row>
    <row r="70" spans="1:11" x14ac:dyDescent="0.3">
      <c r="A70" s="6" t="s">
        <v>79</v>
      </c>
      <c r="B70" s="6" t="s">
        <v>1375</v>
      </c>
      <c r="C70" s="7">
        <v>30759</v>
      </c>
      <c r="D70" s="8">
        <v>30364</v>
      </c>
      <c r="E70" s="6" t="s">
        <v>2603</v>
      </c>
      <c r="F70" s="6">
        <v>136427</v>
      </c>
      <c r="G70" s="6" t="s">
        <v>2615</v>
      </c>
      <c r="H70" s="6" t="s">
        <v>2616</v>
      </c>
      <c r="I70" s="6" t="s">
        <v>2680</v>
      </c>
      <c r="J70" s="6" t="s">
        <v>3309</v>
      </c>
      <c r="K70" s="6">
        <v>42</v>
      </c>
    </row>
    <row r="71" spans="1:11" x14ac:dyDescent="0.3">
      <c r="A71" s="6" t="s">
        <v>80</v>
      </c>
      <c r="B71" s="6" t="s">
        <v>1376</v>
      </c>
      <c r="C71" s="7">
        <v>27512</v>
      </c>
      <c r="D71" s="8">
        <v>30385</v>
      </c>
      <c r="E71" s="6" t="s">
        <v>2601</v>
      </c>
      <c r="F71" s="6">
        <v>121979</v>
      </c>
      <c r="G71" s="6" t="s">
        <v>2609</v>
      </c>
      <c r="H71" s="6" t="s">
        <v>2617</v>
      </c>
      <c r="I71" s="6" t="s">
        <v>2681</v>
      </c>
      <c r="J71" s="6" t="s">
        <v>3305</v>
      </c>
      <c r="K71" s="6">
        <v>42</v>
      </c>
    </row>
    <row r="72" spans="1:11" x14ac:dyDescent="0.3">
      <c r="A72" s="6" t="s">
        <v>81</v>
      </c>
      <c r="B72" s="6" t="s">
        <v>1377</v>
      </c>
      <c r="C72" s="7">
        <v>36676</v>
      </c>
      <c r="D72" s="8">
        <v>38476</v>
      </c>
      <c r="E72" s="6" t="s">
        <v>2603</v>
      </c>
      <c r="F72" s="6">
        <v>72905</v>
      </c>
      <c r="G72" s="6" t="s">
        <v>2613</v>
      </c>
      <c r="H72" s="6" t="s">
        <v>2617</v>
      </c>
      <c r="I72" s="6" t="s">
        <v>2682</v>
      </c>
      <c r="J72" s="6" t="s">
        <v>3304</v>
      </c>
      <c r="K72" s="6">
        <v>20</v>
      </c>
    </row>
    <row r="73" spans="1:11" x14ac:dyDescent="0.3">
      <c r="A73" s="6" t="s">
        <v>82</v>
      </c>
      <c r="B73" s="6" t="s">
        <v>1378</v>
      </c>
      <c r="C73" s="7">
        <v>37151</v>
      </c>
      <c r="D73" s="8">
        <v>43514</v>
      </c>
      <c r="E73" s="6" t="s">
        <v>2605</v>
      </c>
      <c r="F73" s="6">
        <v>59956</v>
      </c>
      <c r="G73" s="6" t="s">
        <v>2610</v>
      </c>
      <c r="H73" s="6" t="s">
        <v>2616</v>
      </c>
      <c r="I73" s="6" t="s">
        <v>2683</v>
      </c>
      <c r="J73" s="6" t="s">
        <v>3304</v>
      </c>
      <c r="K73" s="6">
        <v>6</v>
      </c>
    </row>
    <row r="74" spans="1:11" x14ac:dyDescent="0.3">
      <c r="A74" s="6" t="s">
        <v>83</v>
      </c>
      <c r="B74" s="6" t="s">
        <v>1379</v>
      </c>
      <c r="C74" s="7">
        <v>35634</v>
      </c>
      <c r="D74" s="8">
        <v>39720</v>
      </c>
      <c r="E74" s="6" t="s">
        <v>2602</v>
      </c>
      <c r="F74" s="6"/>
      <c r="G74" s="6" t="s">
        <v>2606</v>
      </c>
      <c r="H74" s="6" t="s">
        <v>2616</v>
      </c>
      <c r="I74" s="6" t="s">
        <v>2654</v>
      </c>
      <c r="J74" s="6" t="s">
        <v>3305</v>
      </c>
      <c r="K74" s="6">
        <v>17</v>
      </c>
    </row>
    <row r="75" spans="1:11" x14ac:dyDescent="0.3">
      <c r="A75" s="6" t="s">
        <v>84</v>
      </c>
      <c r="B75" s="6" t="s">
        <v>1380</v>
      </c>
      <c r="C75" s="7">
        <v>37159</v>
      </c>
      <c r="D75" s="8">
        <v>32437</v>
      </c>
      <c r="E75" s="6" t="s">
        <v>2604</v>
      </c>
      <c r="F75" s="6">
        <v>32080</v>
      </c>
      <c r="G75" s="6" t="s">
        <v>2615</v>
      </c>
      <c r="H75" s="6" t="s">
        <v>2617</v>
      </c>
      <c r="I75" s="6" t="s">
        <v>2684</v>
      </c>
      <c r="J75" s="6" t="s">
        <v>3306</v>
      </c>
      <c r="K75" s="6">
        <v>37</v>
      </c>
    </row>
    <row r="76" spans="1:11" x14ac:dyDescent="0.3">
      <c r="A76" s="6" t="s">
        <v>85</v>
      </c>
      <c r="B76" s="6" t="s">
        <v>1381</v>
      </c>
      <c r="C76" s="7">
        <v>28670</v>
      </c>
      <c r="D76" s="8">
        <v>33723</v>
      </c>
      <c r="E76" s="6" t="s">
        <v>2601</v>
      </c>
      <c r="F76" s="6">
        <v>131471</v>
      </c>
      <c r="G76" s="6" t="s">
        <v>2615</v>
      </c>
      <c r="H76" s="6" t="s">
        <v>2616</v>
      </c>
      <c r="I76" s="6" t="s">
        <v>2685</v>
      </c>
      <c r="J76" s="6" t="s">
        <v>3308</v>
      </c>
      <c r="K76" s="6">
        <v>33</v>
      </c>
    </row>
    <row r="77" spans="1:11" x14ac:dyDescent="0.3">
      <c r="A77" s="6" t="s">
        <v>86</v>
      </c>
      <c r="B77" s="6" t="s">
        <v>1382</v>
      </c>
      <c r="C77" s="7">
        <v>30121</v>
      </c>
      <c r="D77" s="8">
        <v>44747</v>
      </c>
      <c r="E77" s="6" t="s">
        <v>2602</v>
      </c>
      <c r="F77" s="6">
        <v>168741</v>
      </c>
      <c r="G77" s="6" t="s">
        <v>2607</v>
      </c>
      <c r="H77" s="6" t="s">
        <v>2617</v>
      </c>
      <c r="I77" s="6" t="s">
        <v>2686</v>
      </c>
      <c r="J77" s="6" t="s">
        <v>3306</v>
      </c>
      <c r="K77" s="6">
        <v>3</v>
      </c>
    </row>
    <row r="78" spans="1:11" x14ac:dyDescent="0.3">
      <c r="A78" s="6" t="s">
        <v>87</v>
      </c>
      <c r="B78" s="6" t="s">
        <v>1383</v>
      </c>
      <c r="C78" s="7">
        <v>21999</v>
      </c>
      <c r="D78" s="8">
        <v>41368</v>
      </c>
      <c r="E78" s="6" t="s">
        <v>2603</v>
      </c>
      <c r="F78" s="6">
        <v>147618</v>
      </c>
      <c r="G78" s="6" t="s">
        <v>2608</v>
      </c>
      <c r="H78" s="6" t="s">
        <v>2617</v>
      </c>
      <c r="I78" s="6" t="s">
        <v>2687</v>
      </c>
      <c r="J78" s="6" t="s">
        <v>3304</v>
      </c>
      <c r="K78" s="6">
        <v>12</v>
      </c>
    </row>
    <row r="79" spans="1:11" x14ac:dyDescent="0.3">
      <c r="A79" s="6" t="s">
        <v>88</v>
      </c>
      <c r="B79" s="6" t="s">
        <v>1384</v>
      </c>
      <c r="C79" s="7">
        <v>37479</v>
      </c>
      <c r="D79" s="8">
        <v>27958</v>
      </c>
      <c r="E79" s="6" t="s">
        <v>2604</v>
      </c>
      <c r="F79" s="6">
        <v>78345</v>
      </c>
      <c r="G79" s="6" t="s">
        <v>2607</v>
      </c>
      <c r="H79" s="6" t="s">
        <v>2617</v>
      </c>
      <c r="I79" s="6" t="s">
        <v>2688</v>
      </c>
      <c r="J79" s="6" t="s">
        <v>3304</v>
      </c>
      <c r="K79" s="6">
        <v>49</v>
      </c>
    </row>
    <row r="80" spans="1:11" x14ac:dyDescent="0.3">
      <c r="A80" s="6" t="s">
        <v>89</v>
      </c>
      <c r="B80" s="6" t="s">
        <v>1385</v>
      </c>
      <c r="C80" s="7">
        <v>36835</v>
      </c>
      <c r="D80" s="8">
        <v>34830</v>
      </c>
      <c r="E80" s="6" t="s">
        <v>2599</v>
      </c>
      <c r="F80" s="6">
        <v>89820</v>
      </c>
      <c r="G80" s="6" t="s">
        <v>2614</v>
      </c>
      <c r="H80" s="6" t="s">
        <v>2616</v>
      </c>
      <c r="I80" s="6" t="s">
        <v>2689</v>
      </c>
      <c r="J80" s="6" t="s">
        <v>3308</v>
      </c>
      <c r="K80" s="6">
        <v>30</v>
      </c>
    </row>
    <row r="81" spans="1:11" x14ac:dyDescent="0.3">
      <c r="A81" s="6" t="s">
        <v>90</v>
      </c>
      <c r="B81" s="6" t="s">
        <v>1386</v>
      </c>
      <c r="C81" s="7">
        <v>26429</v>
      </c>
      <c r="D81" s="8">
        <v>37514</v>
      </c>
      <c r="E81" s="6" t="s">
        <v>2600</v>
      </c>
      <c r="F81" s="6">
        <v>65839</v>
      </c>
      <c r="G81" s="6" t="s">
        <v>2615</v>
      </c>
      <c r="H81" s="6" t="s">
        <v>2617</v>
      </c>
      <c r="I81" s="6" t="s">
        <v>2690</v>
      </c>
      <c r="J81" s="6" t="s">
        <v>3305</v>
      </c>
      <c r="K81" s="6">
        <v>23</v>
      </c>
    </row>
    <row r="82" spans="1:11" x14ac:dyDescent="0.3">
      <c r="A82" s="6" t="s">
        <v>91</v>
      </c>
      <c r="B82" s="6" t="s">
        <v>1387</v>
      </c>
      <c r="C82" s="7">
        <v>30297</v>
      </c>
      <c r="D82" s="8">
        <v>35280</v>
      </c>
      <c r="E82" s="6" t="s">
        <v>2605</v>
      </c>
      <c r="F82" s="6">
        <v>111018</v>
      </c>
      <c r="G82" s="6" t="s">
        <v>2611</v>
      </c>
      <c r="H82" s="6" t="s">
        <v>2617</v>
      </c>
      <c r="I82" s="6" t="s">
        <v>2691</v>
      </c>
      <c r="J82" s="6" t="s">
        <v>3309</v>
      </c>
      <c r="K82" s="6">
        <v>29</v>
      </c>
    </row>
    <row r="83" spans="1:11" x14ac:dyDescent="0.3">
      <c r="A83" s="6" t="s">
        <v>92</v>
      </c>
      <c r="B83" s="6" t="s">
        <v>1388</v>
      </c>
      <c r="C83" s="7">
        <v>31518</v>
      </c>
      <c r="D83" s="8">
        <v>28592</v>
      </c>
      <c r="E83" s="6" t="s">
        <v>2600</v>
      </c>
      <c r="F83" s="6">
        <v>192271</v>
      </c>
      <c r="G83" s="6" t="s">
        <v>2610</v>
      </c>
      <c r="H83" s="6" t="s">
        <v>2617</v>
      </c>
      <c r="I83" s="6" t="s">
        <v>2692</v>
      </c>
      <c r="J83" s="6" t="s">
        <v>3308</v>
      </c>
      <c r="K83" s="6">
        <v>47</v>
      </c>
    </row>
    <row r="84" spans="1:11" x14ac:dyDescent="0.3">
      <c r="A84" s="6" t="s">
        <v>93</v>
      </c>
      <c r="B84" s="6" t="s">
        <v>1389</v>
      </c>
      <c r="C84" s="7">
        <v>25892</v>
      </c>
      <c r="D84" s="8">
        <v>40278</v>
      </c>
      <c r="E84" s="6" t="s">
        <v>2599</v>
      </c>
      <c r="F84" s="6">
        <v>124152</v>
      </c>
      <c r="G84" s="6" t="s">
        <v>2610</v>
      </c>
      <c r="H84" s="6" t="s">
        <v>2616</v>
      </c>
      <c r="I84" s="6" t="s">
        <v>2693</v>
      </c>
      <c r="J84" s="6" t="s">
        <v>3306</v>
      </c>
      <c r="K84" s="6">
        <v>15</v>
      </c>
    </row>
    <row r="85" spans="1:11" x14ac:dyDescent="0.3">
      <c r="A85" s="6" t="s">
        <v>94</v>
      </c>
      <c r="B85" s="6" t="s">
        <v>1390</v>
      </c>
      <c r="C85" s="7">
        <v>33313</v>
      </c>
      <c r="D85" s="8">
        <v>31360</v>
      </c>
      <c r="E85" s="6" t="s">
        <v>2599</v>
      </c>
      <c r="F85" s="6">
        <v>140596</v>
      </c>
      <c r="G85" s="6" t="s">
        <v>2609</v>
      </c>
      <c r="H85" s="6" t="s">
        <v>2616</v>
      </c>
      <c r="I85" s="6" t="s">
        <v>2694</v>
      </c>
      <c r="J85" s="6" t="s">
        <v>3307</v>
      </c>
      <c r="K85" s="6">
        <v>40</v>
      </c>
    </row>
    <row r="86" spans="1:11" x14ac:dyDescent="0.3">
      <c r="A86" s="6" t="s">
        <v>95</v>
      </c>
      <c r="B86" s="6" t="s">
        <v>1391</v>
      </c>
      <c r="C86" s="7">
        <v>36071</v>
      </c>
      <c r="D86" s="8">
        <v>33986</v>
      </c>
      <c r="E86" s="6" t="s">
        <v>2599</v>
      </c>
      <c r="F86" s="6">
        <v>75555</v>
      </c>
      <c r="G86" s="6" t="s">
        <v>2608</v>
      </c>
      <c r="H86" s="6" t="s">
        <v>2616</v>
      </c>
      <c r="I86" s="6" t="s">
        <v>2695</v>
      </c>
      <c r="J86" s="6" t="s">
        <v>3305</v>
      </c>
      <c r="K86" s="6">
        <v>32</v>
      </c>
    </row>
    <row r="87" spans="1:11" x14ac:dyDescent="0.3">
      <c r="A87" s="6" t="s">
        <v>96</v>
      </c>
      <c r="B87" s="6" t="s">
        <v>1392</v>
      </c>
      <c r="C87" s="7">
        <v>26469</v>
      </c>
      <c r="D87" s="8">
        <v>42044</v>
      </c>
      <c r="E87" s="6" t="s">
        <v>2601</v>
      </c>
      <c r="F87" s="6">
        <v>197609</v>
      </c>
      <c r="G87" s="6" t="s">
        <v>2614</v>
      </c>
      <c r="H87" s="6" t="s">
        <v>2617</v>
      </c>
      <c r="I87" s="6" t="s">
        <v>2696</v>
      </c>
      <c r="J87" s="6" t="s">
        <v>3310</v>
      </c>
      <c r="K87" s="6">
        <v>10</v>
      </c>
    </row>
    <row r="88" spans="1:11" x14ac:dyDescent="0.3">
      <c r="A88" s="6" t="s">
        <v>97</v>
      </c>
      <c r="B88" s="6" t="s">
        <v>1393</v>
      </c>
      <c r="C88" s="7">
        <v>35426</v>
      </c>
      <c r="D88" s="8">
        <v>28869</v>
      </c>
      <c r="E88" s="6" t="s">
        <v>2600</v>
      </c>
      <c r="F88" s="6">
        <v>67840</v>
      </c>
      <c r="G88" s="6" t="s">
        <v>2606</v>
      </c>
      <c r="H88" s="6" t="s">
        <v>2616</v>
      </c>
      <c r="I88" s="6" t="s">
        <v>2697</v>
      </c>
      <c r="J88" s="6" t="s">
        <v>3308</v>
      </c>
      <c r="K88" s="6">
        <v>46</v>
      </c>
    </row>
    <row r="89" spans="1:11" x14ac:dyDescent="0.3">
      <c r="A89" s="6" t="s">
        <v>98</v>
      </c>
      <c r="B89" s="6" t="s">
        <v>1394</v>
      </c>
      <c r="C89" s="7">
        <v>34841</v>
      </c>
      <c r="D89" s="8">
        <v>26899</v>
      </c>
      <c r="E89" s="6" t="s">
        <v>2603</v>
      </c>
      <c r="F89" s="6">
        <v>139965</v>
      </c>
      <c r="G89" s="6" t="s">
        <v>2610</v>
      </c>
      <c r="H89" s="6" t="s">
        <v>2616</v>
      </c>
      <c r="I89" s="6" t="s">
        <v>2698</v>
      </c>
      <c r="J89" s="6" t="s">
        <v>3304</v>
      </c>
      <c r="K89" s="6">
        <v>52</v>
      </c>
    </row>
    <row r="90" spans="1:11" x14ac:dyDescent="0.3">
      <c r="A90" s="6" t="s">
        <v>99</v>
      </c>
      <c r="B90" s="6" t="s">
        <v>1395</v>
      </c>
      <c r="C90" s="7">
        <v>22063</v>
      </c>
      <c r="D90" s="8">
        <v>39912</v>
      </c>
      <c r="E90" s="6" t="s">
        <v>2604</v>
      </c>
      <c r="F90" s="6">
        <v>63405</v>
      </c>
      <c r="G90" s="6" t="s">
        <v>2611</v>
      </c>
      <c r="H90" s="6" t="s">
        <v>2617</v>
      </c>
      <c r="I90" s="6" t="s">
        <v>2699</v>
      </c>
      <c r="J90" s="6" t="s">
        <v>3309</v>
      </c>
      <c r="K90" s="6">
        <v>16</v>
      </c>
    </row>
    <row r="91" spans="1:11" x14ac:dyDescent="0.3">
      <c r="A91" s="6" t="s">
        <v>100</v>
      </c>
      <c r="B91" s="6" t="s">
        <v>1396</v>
      </c>
      <c r="C91" s="7">
        <v>36876</v>
      </c>
      <c r="D91" s="8">
        <v>36863</v>
      </c>
      <c r="E91" s="6" t="s">
        <v>2605</v>
      </c>
      <c r="F91" s="6">
        <v>27330</v>
      </c>
      <c r="G91" s="6" t="s">
        <v>2614</v>
      </c>
      <c r="H91" s="6" t="s">
        <v>2616</v>
      </c>
      <c r="I91" s="6" t="s">
        <v>2700</v>
      </c>
      <c r="J91" s="6" t="s">
        <v>3308</v>
      </c>
      <c r="K91" s="6">
        <v>25</v>
      </c>
    </row>
    <row r="92" spans="1:11" x14ac:dyDescent="0.3">
      <c r="A92" s="6" t="s">
        <v>101</v>
      </c>
      <c r="B92" s="6" t="s">
        <v>1397</v>
      </c>
      <c r="C92" s="7">
        <v>30306</v>
      </c>
      <c r="D92" s="8">
        <v>25659</v>
      </c>
      <c r="E92" s="6" t="s">
        <v>2602</v>
      </c>
      <c r="F92" s="6">
        <v>39355</v>
      </c>
      <c r="G92" s="6" t="s">
        <v>2615</v>
      </c>
      <c r="H92" s="6" t="s">
        <v>2617</v>
      </c>
      <c r="I92" s="6" t="s">
        <v>2701</v>
      </c>
      <c r="J92" s="6" t="s">
        <v>3306</v>
      </c>
      <c r="K92" s="6">
        <v>55</v>
      </c>
    </row>
    <row r="93" spans="1:11" x14ac:dyDescent="0.3">
      <c r="A93" s="6" t="s">
        <v>102</v>
      </c>
      <c r="B93" s="6" t="s">
        <v>1398</v>
      </c>
      <c r="C93" s="7">
        <v>29612</v>
      </c>
      <c r="D93" s="8">
        <v>26017</v>
      </c>
      <c r="E93" s="6" t="s">
        <v>2599</v>
      </c>
      <c r="F93" s="6">
        <v>171372</v>
      </c>
      <c r="G93" s="6" t="s">
        <v>2608</v>
      </c>
      <c r="H93" s="6" t="s">
        <v>2616</v>
      </c>
      <c r="I93" s="6" t="s">
        <v>2702</v>
      </c>
      <c r="J93" s="6" t="s">
        <v>3310</v>
      </c>
      <c r="K93" s="6">
        <v>54</v>
      </c>
    </row>
    <row r="94" spans="1:11" x14ac:dyDescent="0.3">
      <c r="A94" s="6" t="s">
        <v>103</v>
      </c>
      <c r="B94" s="6" t="s">
        <v>1399</v>
      </c>
      <c r="C94" s="7">
        <v>29940</v>
      </c>
      <c r="D94" s="8">
        <v>36676</v>
      </c>
      <c r="E94" s="6" t="s">
        <v>2599</v>
      </c>
      <c r="F94" s="6">
        <v>42944</v>
      </c>
      <c r="G94" s="6" t="s">
        <v>2610</v>
      </c>
      <c r="H94" s="6" t="s">
        <v>2616</v>
      </c>
      <c r="I94" s="6" t="s">
        <v>2703</v>
      </c>
      <c r="J94" s="6" t="s">
        <v>3310</v>
      </c>
      <c r="K94" s="6">
        <v>25</v>
      </c>
    </row>
    <row r="95" spans="1:11" x14ac:dyDescent="0.3">
      <c r="A95" s="6" t="s">
        <v>104</v>
      </c>
      <c r="B95" s="6" t="s">
        <v>1400</v>
      </c>
      <c r="C95" s="7">
        <v>28760</v>
      </c>
      <c r="D95" s="8">
        <v>26704</v>
      </c>
      <c r="E95" s="6" t="s">
        <v>2601</v>
      </c>
      <c r="F95" s="6">
        <v>149378</v>
      </c>
      <c r="G95" s="6" t="s">
        <v>2606</v>
      </c>
      <c r="H95" s="6" t="s">
        <v>2616</v>
      </c>
      <c r="I95" s="6" t="s">
        <v>2670</v>
      </c>
      <c r="J95" s="6" t="s">
        <v>3306</v>
      </c>
      <c r="K95" s="6">
        <v>52</v>
      </c>
    </row>
    <row r="96" spans="1:11" x14ac:dyDescent="0.3">
      <c r="A96" s="6" t="s">
        <v>105</v>
      </c>
      <c r="B96" s="6" t="s">
        <v>1401</v>
      </c>
      <c r="C96" s="7">
        <v>30424</v>
      </c>
      <c r="D96" s="8">
        <v>37922</v>
      </c>
      <c r="E96" s="6" t="s">
        <v>2601</v>
      </c>
      <c r="F96" s="6">
        <v>25054</v>
      </c>
      <c r="G96" s="6" t="s">
        <v>2607</v>
      </c>
      <c r="H96" s="6" t="s">
        <v>2616</v>
      </c>
      <c r="I96" s="6" t="s">
        <v>2704</v>
      </c>
      <c r="J96" s="6" t="s">
        <v>3305</v>
      </c>
      <c r="K96" s="6">
        <v>22</v>
      </c>
    </row>
    <row r="97" spans="1:11" x14ac:dyDescent="0.3">
      <c r="A97" s="6" t="s">
        <v>106</v>
      </c>
      <c r="B97" s="6" t="s">
        <v>1402</v>
      </c>
      <c r="C97" s="7">
        <v>29564</v>
      </c>
      <c r="D97" s="8">
        <v>41700</v>
      </c>
      <c r="E97" s="6" t="s">
        <v>2600</v>
      </c>
      <c r="F97" s="6">
        <v>193403</v>
      </c>
      <c r="G97" s="6" t="s">
        <v>2608</v>
      </c>
      <c r="H97" s="6" t="s">
        <v>2616</v>
      </c>
      <c r="I97" s="6" t="s">
        <v>2705</v>
      </c>
      <c r="J97" s="6" t="s">
        <v>3307</v>
      </c>
      <c r="K97" s="6">
        <v>11</v>
      </c>
    </row>
    <row r="98" spans="1:11" x14ac:dyDescent="0.3">
      <c r="A98" s="6" t="s">
        <v>107</v>
      </c>
      <c r="B98" s="6" t="s">
        <v>1403</v>
      </c>
      <c r="C98" s="7">
        <v>32404</v>
      </c>
      <c r="D98" s="8">
        <v>41564</v>
      </c>
      <c r="E98" s="6" t="s">
        <v>2601</v>
      </c>
      <c r="F98" s="6">
        <v>40071</v>
      </c>
      <c r="G98" s="6" t="s">
        <v>2611</v>
      </c>
      <c r="H98" s="6" t="s">
        <v>2617</v>
      </c>
      <c r="I98" s="6" t="s">
        <v>2706</v>
      </c>
      <c r="J98" s="6" t="s">
        <v>3307</v>
      </c>
      <c r="K98" s="6">
        <v>12</v>
      </c>
    </row>
    <row r="99" spans="1:11" x14ac:dyDescent="0.3">
      <c r="A99" s="6" t="s">
        <v>108</v>
      </c>
      <c r="B99" s="6" t="s">
        <v>1404</v>
      </c>
      <c r="C99" s="7">
        <v>34516</v>
      </c>
      <c r="D99" s="8">
        <v>41488</v>
      </c>
      <c r="E99" s="6" t="s">
        <v>2604</v>
      </c>
      <c r="F99" s="6">
        <v>91540</v>
      </c>
      <c r="G99" s="6" t="s">
        <v>2614</v>
      </c>
      <c r="H99" s="6" t="s">
        <v>2616</v>
      </c>
      <c r="I99" s="6" t="s">
        <v>2707</v>
      </c>
      <c r="J99" s="6" t="s">
        <v>3307</v>
      </c>
      <c r="K99" s="6">
        <v>12</v>
      </c>
    </row>
    <row r="100" spans="1:11" x14ac:dyDescent="0.3">
      <c r="A100" s="6" t="s">
        <v>109</v>
      </c>
      <c r="B100" s="6" t="s">
        <v>1405</v>
      </c>
      <c r="C100" s="7">
        <v>35943</v>
      </c>
      <c r="D100" s="8">
        <v>31506</v>
      </c>
      <c r="E100" s="6" t="s">
        <v>2603</v>
      </c>
      <c r="F100" s="6">
        <v>137831</v>
      </c>
      <c r="G100" s="6" t="s">
        <v>2615</v>
      </c>
      <c r="H100" s="6" t="s">
        <v>2616</v>
      </c>
      <c r="I100" s="6" t="s">
        <v>2708</v>
      </c>
      <c r="J100" s="6" t="s">
        <v>3304</v>
      </c>
      <c r="K100" s="6">
        <v>39</v>
      </c>
    </row>
    <row r="101" spans="1:11" x14ac:dyDescent="0.3">
      <c r="A101" s="6" t="s">
        <v>110</v>
      </c>
      <c r="B101" s="6" t="s">
        <v>1406</v>
      </c>
      <c r="C101" s="7">
        <v>23869</v>
      </c>
      <c r="D101" s="8">
        <v>34508</v>
      </c>
      <c r="E101" s="6" t="s">
        <v>2604</v>
      </c>
      <c r="F101" s="6">
        <v>78402</v>
      </c>
      <c r="G101" s="6" t="s">
        <v>2615</v>
      </c>
      <c r="H101" s="6" t="s">
        <v>2617</v>
      </c>
      <c r="I101" s="6" t="s">
        <v>2709</v>
      </c>
      <c r="J101" s="6" t="s">
        <v>3309</v>
      </c>
      <c r="K101" s="6">
        <v>31</v>
      </c>
    </row>
    <row r="102" spans="1:11" x14ac:dyDescent="0.3">
      <c r="A102" s="6" t="s">
        <v>111</v>
      </c>
      <c r="B102" s="6" t="s">
        <v>1407</v>
      </c>
      <c r="C102" s="7">
        <v>35464</v>
      </c>
      <c r="D102" s="8">
        <v>28641</v>
      </c>
      <c r="E102" s="6" t="s">
        <v>2605</v>
      </c>
      <c r="F102" s="6">
        <v>190879</v>
      </c>
      <c r="G102" s="6" t="s">
        <v>2607</v>
      </c>
      <c r="H102" s="6" t="s">
        <v>2616</v>
      </c>
      <c r="I102" s="6" t="s">
        <v>2710</v>
      </c>
      <c r="J102" s="6" t="s">
        <v>3308</v>
      </c>
      <c r="K102" s="6">
        <v>47</v>
      </c>
    </row>
    <row r="103" spans="1:11" x14ac:dyDescent="0.3">
      <c r="A103" s="6" t="s">
        <v>112</v>
      </c>
      <c r="B103" s="6" t="s">
        <v>1408</v>
      </c>
      <c r="C103" s="7">
        <v>22493</v>
      </c>
      <c r="D103" s="8">
        <v>37166</v>
      </c>
      <c r="E103" s="6" t="s">
        <v>2600</v>
      </c>
      <c r="F103" s="6">
        <v>121963</v>
      </c>
      <c r="G103" s="6" t="s">
        <v>2615</v>
      </c>
      <c r="H103" s="6" t="s">
        <v>2617</v>
      </c>
      <c r="I103" s="6" t="s">
        <v>2711</v>
      </c>
      <c r="J103" s="6" t="s">
        <v>3306</v>
      </c>
      <c r="K103" s="6">
        <v>24</v>
      </c>
    </row>
    <row r="104" spans="1:11" x14ac:dyDescent="0.3">
      <c r="A104" s="6" t="s">
        <v>113</v>
      </c>
      <c r="B104" s="6" t="s">
        <v>1409</v>
      </c>
      <c r="C104" s="7">
        <v>22133</v>
      </c>
      <c r="D104" s="8">
        <v>35535</v>
      </c>
      <c r="E104" s="6" t="s">
        <v>2602</v>
      </c>
      <c r="F104" s="6">
        <v>126914</v>
      </c>
      <c r="G104" s="6" t="s">
        <v>2611</v>
      </c>
      <c r="H104" s="6" t="s">
        <v>2617</v>
      </c>
      <c r="I104" s="6" t="s">
        <v>2637</v>
      </c>
      <c r="J104" s="6" t="s">
        <v>3305</v>
      </c>
      <c r="K104" s="6">
        <v>28</v>
      </c>
    </row>
    <row r="105" spans="1:11" x14ac:dyDescent="0.3">
      <c r="A105" s="6" t="s">
        <v>114</v>
      </c>
      <c r="B105" s="6" t="s">
        <v>1410</v>
      </c>
      <c r="C105" s="7">
        <v>21560</v>
      </c>
      <c r="D105" s="8">
        <v>33934</v>
      </c>
      <c r="E105" s="6" t="s">
        <v>2605</v>
      </c>
      <c r="F105" s="6">
        <v>128889</v>
      </c>
      <c r="G105" s="6" t="s">
        <v>2606</v>
      </c>
      <c r="H105" s="6" t="s">
        <v>2617</v>
      </c>
      <c r="I105" s="6" t="s">
        <v>2712</v>
      </c>
      <c r="J105" s="6" t="s">
        <v>3310</v>
      </c>
      <c r="K105" s="6">
        <v>33</v>
      </c>
    </row>
    <row r="106" spans="1:11" x14ac:dyDescent="0.3">
      <c r="A106" s="6" t="s">
        <v>115</v>
      </c>
      <c r="B106" s="6" t="s">
        <v>1411</v>
      </c>
      <c r="C106" s="7">
        <v>26720</v>
      </c>
      <c r="D106" s="8">
        <v>35110</v>
      </c>
      <c r="E106" s="6" t="s">
        <v>2602</v>
      </c>
      <c r="F106" s="6">
        <v>125971</v>
      </c>
      <c r="G106" s="6" t="s">
        <v>2615</v>
      </c>
      <c r="H106" s="6" t="s">
        <v>2616</v>
      </c>
      <c r="I106" s="6" t="s">
        <v>2713</v>
      </c>
      <c r="J106" s="6" t="s">
        <v>3304</v>
      </c>
      <c r="K106" s="6">
        <v>29</v>
      </c>
    </row>
    <row r="107" spans="1:11" x14ac:dyDescent="0.3">
      <c r="A107" s="6" t="s">
        <v>116</v>
      </c>
      <c r="B107" s="6" t="s">
        <v>1412</v>
      </c>
      <c r="C107" s="7">
        <v>36868</v>
      </c>
      <c r="D107" s="8">
        <v>44083</v>
      </c>
      <c r="E107" s="6" t="s">
        <v>2603</v>
      </c>
      <c r="F107" s="6">
        <v>181690</v>
      </c>
      <c r="G107" s="6" t="s">
        <v>2615</v>
      </c>
      <c r="H107" s="6" t="s">
        <v>2617</v>
      </c>
      <c r="I107" s="6" t="s">
        <v>2714</v>
      </c>
      <c r="J107" s="6" t="s">
        <v>3308</v>
      </c>
      <c r="K107" s="6">
        <v>5</v>
      </c>
    </row>
    <row r="108" spans="1:11" x14ac:dyDescent="0.3">
      <c r="A108" s="6" t="s">
        <v>117</v>
      </c>
      <c r="B108" s="6" t="s">
        <v>1413</v>
      </c>
      <c r="C108" s="7">
        <v>35544</v>
      </c>
      <c r="D108" s="8">
        <v>37569</v>
      </c>
      <c r="E108" s="6" t="s">
        <v>2605</v>
      </c>
      <c r="F108" s="6">
        <v>152678</v>
      </c>
      <c r="G108" s="6" t="s">
        <v>2615</v>
      </c>
      <c r="H108" s="6" t="s">
        <v>2616</v>
      </c>
      <c r="I108" s="6" t="s">
        <v>2715</v>
      </c>
      <c r="J108" s="6" t="s">
        <v>3305</v>
      </c>
      <c r="K108" s="6">
        <v>23</v>
      </c>
    </row>
    <row r="109" spans="1:11" x14ac:dyDescent="0.3">
      <c r="A109" s="6" t="s">
        <v>118</v>
      </c>
      <c r="B109" s="6" t="s">
        <v>1414</v>
      </c>
      <c r="C109" s="7">
        <v>28474</v>
      </c>
      <c r="D109" s="8">
        <v>30877</v>
      </c>
      <c r="E109" s="6" t="s">
        <v>2602</v>
      </c>
      <c r="F109" s="6">
        <v>97361</v>
      </c>
      <c r="G109" s="6" t="s">
        <v>2610</v>
      </c>
      <c r="H109" s="6" t="s">
        <v>2617</v>
      </c>
      <c r="I109" s="6" t="s">
        <v>2716</v>
      </c>
      <c r="J109" s="6" t="s">
        <v>3305</v>
      </c>
      <c r="K109" s="6">
        <v>41</v>
      </c>
    </row>
    <row r="110" spans="1:11" x14ac:dyDescent="0.3">
      <c r="A110" s="6" t="s">
        <v>119</v>
      </c>
      <c r="B110" s="6" t="s">
        <v>1415</v>
      </c>
      <c r="C110" s="7">
        <v>30409</v>
      </c>
      <c r="D110" s="8">
        <v>35949</v>
      </c>
      <c r="E110" s="6" t="s">
        <v>2600</v>
      </c>
      <c r="F110" s="6">
        <v>73776</v>
      </c>
      <c r="G110" s="6" t="s">
        <v>2610</v>
      </c>
      <c r="H110" s="6" t="s">
        <v>2616</v>
      </c>
      <c r="I110" s="6" t="s">
        <v>2717</v>
      </c>
      <c r="J110" s="6" t="s">
        <v>3306</v>
      </c>
      <c r="K110" s="6">
        <v>27</v>
      </c>
    </row>
    <row r="111" spans="1:11" x14ac:dyDescent="0.3">
      <c r="A111" s="6" t="s">
        <v>120</v>
      </c>
      <c r="B111" s="6" t="s">
        <v>1416</v>
      </c>
      <c r="C111" s="7">
        <v>30267</v>
      </c>
      <c r="D111" s="8">
        <v>36994</v>
      </c>
      <c r="E111" s="6" t="s">
        <v>2604</v>
      </c>
      <c r="F111" s="6">
        <v>114532</v>
      </c>
      <c r="G111" s="6" t="s">
        <v>2607</v>
      </c>
      <c r="H111" s="6" t="s">
        <v>2616</v>
      </c>
      <c r="I111" s="6" t="s">
        <v>2718</v>
      </c>
      <c r="J111" s="6" t="s">
        <v>3309</v>
      </c>
      <c r="K111" s="6">
        <v>24</v>
      </c>
    </row>
    <row r="112" spans="1:11" x14ac:dyDescent="0.3">
      <c r="A112" s="6" t="s">
        <v>121</v>
      </c>
      <c r="B112" s="6" t="s">
        <v>1417</v>
      </c>
      <c r="C112" s="7">
        <v>23889</v>
      </c>
      <c r="D112" s="8">
        <v>34296</v>
      </c>
      <c r="E112" s="6" t="s">
        <v>2605</v>
      </c>
      <c r="F112" s="6">
        <v>72048</v>
      </c>
      <c r="G112" s="6" t="s">
        <v>2610</v>
      </c>
      <c r="H112" s="6" t="s">
        <v>2616</v>
      </c>
      <c r="I112" s="6" t="s">
        <v>2719</v>
      </c>
      <c r="J112" s="6" t="s">
        <v>3309</v>
      </c>
      <c r="K112" s="6">
        <v>32</v>
      </c>
    </row>
    <row r="113" spans="1:11" x14ac:dyDescent="0.3">
      <c r="A113" s="6" t="s">
        <v>122</v>
      </c>
      <c r="B113" s="6" t="s">
        <v>1418</v>
      </c>
      <c r="C113" s="7">
        <v>31922</v>
      </c>
      <c r="D113" s="8">
        <v>29349</v>
      </c>
      <c r="E113" s="6" t="s">
        <v>2603</v>
      </c>
      <c r="F113" s="6">
        <v>59198</v>
      </c>
      <c r="G113" s="6" t="s">
        <v>2607</v>
      </c>
      <c r="H113" s="6" t="s">
        <v>2616</v>
      </c>
      <c r="I113" s="6" t="s">
        <v>2641</v>
      </c>
      <c r="J113" s="6" t="s">
        <v>3305</v>
      </c>
      <c r="K113" s="6">
        <v>45</v>
      </c>
    </row>
    <row r="114" spans="1:11" x14ac:dyDescent="0.3">
      <c r="A114" s="6" t="s">
        <v>123</v>
      </c>
      <c r="B114" s="6" t="s">
        <v>1419</v>
      </c>
      <c r="C114" s="7">
        <v>37595</v>
      </c>
      <c r="D114" s="8">
        <v>36022</v>
      </c>
      <c r="E114" s="6" t="s">
        <v>2600</v>
      </c>
      <c r="F114" s="6">
        <v>81849</v>
      </c>
      <c r="G114" s="6" t="s">
        <v>2614</v>
      </c>
      <c r="H114" s="6" t="s">
        <v>2616</v>
      </c>
      <c r="I114" s="6" t="s">
        <v>2720</v>
      </c>
      <c r="J114" s="6" t="s">
        <v>3310</v>
      </c>
      <c r="K114" s="6">
        <v>27</v>
      </c>
    </row>
    <row r="115" spans="1:11" x14ac:dyDescent="0.3">
      <c r="A115" s="6" t="s">
        <v>124</v>
      </c>
      <c r="B115" s="6" t="s">
        <v>1420</v>
      </c>
      <c r="C115" s="7">
        <v>22097</v>
      </c>
      <c r="D115" s="8">
        <v>26334</v>
      </c>
      <c r="E115" s="6" t="s">
        <v>2602</v>
      </c>
      <c r="F115" s="6">
        <v>113427</v>
      </c>
      <c r="G115" s="6" t="s">
        <v>2613</v>
      </c>
      <c r="H115" s="6" t="s">
        <v>2617</v>
      </c>
      <c r="I115" s="6" t="s">
        <v>2721</v>
      </c>
      <c r="J115" s="6" t="s">
        <v>3306</v>
      </c>
      <c r="K115" s="6">
        <v>53</v>
      </c>
    </row>
    <row r="116" spans="1:11" x14ac:dyDescent="0.3">
      <c r="A116" s="6" t="s">
        <v>125</v>
      </c>
      <c r="B116" s="6" t="s">
        <v>1421</v>
      </c>
      <c r="C116" s="7">
        <v>37253</v>
      </c>
      <c r="D116" s="8">
        <v>29934</v>
      </c>
      <c r="E116" s="6" t="s">
        <v>2603</v>
      </c>
      <c r="F116" s="6">
        <v>87854</v>
      </c>
      <c r="G116" s="6" t="s">
        <v>2606</v>
      </c>
      <c r="H116" s="6" t="s">
        <v>2616</v>
      </c>
      <c r="I116" s="6" t="s">
        <v>2631</v>
      </c>
      <c r="J116" s="6" t="s">
        <v>3308</v>
      </c>
      <c r="K116" s="6">
        <v>44</v>
      </c>
    </row>
    <row r="117" spans="1:11" x14ac:dyDescent="0.3">
      <c r="A117" s="6" t="s">
        <v>126</v>
      </c>
      <c r="B117" s="6" t="s">
        <v>1422</v>
      </c>
      <c r="C117" s="7">
        <v>33310</v>
      </c>
      <c r="D117" s="8">
        <v>44786</v>
      </c>
      <c r="E117" s="6" t="s">
        <v>2600</v>
      </c>
      <c r="F117" s="6">
        <v>167925</v>
      </c>
      <c r="G117" s="6" t="s">
        <v>2612</v>
      </c>
      <c r="H117" s="6" t="s">
        <v>2616</v>
      </c>
      <c r="I117" s="6" t="s">
        <v>2722</v>
      </c>
      <c r="J117" s="6" t="s">
        <v>3304</v>
      </c>
      <c r="K117" s="6">
        <v>3</v>
      </c>
    </row>
    <row r="118" spans="1:11" x14ac:dyDescent="0.3">
      <c r="A118" s="6" t="s">
        <v>127</v>
      </c>
      <c r="B118" s="6" t="s">
        <v>1423</v>
      </c>
      <c r="C118" s="7">
        <v>36631</v>
      </c>
      <c r="D118" s="8">
        <v>32023</v>
      </c>
      <c r="E118" s="6" t="s">
        <v>2602</v>
      </c>
      <c r="F118" s="6">
        <v>45491</v>
      </c>
      <c r="G118" s="6" t="s">
        <v>2613</v>
      </c>
      <c r="H118" s="6" t="s">
        <v>2616</v>
      </c>
      <c r="I118" s="6" t="s">
        <v>2673</v>
      </c>
      <c r="J118" s="6" t="s">
        <v>3307</v>
      </c>
      <c r="K118" s="6">
        <v>38</v>
      </c>
    </row>
    <row r="119" spans="1:11" x14ac:dyDescent="0.3">
      <c r="A119" s="6" t="s">
        <v>128</v>
      </c>
      <c r="B119" s="6" t="s">
        <v>1424</v>
      </c>
      <c r="C119" s="7">
        <v>22179</v>
      </c>
      <c r="D119" s="8">
        <v>36657</v>
      </c>
      <c r="E119" s="6" t="s">
        <v>2599</v>
      </c>
      <c r="F119" s="6">
        <v>25003</v>
      </c>
      <c r="G119" s="6" t="s">
        <v>2608</v>
      </c>
      <c r="H119" s="6" t="s">
        <v>2617</v>
      </c>
      <c r="I119" s="6" t="s">
        <v>2723</v>
      </c>
      <c r="J119" s="6" t="s">
        <v>3308</v>
      </c>
      <c r="K119" s="6">
        <v>25</v>
      </c>
    </row>
    <row r="120" spans="1:11" x14ac:dyDescent="0.3">
      <c r="A120" s="6" t="s">
        <v>129</v>
      </c>
      <c r="B120" s="6" t="s">
        <v>1425</v>
      </c>
      <c r="C120" s="7">
        <v>24581</v>
      </c>
      <c r="D120" s="8">
        <v>41911</v>
      </c>
      <c r="E120" s="6" t="s">
        <v>2601</v>
      </c>
      <c r="F120" s="6">
        <v>163161</v>
      </c>
      <c r="G120" s="6" t="s">
        <v>2615</v>
      </c>
      <c r="H120" s="6" t="s">
        <v>2617</v>
      </c>
      <c r="I120" s="6" t="s">
        <v>2724</v>
      </c>
      <c r="J120" s="6" t="s">
        <v>3306</v>
      </c>
      <c r="K120" s="6">
        <v>11</v>
      </c>
    </row>
    <row r="121" spans="1:11" x14ac:dyDescent="0.3">
      <c r="A121" s="6" t="s">
        <v>130</v>
      </c>
      <c r="B121" s="6" t="s">
        <v>1426</v>
      </c>
      <c r="C121" s="7">
        <v>37046</v>
      </c>
      <c r="D121" s="8">
        <v>32043</v>
      </c>
      <c r="E121" s="6" t="s">
        <v>2602</v>
      </c>
      <c r="F121" s="6">
        <v>135113</v>
      </c>
      <c r="G121" s="6" t="s">
        <v>2614</v>
      </c>
      <c r="H121" s="6" t="s">
        <v>2617</v>
      </c>
      <c r="I121" s="6" t="s">
        <v>2725</v>
      </c>
      <c r="J121" s="6" t="s">
        <v>3310</v>
      </c>
      <c r="K121" s="6">
        <v>38</v>
      </c>
    </row>
    <row r="122" spans="1:11" x14ac:dyDescent="0.3">
      <c r="A122" s="6" t="s">
        <v>131</v>
      </c>
      <c r="B122" s="6" t="s">
        <v>1427</v>
      </c>
      <c r="C122" s="7">
        <v>22355</v>
      </c>
      <c r="D122" s="8">
        <v>35746</v>
      </c>
      <c r="E122" s="6" t="s">
        <v>2599</v>
      </c>
      <c r="F122" s="6">
        <v>51800</v>
      </c>
      <c r="G122" s="6" t="s">
        <v>2615</v>
      </c>
      <c r="H122" s="6" t="s">
        <v>2617</v>
      </c>
      <c r="I122" s="6" t="s">
        <v>2726</v>
      </c>
      <c r="J122" s="6" t="s">
        <v>3307</v>
      </c>
      <c r="K122" s="6">
        <v>28</v>
      </c>
    </row>
    <row r="123" spans="1:11" x14ac:dyDescent="0.3">
      <c r="A123" s="6" t="s">
        <v>132</v>
      </c>
      <c r="B123" s="6" t="s">
        <v>1428</v>
      </c>
      <c r="C123" s="7">
        <v>34471</v>
      </c>
      <c r="D123" s="8">
        <v>39005</v>
      </c>
      <c r="E123" s="6" t="s">
        <v>2605</v>
      </c>
      <c r="F123" s="6">
        <v>75606</v>
      </c>
      <c r="G123" s="6" t="s">
        <v>2610</v>
      </c>
      <c r="H123" s="6" t="s">
        <v>2616</v>
      </c>
      <c r="I123" s="6" t="s">
        <v>2727</v>
      </c>
      <c r="J123" s="6" t="s">
        <v>3310</v>
      </c>
      <c r="K123" s="6">
        <v>19</v>
      </c>
    </row>
    <row r="124" spans="1:11" x14ac:dyDescent="0.3">
      <c r="A124" s="6" t="s">
        <v>133</v>
      </c>
      <c r="B124" s="6" t="s">
        <v>1429</v>
      </c>
      <c r="C124" s="7">
        <v>28443</v>
      </c>
      <c r="D124" s="8">
        <v>31278</v>
      </c>
      <c r="E124" s="6" t="s">
        <v>2604</v>
      </c>
      <c r="F124" s="6">
        <v>73953</v>
      </c>
      <c r="G124" s="6" t="s">
        <v>2611</v>
      </c>
      <c r="H124" s="6" t="s">
        <v>2617</v>
      </c>
      <c r="I124" s="6" t="s">
        <v>2728</v>
      </c>
      <c r="J124" s="6" t="s">
        <v>3309</v>
      </c>
      <c r="K124" s="6">
        <v>40</v>
      </c>
    </row>
    <row r="125" spans="1:11" x14ac:dyDescent="0.3">
      <c r="A125" s="6" t="s">
        <v>134</v>
      </c>
      <c r="B125" s="6" t="s">
        <v>1430</v>
      </c>
      <c r="C125" s="7">
        <v>37533</v>
      </c>
      <c r="D125" s="8">
        <v>44050</v>
      </c>
      <c r="E125" s="6" t="s">
        <v>2599</v>
      </c>
      <c r="F125" s="6">
        <v>141275</v>
      </c>
      <c r="G125" s="6" t="s">
        <v>2607</v>
      </c>
      <c r="H125" s="6" t="s">
        <v>2616</v>
      </c>
      <c r="I125" s="6" t="s">
        <v>2729</v>
      </c>
      <c r="J125" s="6" t="s">
        <v>3304</v>
      </c>
      <c r="K125" s="6">
        <v>5</v>
      </c>
    </row>
    <row r="126" spans="1:11" x14ac:dyDescent="0.3">
      <c r="A126" s="6" t="s">
        <v>135</v>
      </c>
      <c r="B126" s="6" t="s">
        <v>1431</v>
      </c>
      <c r="C126" s="7">
        <v>28009</v>
      </c>
      <c r="D126" s="8">
        <v>37912</v>
      </c>
      <c r="E126" s="6" t="s">
        <v>2605</v>
      </c>
      <c r="F126" s="6">
        <v>130755</v>
      </c>
      <c r="G126" s="6" t="s">
        <v>2613</v>
      </c>
      <c r="H126" s="6" t="s">
        <v>2617</v>
      </c>
      <c r="I126" s="6" t="s">
        <v>2730</v>
      </c>
      <c r="J126" s="6" t="s">
        <v>3306</v>
      </c>
      <c r="K126" s="6">
        <v>22</v>
      </c>
    </row>
    <row r="127" spans="1:11" x14ac:dyDescent="0.3">
      <c r="A127" s="6" t="s">
        <v>136</v>
      </c>
      <c r="B127" s="6" t="s">
        <v>1432</v>
      </c>
      <c r="C127" s="7">
        <v>35838</v>
      </c>
      <c r="D127" s="8">
        <v>32060</v>
      </c>
      <c r="E127" s="6" t="s">
        <v>2602</v>
      </c>
      <c r="F127" s="6">
        <v>177416</v>
      </c>
      <c r="G127" s="6" t="s">
        <v>2611</v>
      </c>
      <c r="H127" s="6" t="s">
        <v>2616</v>
      </c>
      <c r="I127" s="6" t="s">
        <v>2636</v>
      </c>
      <c r="J127" s="6" t="s">
        <v>3306</v>
      </c>
      <c r="K127" s="6">
        <v>38</v>
      </c>
    </row>
    <row r="128" spans="1:11" x14ac:dyDescent="0.3">
      <c r="A128" s="6" t="s">
        <v>137</v>
      </c>
      <c r="B128" s="6" t="s">
        <v>1433</v>
      </c>
      <c r="C128" s="7">
        <v>32449</v>
      </c>
      <c r="D128" s="8">
        <v>31437</v>
      </c>
      <c r="E128" s="6" t="s">
        <v>2601</v>
      </c>
      <c r="F128" s="6">
        <v>111102</v>
      </c>
      <c r="G128" s="6" t="s">
        <v>2613</v>
      </c>
      <c r="H128" s="6" t="s">
        <v>2616</v>
      </c>
      <c r="I128" s="6" t="s">
        <v>2731</v>
      </c>
      <c r="J128" s="6" t="s">
        <v>3306</v>
      </c>
      <c r="K128" s="6">
        <v>39</v>
      </c>
    </row>
    <row r="129" spans="1:11" x14ac:dyDescent="0.3">
      <c r="A129" s="6" t="s">
        <v>138</v>
      </c>
      <c r="B129" s="6" t="s">
        <v>1434</v>
      </c>
      <c r="C129" s="7">
        <v>37463</v>
      </c>
      <c r="D129" s="8">
        <v>36211</v>
      </c>
      <c r="E129" s="6" t="s">
        <v>2605</v>
      </c>
      <c r="F129" s="6">
        <v>71732</v>
      </c>
      <c r="G129" s="6" t="s">
        <v>2607</v>
      </c>
      <c r="H129" s="6" t="s">
        <v>2616</v>
      </c>
      <c r="I129" s="6" t="s">
        <v>2732</v>
      </c>
      <c r="J129" s="6" t="s">
        <v>3308</v>
      </c>
      <c r="K129" s="6">
        <v>26</v>
      </c>
    </row>
    <row r="130" spans="1:11" x14ac:dyDescent="0.3">
      <c r="A130" s="6" t="s">
        <v>139</v>
      </c>
      <c r="B130" s="6" t="s">
        <v>1435</v>
      </c>
      <c r="C130" s="7">
        <v>26137</v>
      </c>
      <c r="D130" s="8">
        <v>43458</v>
      </c>
      <c r="E130" s="6" t="s">
        <v>2603</v>
      </c>
      <c r="F130" s="6">
        <v>175989</v>
      </c>
      <c r="G130" s="6" t="s">
        <v>2614</v>
      </c>
      <c r="H130" s="6" t="s">
        <v>2617</v>
      </c>
      <c r="I130" s="6" t="s">
        <v>2733</v>
      </c>
      <c r="J130" s="6" t="s">
        <v>3305</v>
      </c>
      <c r="K130" s="6">
        <v>7</v>
      </c>
    </row>
    <row r="131" spans="1:11" x14ac:dyDescent="0.3">
      <c r="A131" s="6" t="s">
        <v>140</v>
      </c>
      <c r="B131" s="6" t="s">
        <v>1436</v>
      </c>
      <c r="C131" s="7">
        <v>26634</v>
      </c>
      <c r="D131" s="8">
        <v>39912</v>
      </c>
      <c r="E131" s="6" t="s">
        <v>2603</v>
      </c>
      <c r="F131" s="6">
        <v>192707</v>
      </c>
      <c r="G131" s="6" t="s">
        <v>2615</v>
      </c>
      <c r="H131" s="6" t="s">
        <v>2616</v>
      </c>
      <c r="I131" s="6" t="s">
        <v>2734</v>
      </c>
      <c r="J131" s="6" t="s">
        <v>3307</v>
      </c>
      <c r="K131" s="6">
        <v>16</v>
      </c>
    </row>
    <row r="132" spans="1:11" x14ac:dyDescent="0.3">
      <c r="A132" s="6" t="s">
        <v>141</v>
      </c>
      <c r="B132" s="6" t="s">
        <v>1437</v>
      </c>
      <c r="C132" s="7">
        <v>23170</v>
      </c>
      <c r="D132" s="8">
        <v>31077</v>
      </c>
      <c r="E132" s="6" t="s">
        <v>2600</v>
      </c>
      <c r="F132" s="6">
        <v>34614</v>
      </c>
      <c r="G132" s="6" t="s">
        <v>2607</v>
      </c>
      <c r="H132" s="6" t="s">
        <v>2616</v>
      </c>
      <c r="I132" s="6" t="s">
        <v>2659</v>
      </c>
      <c r="J132" s="6" t="s">
        <v>3310</v>
      </c>
      <c r="K132" s="6">
        <v>40</v>
      </c>
    </row>
    <row r="133" spans="1:11" x14ac:dyDescent="0.3">
      <c r="A133" s="6" t="s">
        <v>142</v>
      </c>
      <c r="B133" s="6" t="s">
        <v>1438</v>
      </c>
      <c r="C133" s="7">
        <v>34292</v>
      </c>
      <c r="D133" s="8">
        <v>40810</v>
      </c>
      <c r="E133" s="6" t="s">
        <v>2604</v>
      </c>
      <c r="F133" s="6">
        <v>151924</v>
      </c>
      <c r="G133" s="6" t="s">
        <v>2608</v>
      </c>
      <c r="H133" s="6" t="s">
        <v>2616</v>
      </c>
      <c r="I133" s="6" t="s">
        <v>2735</v>
      </c>
      <c r="J133" s="6" t="s">
        <v>3307</v>
      </c>
      <c r="K133" s="6">
        <v>14</v>
      </c>
    </row>
    <row r="134" spans="1:11" x14ac:dyDescent="0.3">
      <c r="A134" s="6" t="s">
        <v>3337</v>
      </c>
      <c r="B134" s="6" t="s">
        <v>1439</v>
      </c>
      <c r="C134" s="7">
        <v>30094</v>
      </c>
      <c r="D134" s="8">
        <v>33381</v>
      </c>
      <c r="E134" s="6" t="s">
        <v>2605</v>
      </c>
      <c r="F134" s="6">
        <v>177286</v>
      </c>
      <c r="G134" s="6" t="s">
        <v>2607</v>
      </c>
      <c r="H134" s="6" t="s">
        <v>2616</v>
      </c>
      <c r="I134" s="6" t="s">
        <v>2736</v>
      </c>
      <c r="J134" s="6" t="s">
        <v>3306</v>
      </c>
      <c r="K134" s="6">
        <v>34</v>
      </c>
    </row>
    <row r="135" spans="1:11" x14ac:dyDescent="0.3">
      <c r="A135" s="6" t="s">
        <v>144</v>
      </c>
      <c r="B135" s="6" t="s">
        <v>1440</v>
      </c>
      <c r="C135" s="7">
        <v>37413</v>
      </c>
      <c r="D135" s="8">
        <v>41090</v>
      </c>
      <c r="E135" s="6" t="s">
        <v>2599</v>
      </c>
      <c r="F135" s="6">
        <v>90280</v>
      </c>
      <c r="G135" s="6" t="s">
        <v>2614</v>
      </c>
      <c r="H135" s="6" t="s">
        <v>2617</v>
      </c>
      <c r="I135" s="6" t="s">
        <v>2737</v>
      </c>
      <c r="J135" s="6" t="s">
        <v>3310</v>
      </c>
      <c r="K135" s="6">
        <v>13</v>
      </c>
    </row>
    <row r="136" spans="1:11" x14ac:dyDescent="0.3">
      <c r="A136" s="6" t="s">
        <v>145</v>
      </c>
      <c r="B136" s="6" t="s">
        <v>1441</v>
      </c>
      <c r="C136" s="7">
        <v>27785</v>
      </c>
      <c r="D136" s="8">
        <v>39720</v>
      </c>
      <c r="E136" s="6" t="s">
        <v>2605</v>
      </c>
      <c r="F136" s="6">
        <v>63630</v>
      </c>
      <c r="G136" s="6" t="s">
        <v>2609</v>
      </c>
      <c r="H136" s="6" t="s">
        <v>2617</v>
      </c>
      <c r="I136" s="6" t="s">
        <v>2646</v>
      </c>
      <c r="J136" s="6" t="s">
        <v>3306</v>
      </c>
      <c r="K136" s="6">
        <v>17</v>
      </c>
    </row>
    <row r="137" spans="1:11" x14ac:dyDescent="0.3">
      <c r="A137" s="6" t="s">
        <v>146</v>
      </c>
      <c r="B137" s="6" t="s">
        <v>1442</v>
      </c>
      <c r="C137" s="7">
        <v>35875</v>
      </c>
      <c r="D137" s="8">
        <v>29893</v>
      </c>
      <c r="E137" s="6" t="s">
        <v>2604</v>
      </c>
      <c r="F137" s="6">
        <v>176204</v>
      </c>
      <c r="G137" s="6" t="s">
        <v>2610</v>
      </c>
      <c r="H137" s="6" t="s">
        <v>2617</v>
      </c>
      <c r="I137" s="6" t="s">
        <v>2738</v>
      </c>
      <c r="J137" s="6" t="s">
        <v>3306</v>
      </c>
      <c r="K137" s="6">
        <v>44</v>
      </c>
    </row>
    <row r="138" spans="1:11" x14ac:dyDescent="0.3">
      <c r="A138" s="6" t="s">
        <v>147</v>
      </c>
      <c r="B138" s="6" t="s">
        <v>1443</v>
      </c>
      <c r="C138" s="7">
        <v>36301</v>
      </c>
      <c r="D138" s="8">
        <v>31197</v>
      </c>
      <c r="E138" s="6" t="s">
        <v>2599</v>
      </c>
      <c r="F138" s="6">
        <v>110138</v>
      </c>
      <c r="G138" s="6" t="s">
        <v>2606</v>
      </c>
      <c r="H138" s="6" t="s">
        <v>2617</v>
      </c>
      <c r="I138" s="6" t="s">
        <v>2739</v>
      </c>
      <c r="J138" s="6" t="s">
        <v>3305</v>
      </c>
      <c r="K138" s="6">
        <v>40</v>
      </c>
    </row>
    <row r="139" spans="1:11" x14ac:dyDescent="0.3">
      <c r="A139" s="6" t="s">
        <v>148</v>
      </c>
      <c r="B139" s="6" t="s">
        <v>1444</v>
      </c>
      <c r="C139" s="7">
        <v>27895</v>
      </c>
      <c r="D139" s="8">
        <v>43986</v>
      </c>
      <c r="E139" s="6" t="s">
        <v>2604</v>
      </c>
      <c r="F139" s="6">
        <v>179829</v>
      </c>
      <c r="G139" s="6" t="s">
        <v>2615</v>
      </c>
      <c r="H139" s="6" t="s">
        <v>2617</v>
      </c>
      <c r="I139" s="6" t="s">
        <v>2740</v>
      </c>
      <c r="J139" s="6" t="s">
        <v>3307</v>
      </c>
      <c r="K139" s="6">
        <v>5</v>
      </c>
    </row>
    <row r="140" spans="1:11" x14ac:dyDescent="0.3">
      <c r="A140" s="6" t="s">
        <v>149</v>
      </c>
      <c r="B140" s="6" t="s">
        <v>1445</v>
      </c>
      <c r="C140" s="7">
        <v>34607</v>
      </c>
      <c r="D140" s="8">
        <v>30901</v>
      </c>
      <c r="E140" s="6" t="s">
        <v>2601</v>
      </c>
      <c r="F140" s="6">
        <v>194930</v>
      </c>
      <c r="G140" s="6" t="s">
        <v>2612</v>
      </c>
      <c r="H140" s="6" t="s">
        <v>2616</v>
      </c>
      <c r="I140" s="6" t="s">
        <v>2741</v>
      </c>
      <c r="J140" s="6" t="s">
        <v>3309</v>
      </c>
      <c r="K140" s="6">
        <v>41</v>
      </c>
    </row>
    <row r="141" spans="1:11" x14ac:dyDescent="0.3">
      <c r="A141" s="6" t="s">
        <v>150</v>
      </c>
      <c r="B141" s="6" t="s">
        <v>1446</v>
      </c>
      <c r="C141" s="7">
        <v>23095</v>
      </c>
      <c r="D141" s="8">
        <v>36087</v>
      </c>
      <c r="E141" s="6" t="s">
        <v>2601</v>
      </c>
      <c r="F141" s="6">
        <v>185546</v>
      </c>
      <c r="G141" s="6" t="s">
        <v>2614</v>
      </c>
      <c r="H141" s="6" t="s">
        <v>2617</v>
      </c>
      <c r="I141" s="6" t="s">
        <v>2742</v>
      </c>
      <c r="J141" s="6" t="s">
        <v>3304</v>
      </c>
      <c r="K141" s="6">
        <v>27</v>
      </c>
    </row>
    <row r="142" spans="1:11" x14ac:dyDescent="0.3">
      <c r="A142" s="6" t="s">
        <v>151</v>
      </c>
      <c r="B142" s="6" t="s">
        <v>1447</v>
      </c>
      <c r="C142" s="7">
        <v>22264</v>
      </c>
      <c r="D142" s="8">
        <v>40016</v>
      </c>
      <c r="E142" s="6" t="s">
        <v>2605</v>
      </c>
      <c r="F142" s="6">
        <v>122257</v>
      </c>
      <c r="G142" s="6" t="s">
        <v>2613</v>
      </c>
      <c r="H142" s="6" t="s">
        <v>2617</v>
      </c>
      <c r="I142" s="6" t="s">
        <v>2743</v>
      </c>
      <c r="J142" s="6" t="s">
        <v>3304</v>
      </c>
      <c r="K142" s="6">
        <v>16</v>
      </c>
    </row>
    <row r="143" spans="1:11" x14ac:dyDescent="0.3">
      <c r="A143" s="6" t="s">
        <v>152</v>
      </c>
      <c r="B143" s="6" t="s">
        <v>1448</v>
      </c>
      <c r="C143" s="7">
        <v>28023</v>
      </c>
      <c r="D143" s="8">
        <v>42790</v>
      </c>
      <c r="E143" s="6" t="s">
        <v>2605</v>
      </c>
      <c r="F143" s="6">
        <v>162856</v>
      </c>
      <c r="G143" s="6" t="s">
        <v>2614</v>
      </c>
      <c r="H143" s="6" t="s">
        <v>2616</v>
      </c>
      <c r="I143" s="6" t="s">
        <v>2744</v>
      </c>
      <c r="J143" s="6" t="s">
        <v>3307</v>
      </c>
      <c r="K143" s="6">
        <v>8</v>
      </c>
    </row>
    <row r="144" spans="1:11" x14ac:dyDescent="0.3">
      <c r="A144" s="6" t="s">
        <v>153</v>
      </c>
      <c r="B144" s="6" t="s">
        <v>1449</v>
      </c>
      <c r="C144" s="7">
        <v>22554</v>
      </c>
      <c r="D144" s="8">
        <v>42752</v>
      </c>
      <c r="E144" s="6" t="s">
        <v>2599</v>
      </c>
      <c r="F144" s="6">
        <v>190135</v>
      </c>
      <c r="G144" s="6" t="s">
        <v>2612</v>
      </c>
      <c r="H144" s="6" t="s">
        <v>2616</v>
      </c>
      <c r="I144" s="6" t="s">
        <v>2745</v>
      </c>
      <c r="J144" s="6" t="s">
        <v>3306</v>
      </c>
      <c r="K144" s="6">
        <v>8</v>
      </c>
    </row>
    <row r="145" spans="1:11" x14ac:dyDescent="0.3">
      <c r="A145" s="6" t="s">
        <v>154</v>
      </c>
      <c r="B145" s="6" t="s">
        <v>1450</v>
      </c>
      <c r="C145" s="7">
        <v>27972</v>
      </c>
      <c r="D145" s="8">
        <v>32438</v>
      </c>
      <c r="E145" s="6" t="s">
        <v>2603</v>
      </c>
      <c r="F145" s="6">
        <v>142542</v>
      </c>
      <c r="G145" s="6" t="s">
        <v>2606</v>
      </c>
      <c r="H145" s="6" t="s">
        <v>2616</v>
      </c>
      <c r="I145" s="6" t="s">
        <v>2746</v>
      </c>
      <c r="J145" s="6" t="s">
        <v>3307</v>
      </c>
      <c r="K145" s="6">
        <v>37</v>
      </c>
    </row>
    <row r="146" spans="1:11" x14ac:dyDescent="0.3">
      <c r="A146" s="6" t="s">
        <v>155</v>
      </c>
      <c r="B146" s="6" t="s">
        <v>1451</v>
      </c>
      <c r="C146" s="7">
        <v>30650</v>
      </c>
      <c r="D146" s="8">
        <v>25655</v>
      </c>
      <c r="E146" s="6" t="s">
        <v>2605</v>
      </c>
      <c r="F146" s="6">
        <v>55032</v>
      </c>
      <c r="G146" s="6" t="s">
        <v>2612</v>
      </c>
      <c r="H146" s="6" t="s">
        <v>2616</v>
      </c>
      <c r="I146" s="6" t="s">
        <v>2747</v>
      </c>
      <c r="J146" s="6" t="s">
        <v>3306</v>
      </c>
      <c r="K146" s="6">
        <v>55</v>
      </c>
    </row>
    <row r="147" spans="1:11" x14ac:dyDescent="0.3">
      <c r="A147" s="6" t="s">
        <v>156</v>
      </c>
      <c r="B147" s="6" t="s">
        <v>1452</v>
      </c>
      <c r="C147" s="7">
        <v>32607</v>
      </c>
      <c r="D147" s="8">
        <v>39225</v>
      </c>
      <c r="E147" s="6" t="s">
        <v>2602</v>
      </c>
      <c r="F147" s="6">
        <v>199797</v>
      </c>
      <c r="G147" s="6" t="s">
        <v>2613</v>
      </c>
      <c r="H147" s="6" t="s">
        <v>2617</v>
      </c>
      <c r="I147" s="6" t="s">
        <v>2748</v>
      </c>
      <c r="J147" s="6" t="s">
        <v>3310</v>
      </c>
      <c r="K147" s="6">
        <v>18</v>
      </c>
    </row>
    <row r="148" spans="1:11" x14ac:dyDescent="0.3">
      <c r="A148" s="6" t="s">
        <v>157</v>
      </c>
      <c r="B148" s="6" t="s">
        <v>1453</v>
      </c>
      <c r="C148" s="7">
        <v>28247</v>
      </c>
      <c r="D148" s="8">
        <v>36987</v>
      </c>
      <c r="E148" s="6" t="s">
        <v>2605</v>
      </c>
      <c r="F148" s="6">
        <v>136133</v>
      </c>
      <c r="G148" s="6" t="s">
        <v>2613</v>
      </c>
      <c r="H148" s="6" t="s">
        <v>2617</v>
      </c>
      <c r="I148" s="6" t="s">
        <v>2749</v>
      </c>
      <c r="J148" s="6" t="s">
        <v>3305</v>
      </c>
      <c r="K148" s="6">
        <v>24</v>
      </c>
    </row>
    <row r="149" spans="1:11" x14ac:dyDescent="0.3">
      <c r="A149" s="6" t="s">
        <v>158</v>
      </c>
      <c r="B149" s="6" t="s">
        <v>1454</v>
      </c>
      <c r="C149" s="7">
        <v>32092</v>
      </c>
      <c r="D149" s="8">
        <v>26968</v>
      </c>
      <c r="E149" s="6" t="s">
        <v>2601</v>
      </c>
      <c r="F149" s="6">
        <v>167284</v>
      </c>
      <c r="G149" s="6" t="s">
        <v>2607</v>
      </c>
      <c r="H149" s="6" t="s">
        <v>2616</v>
      </c>
      <c r="I149" s="6" t="s">
        <v>2750</v>
      </c>
      <c r="J149" s="6" t="s">
        <v>3305</v>
      </c>
      <c r="K149" s="6">
        <v>52</v>
      </c>
    </row>
    <row r="150" spans="1:11" x14ac:dyDescent="0.3">
      <c r="A150" s="6" t="s">
        <v>159</v>
      </c>
      <c r="B150" s="6" t="s">
        <v>1455</v>
      </c>
      <c r="C150" s="7">
        <v>27321</v>
      </c>
      <c r="D150" s="8">
        <v>33556</v>
      </c>
      <c r="E150" s="6" t="s">
        <v>2603</v>
      </c>
      <c r="F150" s="6">
        <v>192844</v>
      </c>
      <c r="G150" s="6" t="s">
        <v>2607</v>
      </c>
      <c r="H150" s="6" t="s">
        <v>2617</v>
      </c>
      <c r="I150" s="6" t="s">
        <v>2731</v>
      </c>
      <c r="J150" s="6" t="s">
        <v>3309</v>
      </c>
      <c r="K150" s="6">
        <v>34</v>
      </c>
    </row>
    <row r="151" spans="1:11" x14ac:dyDescent="0.3">
      <c r="A151" s="6" t="s">
        <v>160</v>
      </c>
      <c r="B151" s="6" t="s">
        <v>1456</v>
      </c>
      <c r="C151" s="7">
        <v>32296</v>
      </c>
      <c r="D151" s="8">
        <v>33927</v>
      </c>
      <c r="E151" s="6" t="s">
        <v>2601</v>
      </c>
      <c r="F151" s="6">
        <v>103315</v>
      </c>
      <c r="G151" s="6" t="s">
        <v>2610</v>
      </c>
      <c r="H151" s="6" t="s">
        <v>2616</v>
      </c>
      <c r="I151" s="6" t="s">
        <v>2751</v>
      </c>
      <c r="J151" s="6" t="s">
        <v>3306</v>
      </c>
      <c r="K151" s="6">
        <v>33</v>
      </c>
    </row>
    <row r="152" spans="1:11" x14ac:dyDescent="0.3">
      <c r="A152" s="6" t="s">
        <v>161</v>
      </c>
      <c r="B152" s="6" t="s">
        <v>1457</v>
      </c>
      <c r="C152" s="7">
        <v>35287</v>
      </c>
      <c r="D152" s="8">
        <v>38307</v>
      </c>
      <c r="E152" s="6" t="s">
        <v>2604</v>
      </c>
      <c r="F152" s="6">
        <v>25959</v>
      </c>
      <c r="G152" s="6" t="s">
        <v>2611</v>
      </c>
      <c r="H152" s="6" t="s">
        <v>2617</v>
      </c>
      <c r="I152" s="6" t="s">
        <v>2752</v>
      </c>
      <c r="J152" s="6" t="s">
        <v>3307</v>
      </c>
      <c r="K152" s="6">
        <v>21</v>
      </c>
    </row>
    <row r="153" spans="1:11" x14ac:dyDescent="0.3">
      <c r="A153" s="6" t="s">
        <v>162</v>
      </c>
      <c r="B153" s="6" t="s">
        <v>1458</v>
      </c>
      <c r="C153" s="7">
        <v>23306</v>
      </c>
      <c r="D153" s="8">
        <v>28373</v>
      </c>
      <c r="E153" s="6" t="s">
        <v>2604</v>
      </c>
      <c r="F153" s="6">
        <v>112404</v>
      </c>
      <c r="G153" s="6" t="s">
        <v>2611</v>
      </c>
      <c r="H153" s="6" t="s">
        <v>2616</v>
      </c>
      <c r="I153" s="6" t="s">
        <v>2732</v>
      </c>
      <c r="J153" s="6" t="s">
        <v>3304</v>
      </c>
      <c r="K153" s="6">
        <v>48</v>
      </c>
    </row>
    <row r="154" spans="1:11" x14ac:dyDescent="0.3">
      <c r="A154" s="6" t="s">
        <v>163</v>
      </c>
      <c r="B154" s="6" t="s">
        <v>1459</v>
      </c>
      <c r="C154" s="7">
        <v>24253</v>
      </c>
      <c r="D154" s="8">
        <v>36687</v>
      </c>
      <c r="E154" s="6" t="s">
        <v>2602</v>
      </c>
      <c r="F154" s="6">
        <v>190883</v>
      </c>
      <c r="G154" s="6" t="s">
        <v>2606</v>
      </c>
      <c r="H154" s="6" t="s">
        <v>2617</v>
      </c>
      <c r="I154" s="6" t="s">
        <v>2753</v>
      </c>
      <c r="J154" s="6" t="s">
        <v>3304</v>
      </c>
      <c r="K154" s="6">
        <v>25</v>
      </c>
    </row>
    <row r="155" spans="1:11" x14ac:dyDescent="0.3">
      <c r="A155" s="6" t="s">
        <v>164</v>
      </c>
      <c r="B155" s="6" t="s">
        <v>1460</v>
      </c>
      <c r="C155" s="7">
        <v>28125</v>
      </c>
      <c r="D155" s="8">
        <v>38696</v>
      </c>
      <c r="E155" s="6" t="s">
        <v>2603</v>
      </c>
      <c r="F155" s="6">
        <v>148372</v>
      </c>
      <c r="G155" s="6" t="s">
        <v>2614</v>
      </c>
      <c r="H155" s="6" t="s">
        <v>2616</v>
      </c>
      <c r="I155" s="6" t="s">
        <v>2689</v>
      </c>
      <c r="J155" s="6" t="s">
        <v>3305</v>
      </c>
      <c r="K155" s="6">
        <v>20</v>
      </c>
    </row>
    <row r="156" spans="1:11" x14ac:dyDescent="0.3">
      <c r="A156" s="6" t="s">
        <v>165</v>
      </c>
      <c r="B156" s="6" t="s">
        <v>1461</v>
      </c>
      <c r="C156" s="7">
        <v>33293</v>
      </c>
      <c r="D156" s="8">
        <v>43439</v>
      </c>
      <c r="E156" s="6" t="s">
        <v>2602</v>
      </c>
      <c r="F156" s="6">
        <v>124448</v>
      </c>
      <c r="G156" s="6" t="s">
        <v>2606</v>
      </c>
      <c r="H156" s="6" t="s">
        <v>2617</v>
      </c>
      <c r="I156" s="6" t="s">
        <v>2754</v>
      </c>
      <c r="J156" s="6" t="s">
        <v>3306</v>
      </c>
      <c r="K156" s="6">
        <v>7</v>
      </c>
    </row>
    <row r="157" spans="1:11" x14ac:dyDescent="0.3">
      <c r="A157" s="6" t="s">
        <v>166</v>
      </c>
      <c r="B157" s="6" t="s">
        <v>1462</v>
      </c>
      <c r="C157" s="7">
        <v>23944</v>
      </c>
      <c r="D157" s="8">
        <v>42550</v>
      </c>
      <c r="E157" s="6" t="s">
        <v>2602</v>
      </c>
      <c r="F157" s="6">
        <v>128542</v>
      </c>
      <c r="G157" s="6" t="s">
        <v>2609</v>
      </c>
      <c r="H157" s="6" t="s">
        <v>2616</v>
      </c>
      <c r="I157" s="6" t="s">
        <v>2755</v>
      </c>
      <c r="J157" s="6" t="s">
        <v>3310</v>
      </c>
      <c r="K157" s="6">
        <v>9</v>
      </c>
    </row>
    <row r="158" spans="1:11" x14ac:dyDescent="0.3">
      <c r="A158" s="6" t="s">
        <v>167</v>
      </c>
      <c r="B158" s="6" t="s">
        <v>1463</v>
      </c>
      <c r="C158" s="7">
        <v>25954</v>
      </c>
      <c r="D158" s="8">
        <v>27297</v>
      </c>
      <c r="E158" s="6" t="s">
        <v>2605</v>
      </c>
      <c r="F158" s="6">
        <v>134866</v>
      </c>
      <c r="G158" s="6" t="s">
        <v>2615</v>
      </c>
      <c r="H158" s="6" t="s">
        <v>2617</v>
      </c>
      <c r="I158" s="6" t="s">
        <v>2756</v>
      </c>
      <c r="J158" s="6" t="s">
        <v>3310</v>
      </c>
      <c r="K158" s="6">
        <v>51</v>
      </c>
    </row>
    <row r="159" spans="1:11" x14ac:dyDescent="0.3">
      <c r="A159" s="6" t="s">
        <v>168</v>
      </c>
      <c r="B159" s="6" t="s">
        <v>1464</v>
      </c>
      <c r="C159" s="7">
        <v>29786</v>
      </c>
      <c r="D159" s="8">
        <v>33631</v>
      </c>
      <c r="E159" s="6" t="s">
        <v>2602</v>
      </c>
      <c r="F159" s="6">
        <v>27985</v>
      </c>
      <c r="G159" s="6" t="s">
        <v>2611</v>
      </c>
      <c r="H159" s="6" t="s">
        <v>2616</v>
      </c>
      <c r="I159" s="6" t="s">
        <v>2757</v>
      </c>
      <c r="J159" s="6" t="s">
        <v>3307</v>
      </c>
      <c r="K159" s="6">
        <v>33</v>
      </c>
    </row>
    <row r="160" spans="1:11" x14ac:dyDescent="0.3">
      <c r="A160" s="6" t="s">
        <v>169</v>
      </c>
      <c r="B160" s="6" t="s">
        <v>1465</v>
      </c>
      <c r="C160" s="7">
        <v>21855</v>
      </c>
      <c r="D160" s="8">
        <v>33032</v>
      </c>
      <c r="E160" s="6" t="s">
        <v>2601</v>
      </c>
      <c r="F160" s="6">
        <v>152082</v>
      </c>
      <c r="G160" s="6" t="s">
        <v>2607</v>
      </c>
      <c r="H160" s="6" t="s">
        <v>2616</v>
      </c>
      <c r="I160" s="6" t="s">
        <v>2758</v>
      </c>
      <c r="J160" s="6" t="s">
        <v>3309</v>
      </c>
      <c r="K160" s="6">
        <v>35</v>
      </c>
    </row>
    <row r="161" spans="1:11" x14ac:dyDescent="0.3">
      <c r="A161" s="6" t="s">
        <v>170</v>
      </c>
      <c r="B161" s="6" t="s">
        <v>1466</v>
      </c>
      <c r="C161" s="7">
        <v>24685</v>
      </c>
      <c r="D161" s="8">
        <v>27172</v>
      </c>
      <c r="E161" s="6" t="s">
        <v>2600</v>
      </c>
      <c r="F161" s="6">
        <v>155343</v>
      </c>
      <c r="G161" s="6" t="s">
        <v>2611</v>
      </c>
      <c r="H161" s="6" t="s">
        <v>2616</v>
      </c>
      <c r="I161" s="6" t="s">
        <v>2759</v>
      </c>
      <c r="J161" s="6" t="s">
        <v>3310</v>
      </c>
      <c r="K161" s="6">
        <v>51</v>
      </c>
    </row>
    <row r="162" spans="1:11" x14ac:dyDescent="0.3">
      <c r="A162" s="6" t="s">
        <v>171</v>
      </c>
      <c r="B162" s="6" t="s">
        <v>1467</v>
      </c>
      <c r="C162" s="7">
        <v>28877</v>
      </c>
      <c r="D162" s="8">
        <v>30545</v>
      </c>
      <c r="E162" s="6" t="s">
        <v>2604</v>
      </c>
      <c r="F162" s="6">
        <v>41459</v>
      </c>
      <c r="G162" s="6" t="s">
        <v>2612</v>
      </c>
      <c r="H162" s="6" t="s">
        <v>2617</v>
      </c>
      <c r="I162" s="6" t="s">
        <v>2760</v>
      </c>
      <c r="J162" s="6" t="s">
        <v>3310</v>
      </c>
      <c r="K162" s="6">
        <v>42</v>
      </c>
    </row>
    <row r="163" spans="1:11" x14ac:dyDescent="0.3">
      <c r="A163" s="6" t="s">
        <v>172</v>
      </c>
      <c r="B163" s="6" t="s">
        <v>1468</v>
      </c>
      <c r="C163" s="7">
        <v>27003</v>
      </c>
      <c r="D163" s="8">
        <v>27836</v>
      </c>
      <c r="E163" s="6" t="s">
        <v>2604</v>
      </c>
      <c r="F163" s="6">
        <v>106426</v>
      </c>
      <c r="G163" s="6" t="s">
        <v>2608</v>
      </c>
      <c r="H163" s="6" t="s">
        <v>2616</v>
      </c>
      <c r="I163" s="6" t="s">
        <v>2761</v>
      </c>
      <c r="J163" s="6" t="s">
        <v>3305</v>
      </c>
      <c r="K163" s="6">
        <v>49</v>
      </c>
    </row>
    <row r="164" spans="1:11" x14ac:dyDescent="0.3">
      <c r="A164" s="6" t="s">
        <v>173</v>
      </c>
      <c r="B164" s="6" t="s">
        <v>1469</v>
      </c>
      <c r="C164" s="7">
        <v>33085</v>
      </c>
      <c r="D164" s="8">
        <v>43424</v>
      </c>
      <c r="E164" s="6" t="s">
        <v>2604</v>
      </c>
      <c r="F164" s="6">
        <v>48541</v>
      </c>
      <c r="G164" s="6" t="s">
        <v>2611</v>
      </c>
      <c r="H164" s="6" t="s">
        <v>2616</v>
      </c>
      <c r="I164" s="6" t="s">
        <v>2762</v>
      </c>
      <c r="J164" s="6" t="s">
        <v>3306</v>
      </c>
      <c r="K164" s="6">
        <v>7</v>
      </c>
    </row>
    <row r="165" spans="1:11" x14ac:dyDescent="0.3">
      <c r="A165" s="6" t="s">
        <v>174</v>
      </c>
      <c r="B165" s="6" t="s">
        <v>1470</v>
      </c>
      <c r="C165" s="7">
        <v>32743</v>
      </c>
      <c r="D165" s="8">
        <v>26519</v>
      </c>
      <c r="E165" s="6" t="s">
        <v>2604</v>
      </c>
      <c r="F165" s="6">
        <v>107196</v>
      </c>
      <c r="G165" s="6" t="s">
        <v>2607</v>
      </c>
      <c r="H165" s="6" t="s">
        <v>2616</v>
      </c>
      <c r="I165" s="6" t="s">
        <v>2751</v>
      </c>
      <c r="J165" s="6" t="s">
        <v>3308</v>
      </c>
      <c r="K165" s="6">
        <v>53</v>
      </c>
    </row>
    <row r="166" spans="1:11" x14ac:dyDescent="0.3">
      <c r="A166" s="6" t="s">
        <v>175</v>
      </c>
      <c r="B166" s="6" t="s">
        <v>1471</v>
      </c>
      <c r="C166" s="7">
        <v>27722</v>
      </c>
      <c r="D166" s="8">
        <v>30020</v>
      </c>
      <c r="E166" s="6" t="s">
        <v>2603</v>
      </c>
      <c r="F166" s="6">
        <v>121595</v>
      </c>
      <c r="G166" s="6" t="s">
        <v>2608</v>
      </c>
      <c r="H166" s="6" t="s">
        <v>2617</v>
      </c>
      <c r="I166" s="6" t="s">
        <v>2728</v>
      </c>
      <c r="J166" s="6" t="s">
        <v>3304</v>
      </c>
      <c r="K166" s="6">
        <v>43</v>
      </c>
    </row>
    <row r="167" spans="1:11" x14ac:dyDescent="0.3">
      <c r="A167" s="6" t="s">
        <v>176</v>
      </c>
      <c r="B167" s="6" t="s">
        <v>1472</v>
      </c>
      <c r="C167" s="7">
        <v>33516</v>
      </c>
      <c r="D167" s="8">
        <v>28068</v>
      </c>
      <c r="E167" s="6" t="s">
        <v>2603</v>
      </c>
      <c r="F167" s="6">
        <v>125028</v>
      </c>
      <c r="G167" s="6" t="s">
        <v>2615</v>
      </c>
      <c r="H167" s="6" t="s">
        <v>2617</v>
      </c>
      <c r="I167" s="6" t="s">
        <v>2763</v>
      </c>
      <c r="J167" s="6" t="s">
        <v>3309</v>
      </c>
      <c r="K167" s="6">
        <v>49</v>
      </c>
    </row>
    <row r="168" spans="1:11" x14ac:dyDescent="0.3">
      <c r="A168" s="6" t="s">
        <v>177</v>
      </c>
      <c r="B168" s="6" t="s">
        <v>1473</v>
      </c>
      <c r="C168" s="7">
        <v>33332</v>
      </c>
      <c r="D168" s="8">
        <v>26212</v>
      </c>
      <c r="E168" s="6" t="s">
        <v>2604</v>
      </c>
      <c r="F168" s="6">
        <v>171175</v>
      </c>
      <c r="G168" s="6" t="s">
        <v>2608</v>
      </c>
      <c r="H168" s="6" t="s">
        <v>2616</v>
      </c>
      <c r="I168" s="6" t="s">
        <v>2764</v>
      </c>
      <c r="J168" s="6" t="s">
        <v>3305</v>
      </c>
      <c r="K168" s="6">
        <v>54</v>
      </c>
    </row>
    <row r="169" spans="1:11" x14ac:dyDescent="0.3">
      <c r="A169" s="6" t="s">
        <v>178</v>
      </c>
      <c r="B169" s="6" t="s">
        <v>1474</v>
      </c>
      <c r="C169" s="7">
        <v>33751</v>
      </c>
      <c r="D169" s="8">
        <v>38269</v>
      </c>
      <c r="E169" s="6" t="s">
        <v>2602</v>
      </c>
      <c r="F169" s="6">
        <v>113135</v>
      </c>
      <c r="G169" s="6" t="s">
        <v>2607</v>
      </c>
      <c r="H169" s="6" t="s">
        <v>2617</v>
      </c>
      <c r="I169" s="6" t="s">
        <v>2765</v>
      </c>
      <c r="J169" s="6" t="s">
        <v>3304</v>
      </c>
      <c r="K169" s="6">
        <v>21</v>
      </c>
    </row>
    <row r="170" spans="1:11" x14ac:dyDescent="0.3">
      <c r="A170" s="6" t="s">
        <v>179</v>
      </c>
      <c r="B170" s="6" t="s">
        <v>1475</v>
      </c>
      <c r="C170" s="7">
        <v>35933</v>
      </c>
      <c r="D170" s="8">
        <v>27638</v>
      </c>
      <c r="E170" s="6" t="s">
        <v>2605</v>
      </c>
      <c r="F170" s="6">
        <v>190299</v>
      </c>
      <c r="G170" s="6" t="s">
        <v>2615</v>
      </c>
      <c r="H170" s="6" t="s">
        <v>2617</v>
      </c>
      <c r="I170" s="6" t="s">
        <v>2766</v>
      </c>
      <c r="J170" s="6" t="s">
        <v>3304</v>
      </c>
      <c r="K170" s="6">
        <v>50</v>
      </c>
    </row>
    <row r="171" spans="1:11" x14ac:dyDescent="0.3">
      <c r="A171" s="6" t="s">
        <v>180</v>
      </c>
      <c r="B171" s="6" t="s">
        <v>1476</v>
      </c>
      <c r="C171" s="7">
        <v>33044</v>
      </c>
      <c r="D171" s="8">
        <v>39661</v>
      </c>
      <c r="E171" s="6" t="s">
        <v>2599</v>
      </c>
      <c r="F171" s="6">
        <v>199943</v>
      </c>
      <c r="G171" s="6" t="s">
        <v>2610</v>
      </c>
      <c r="H171" s="6" t="s">
        <v>2617</v>
      </c>
      <c r="I171" s="6" t="s">
        <v>2767</v>
      </c>
      <c r="J171" s="6" t="s">
        <v>3306</v>
      </c>
      <c r="K171" s="6">
        <v>17</v>
      </c>
    </row>
    <row r="172" spans="1:11" x14ac:dyDescent="0.3">
      <c r="A172" s="6" t="s">
        <v>181</v>
      </c>
      <c r="B172" s="6" t="s">
        <v>1477</v>
      </c>
      <c r="C172" s="7">
        <v>31135</v>
      </c>
      <c r="D172" s="8">
        <v>26117</v>
      </c>
      <c r="E172" s="6" t="s">
        <v>2599</v>
      </c>
      <c r="F172" s="6">
        <v>159613</v>
      </c>
      <c r="G172" s="6" t="s">
        <v>2611</v>
      </c>
      <c r="H172" s="6" t="s">
        <v>2617</v>
      </c>
      <c r="I172" s="6" t="s">
        <v>2673</v>
      </c>
      <c r="J172" s="6" t="s">
        <v>3305</v>
      </c>
      <c r="K172" s="6">
        <v>54</v>
      </c>
    </row>
    <row r="173" spans="1:11" x14ac:dyDescent="0.3">
      <c r="A173" s="6" t="s">
        <v>182</v>
      </c>
      <c r="B173" s="6" t="s">
        <v>1478</v>
      </c>
      <c r="C173" s="7">
        <v>30942</v>
      </c>
      <c r="D173" s="8">
        <v>39061</v>
      </c>
      <c r="E173" s="6" t="s">
        <v>2604</v>
      </c>
      <c r="F173" s="6">
        <v>29879</v>
      </c>
      <c r="G173" s="6" t="s">
        <v>2612</v>
      </c>
      <c r="H173" s="6" t="s">
        <v>2616</v>
      </c>
      <c r="I173" s="6" t="s">
        <v>2768</v>
      </c>
      <c r="J173" s="6" t="s">
        <v>3308</v>
      </c>
      <c r="K173" s="6">
        <v>19</v>
      </c>
    </row>
    <row r="174" spans="1:11" x14ac:dyDescent="0.3">
      <c r="A174" s="6" t="s">
        <v>183</v>
      </c>
      <c r="B174" s="6" t="s">
        <v>1479</v>
      </c>
      <c r="C174" s="7">
        <v>36706</v>
      </c>
      <c r="D174" s="8">
        <v>35891</v>
      </c>
      <c r="E174" s="6" t="s">
        <v>2602</v>
      </c>
      <c r="F174" s="6">
        <v>29720</v>
      </c>
      <c r="G174" s="6" t="s">
        <v>2612</v>
      </c>
      <c r="H174" s="6" t="s">
        <v>2617</v>
      </c>
      <c r="I174" s="6" t="s">
        <v>2769</v>
      </c>
      <c r="J174" s="6" t="s">
        <v>3309</v>
      </c>
      <c r="K174" s="6">
        <v>27</v>
      </c>
    </row>
    <row r="175" spans="1:11" x14ac:dyDescent="0.3">
      <c r="A175" s="6" t="s">
        <v>184</v>
      </c>
      <c r="B175" s="6" t="s">
        <v>1480</v>
      </c>
      <c r="C175" s="7">
        <v>32861</v>
      </c>
      <c r="D175" s="8">
        <v>29664</v>
      </c>
      <c r="E175" s="6" t="s">
        <v>2604</v>
      </c>
      <c r="F175" s="6">
        <v>97738</v>
      </c>
      <c r="G175" s="6" t="s">
        <v>2613</v>
      </c>
      <c r="H175" s="6" t="s">
        <v>2617</v>
      </c>
      <c r="I175" s="6" t="s">
        <v>2770</v>
      </c>
      <c r="J175" s="6" t="s">
        <v>3306</v>
      </c>
      <c r="K175" s="6">
        <v>44</v>
      </c>
    </row>
    <row r="176" spans="1:11" x14ac:dyDescent="0.3">
      <c r="A176" s="6" t="s">
        <v>185</v>
      </c>
      <c r="B176" s="6" t="s">
        <v>1481</v>
      </c>
      <c r="C176" s="7">
        <v>34259</v>
      </c>
      <c r="D176" s="8">
        <v>40541</v>
      </c>
      <c r="E176" s="6" t="s">
        <v>2605</v>
      </c>
      <c r="F176" s="6">
        <v>132497</v>
      </c>
      <c r="G176" s="6" t="s">
        <v>2609</v>
      </c>
      <c r="H176" s="6" t="s">
        <v>2616</v>
      </c>
      <c r="I176" s="6" t="s">
        <v>2771</v>
      </c>
      <c r="J176" s="6" t="s">
        <v>3307</v>
      </c>
      <c r="K176" s="6">
        <v>15</v>
      </c>
    </row>
    <row r="177" spans="1:11" x14ac:dyDescent="0.3">
      <c r="A177" s="6" t="s">
        <v>186</v>
      </c>
      <c r="B177" s="6" t="s">
        <v>1482</v>
      </c>
      <c r="C177" s="7">
        <v>31657</v>
      </c>
      <c r="D177" s="8">
        <v>41740</v>
      </c>
      <c r="E177" s="6" t="s">
        <v>2603</v>
      </c>
      <c r="F177" s="6">
        <v>115779</v>
      </c>
      <c r="G177" s="6" t="s">
        <v>2615</v>
      </c>
      <c r="H177" s="6" t="s">
        <v>2617</v>
      </c>
      <c r="I177" s="6" t="s">
        <v>2769</v>
      </c>
      <c r="J177" s="6" t="s">
        <v>3308</v>
      </c>
      <c r="K177" s="6">
        <v>11</v>
      </c>
    </row>
    <row r="178" spans="1:11" x14ac:dyDescent="0.3">
      <c r="A178" s="6" t="s">
        <v>187</v>
      </c>
      <c r="B178" s="6" t="s">
        <v>1483</v>
      </c>
      <c r="C178" s="7">
        <v>22388</v>
      </c>
      <c r="D178" s="8">
        <v>42052</v>
      </c>
      <c r="E178" s="6" t="s">
        <v>2600</v>
      </c>
      <c r="F178" s="6">
        <v>165446</v>
      </c>
      <c r="G178" s="6" t="s">
        <v>2610</v>
      </c>
      <c r="H178" s="6" t="s">
        <v>2617</v>
      </c>
      <c r="I178" s="6" t="s">
        <v>2772</v>
      </c>
      <c r="J178" s="6" t="s">
        <v>3304</v>
      </c>
      <c r="K178" s="6">
        <v>10</v>
      </c>
    </row>
    <row r="179" spans="1:11" x14ac:dyDescent="0.3">
      <c r="A179" s="6" t="s">
        <v>188</v>
      </c>
      <c r="B179" s="6" t="s">
        <v>1484</v>
      </c>
      <c r="C179" s="7">
        <v>36353</v>
      </c>
      <c r="D179" s="8">
        <v>34406</v>
      </c>
      <c r="E179" s="6" t="s">
        <v>2604</v>
      </c>
      <c r="F179" s="6">
        <v>159167</v>
      </c>
      <c r="G179" s="6" t="s">
        <v>2615</v>
      </c>
      <c r="H179" s="6" t="s">
        <v>2617</v>
      </c>
      <c r="I179" s="6" t="s">
        <v>2773</v>
      </c>
      <c r="J179" s="6" t="s">
        <v>3309</v>
      </c>
      <c r="K179" s="6">
        <v>31</v>
      </c>
    </row>
    <row r="180" spans="1:11" x14ac:dyDescent="0.3">
      <c r="A180" s="6" t="s">
        <v>189</v>
      </c>
      <c r="B180" s="6" t="s">
        <v>1485</v>
      </c>
      <c r="C180" s="7">
        <v>22915</v>
      </c>
      <c r="D180" s="8">
        <v>33653</v>
      </c>
      <c r="E180" s="6" t="s">
        <v>2605</v>
      </c>
      <c r="F180" s="6">
        <v>159423</v>
      </c>
      <c r="G180" s="6" t="s">
        <v>2609</v>
      </c>
      <c r="H180" s="6" t="s">
        <v>2616</v>
      </c>
      <c r="I180" s="6" t="s">
        <v>2774</v>
      </c>
      <c r="J180" s="6" t="s">
        <v>3304</v>
      </c>
      <c r="K180" s="6">
        <v>33</v>
      </c>
    </row>
    <row r="181" spans="1:11" x14ac:dyDescent="0.3">
      <c r="A181" s="6" t="s">
        <v>190</v>
      </c>
      <c r="B181" s="6" t="s">
        <v>1486</v>
      </c>
      <c r="C181" s="7">
        <v>25343</v>
      </c>
      <c r="D181" s="8">
        <v>44615</v>
      </c>
      <c r="E181" s="6" t="s">
        <v>2602</v>
      </c>
      <c r="F181" s="6">
        <v>24102</v>
      </c>
      <c r="G181" s="6" t="s">
        <v>2611</v>
      </c>
      <c r="H181" s="6" t="s">
        <v>2617</v>
      </c>
      <c r="I181" s="6" t="s">
        <v>2775</v>
      </c>
      <c r="J181" s="6" t="s">
        <v>3304</v>
      </c>
      <c r="K181" s="6">
        <v>3</v>
      </c>
    </row>
    <row r="182" spans="1:11" x14ac:dyDescent="0.3">
      <c r="A182" s="6" t="s">
        <v>191</v>
      </c>
      <c r="B182" s="6" t="s">
        <v>1487</v>
      </c>
      <c r="C182" s="7">
        <v>30453</v>
      </c>
      <c r="D182" s="8">
        <v>33208</v>
      </c>
      <c r="E182" s="6" t="s">
        <v>2601</v>
      </c>
      <c r="F182" s="6">
        <v>188772</v>
      </c>
      <c r="G182" s="6" t="s">
        <v>2615</v>
      </c>
      <c r="H182" s="6" t="s">
        <v>2616</v>
      </c>
      <c r="I182" s="6" t="s">
        <v>2776</v>
      </c>
      <c r="J182" s="6" t="s">
        <v>3310</v>
      </c>
      <c r="K182" s="6">
        <v>35</v>
      </c>
    </row>
    <row r="183" spans="1:11" x14ac:dyDescent="0.3">
      <c r="A183" s="6" t="s">
        <v>192</v>
      </c>
      <c r="B183" s="6" t="s">
        <v>1488</v>
      </c>
      <c r="C183" s="7">
        <v>33065</v>
      </c>
      <c r="D183" s="8">
        <v>27663</v>
      </c>
      <c r="E183" s="6" t="s">
        <v>2602</v>
      </c>
      <c r="F183" s="6">
        <v>77497</v>
      </c>
      <c r="G183" s="6" t="s">
        <v>2607</v>
      </c>
      <c r="H183" s="6" t="s">
        <v>2616</v>
      </c>
      <c r="I183" s="6" t="s">
        <v>2777</v>
      </c>
      <c r="J183" s="6" t="s">
        <v>3305</v>
      </c>
      <c r="K183" s="6">
        <v>50</v>
      </c>
    </row>
    <row r="184" spans="1:11" x14ac:dyDescent="0.3">
      <c r="A184" s="6" t="s">
        <v>193</v>
      </c>
      <c r="B184" s="6" t="s">
        <v>1489</v>
      </c>
      <c r="C184" s="7">
        <v>37142</v>
      </c>
      <c r="D184" s="8">
        <v>27497</v>
      </c>
      <c r="E184" s="6" t="s">
        <v>2604</v>
      </c>
      <c r="F184" s="6">
        <v>195196</v>
      </c>
      <c r="G184" s="6" t="s">
        <v>2606</v>
      </c>
      <c r="H184" s="6" t="s">
        <v>2616</v>
      </c>
      <c r="I184" s="6" t="s">
        <v>2778</v>
      </c>
      <c r="J184" s="6" t="s">
        <v>3304</v>
      </c>
      <c r="K184" s="6">
        <v>50</v>
      </c>
    </row>
    <row r="185" spans="1:11" x14ac:dyDescent="0.3">
      <c r="A185" s="6" t="s">
        <v>194</v>
      </c>
      <c r="B185" s="6" t="s">
        <v>1490</v>
      </c>
      <c r="C185" s="7">
        <v>23674</v>
      </c>
      <c r="D185" s="8">
        <v>31818</v>
      </c>
      <c r="E185" s="6" t="s">
        <v>2605</v>
      </c>
      <c r="F185" s="6">
        <v>177819</v>
      </c>
      <c r="G185" s="6" t="s">
        <v>2611</v>
      </c>
      <c r="H185" s="6" t="s">
        <v>2617</v>
      </c>
      <c r="I185" s="6" t="s">
        <v>2779</v>
      </c>
      <c r="J185" s="6" t="s">
        <v>3309</v>
      </c>
      <c r="K185" s="6">
        <v>38</v>
      </c>
    </row>
    <row r="186" spans="1:11" x14ac:dyDescent="0.3">
      <c r="A186" s="6" t="s">
        <v>195</v>
      </c>
      <c r="B186" s="6" t="s">
        <v>1491</v>
      </c>
      <c r="C186" s="7">
        <v>35724</v>
      </c>
      <c r="D186" s="8">
        <v>36907</v>
      </c>
      <c r="E186" s="6" t="s">
        <v>2604</v>
      </c>
      <c r="F186" s="6">
        <v>122286</v>
      </c>
      <c r="G186" s="6" t="s">
        <v>2611</v>
      </c>
      <c r="H186" s="6" t="s">
        <v>2616</v>
      </c>
      <c r="I186" s="6" t="s">
        <v>2780</v>
      </c>
      <c r="J186" s="6" t="s">
        <v>3309</v>
      </c>
      <c r="K186" s="6">
        <v>24</v>
      </c>
    </row>
    <row r="187" spans="1:11" x14ac:dyDescent="0.3">
      <c r="A187" s="6" t="s">
        <v>196</v>
      </c>
      <c r="B187" s="6" t="s">
        <v>1492</v>
      </c>
      <c r="C187" s="7">
        <v>33942</v>
      </c>
      <c r="D187" s="8">
        <v>31705</v>
      </c>
      <c r="E187" s="6" t="s">
        <v>2605</v>
      </c>
      <c r="F187" s="6">
        <v>188898</v>
      </c>
      <c r="G187" s="6" t="s">
        <v>2606</v>
      </c>
      <c r="H187" s="6" t="s">
        <v>2617</v>
      </c>
      <c r="I187" s="6" t="s">
        <v>2781</v>
      </c>
      <c r="J187" s="6" t="s">
        <v>3310</v>
      </c>
      <c r="K187" s="6">
        <v>39</v>
      </c>
    </row>
    <row r="188" spans="1:11" x14ac:dyDescent="0.3">
      <c r="A188" s="6" t="s">
        <v>197</v>
      </c>
      <c r="B188" s="6" t="s">
        <v>1493</v>
      </c>
      <c r="C188" s="7">
        <v>24688</v>
      </c>
      <c r="D188" s="8">
        <v>43618</v>
      </c>
      <c r="E188" s="6" t="s">
        <v>2603</v>
      </c>
      <c r="F188" s="6">
        <v>118487</v>
      </c>
      <c r="G188" s="6" t="s">
        <v>2610</v>
      </c>
      <c r="H188" s="6" t="s">
        <v>2616</v>
      </c>
      <c r="I188" s="6" t="s">
        <v>2782</v>
      </c>
      <c r="J188" s="6" t="s">
        <v>3304</v>
      </c>
      <c r="K188" s="6">
        <v>6</v>
      </c>
    </row>
    <row r="189" spans="1:11" x14ac:dyDescent="0.3">
      <c r="A189" s="6" t="s">
        <v>198</v>
      </c>
      <c r="B189" s="6" t="s">
        <v>1494</v>
      </c>
      <c r="C189" s="7">
        <v>23556</v>
      </c>
      <c r="D189" s="8">
        <v>40633</v>
      </c>
      <c r="E189" s="6" t="s">
        <v>2603</v>
      </c>
      <c r="F189" s="6">
        <v>180975</v>
      </c>
      <c r="G189" s="6" t="s">
        <v>2612</v>
      </c>
      <c r="H189" s="6" t="s">
        <v>2616</v>
      </c>
      <c r="I189" s="6" t="s">
        <v>2783</v>
      </c>
      <c r="J189" s="6" t="s">
        <v>3310</v>
      </c>
      <c r="K189" s="6">
        <v>14</v>
      </c>
    </row>
    <row r="190" spans="1:11" x14ac:dyDescent="0.3">
      <c r="A190" s="6" t="s">
        <v>199</v>
      </c>
      <c r="B190" s="6" t="s">
        <v>1495</v>
      </c>
      <c r="C190" s="7">
        <v>23668</v>
      </c>
      <c r="D190" s="8">
        <v>43670</v>
      </c>
      <c r="E190" s="6" t="s">
        <v>2602</v>
      </c>
      <c r="F190" s="6">
        <v>135474</v>
      </c>
      <c r="G190" s="6" t="s">
        <v>2614</v>
      </c>
      <c r="H190" s="6" t="s">
        <v>2617</v>
      </c>
      <c r="I190" s="6" t="s">
        <v>2784</v>
      </c>
      <c r="J190" s="6" t="s">
        <v>3304</v>
      </c>
      <c r="K190" s="6">
        <v>6</v>
      </c>
    </row>
    <row r="191" spans="1:11" x14ac:dyDescent="0.3">
      <c r="A191" s="6" t="s">
        <v>200</v>
      </c>
      <c r="B191" s="6" t="s">
        <v>1496</v>
      </c>
      <c r="C191" s="7">
        <v>31352</v>
      </c>
      <c r="D191" s="8">
        <v>39805</v>
      </c>
      <c r="E191" s="6" t="s">
        <v>2605</v>
      </c>
      <c r="F191" s="6">
        <v>24316</v>
      </c>
      <c r="G191" s="6" t="s">
        <v>2612</v>
      </c>
      <c r="H191" s="6" t="s">
        <v>2617</v>
      </c>
      <c r="I191" s="6" t="s">
        <v>2772</v>
      </c>
      <c r="J191" s="6" t="s">
        <v>3307</v>
      </c>
      <c r="K191" s="6">
        <v>17</v>
      </c>
    </row>
    <row r="192" spans="1:11" x14ac:dyDescent="0.3">
      <c r="A192" s="6" t="s">
        <v>201</v>
      </c>
      <c r="B192" s="6" t="s">
        <v>1497</v>
      </c>
      <c r="C192" s="7">
        <v>31714</v>
      </c>
      <c r="D192" s="8">
        <v>37527</v>
      </c>
      <c r="E192" s="6" t="s">
        <v>2599</v>
      </c>
      <c r="F192" s="6">
        <v>99999</v>
      </c>
      <c r="G192" s="6" t="s">
        <v>2610</v>
      </c>
      <c r="H192" s="6" t="s">
        <v>2617</v>
      </c>
      <c r="I192" s="6" t="s">
        <v>2785</v>
      </c>
      <c r="J192" s="6" t="s">
        <v>3310</v>
      </c>
      <c r="K192" s="6">
        <v>23</v>
      </c>
    </row>
    <row r="193" spans="1:11" x14ac:dyDescent="0.3">
      <c r="A193" s="6" t="s">
        <v>202</v>
      </c>
      <c r="B193" s="6" t="s">
        <v>1498</v>
      </c>
      <c r="C193" s="7">
        <v>36868</v>
      </c>
      <c r="D193" s="8">
        <v>43464</v>
      </c>
      <c r="E193" s="6" t="s">
        <v>2602</v>
      </c>
      <c r="F193" s="6">
        <v>134731</v>
      </c>
      <c r="G193" s="6" t="s">
        <v>2614</v>
      </c>
      <c r="H193" s="6" t="s">
        <v>2617</v>
      </c>
      <c r="I193" s="6" t="s">
        <v>2786</v>
      </c>
      <c r="J193" s="6" t="s">
        <v>3310</v>
      </c>
      <c r="K193" s="6">
        <v>7</v>
      </c>
    </row>
    <row r="194" spans="1:11" x14ac:dyDescent="0.3">
      <c r="A194" s="6" t="s">
        <v>203</v>
      </c>
      <c r="B194" s="6" t="s">
        <v>1499</v>
      </c>
      <c r="C194" s="7">
        <v>22490</v>
      </c>
      <c r="D194" s="8">
        <v>27787</v>
      </c>
      <c r="E194" s="6" t="s">
        <v>2602</v>
      </c>
      <c r="F194" s="6">
        <v>90561</v>
      </c>
      <c r="G194" s="6" t="s">
        <v>2615</v>
      </c>
      <c r="H194" s="6" t="s">
        <v>2616</v>
      </c>
      <c r="I194" s="6" t="s">
        <v>2787</v>
      </c>
      <c r="J194" s="6" t="s">
        <v>3310</v>
      </c>
      <c r="K194" s="6">
        <v>49</v>
      </c>
    </row>
    <row r="195" spans="1:11" x14ac:dyDescent="0.3">
      <c r="A195" s="6" t="s">
        <v>204</v>
      </c>
      <c r="B195" s="6" t="s">
        <v>1500</v>
      </c>
      <c r="C195" s="7">
        <v>33028</v>
      </c>
      <c r="D195" s="8">
        <v>42219</v>
      </c>
      <c r="E195" s="6" t="s">
        <v>2602</v>
      </c>
      <c r="F195" s="6">
        <v>195401</v>
      </c>
      <c r="G195" s="6" t="s">
        <v>2613</v>
      </c>
      <c r="H195" s="6" t="s">
        <v>2617</v>
      </c>
      <c r="I195" s="6" t="s">
        <v>2788</v>
      </c>
      <c r="J195" s="6" t="s">
        <v>3306</v>
      </c>
      <c r="K195" s="6">
        <v>10</v>
      </c>
    </row>
    <row r="196" spans="1:11" x14ac:dyDescent="0.3">
      <c r="A196" s="6" t="s">
        <v>205</v>
      </c>
      <c r="B196" s="6" t="s">
        <v>1501</v>
      </c>
      <c r="C196" s="7">
        <v>26606</v>
      </c>
      <c r="D196" s="8">
        <v>44146</v>
      </c>
      <c r="E196" s="6" t="s">
        <v>2601</v>
      </c>
      <c r="F196" s="6">
        <v>122332</v>
      </c>
      <c r="G196" s="6" t="s">
        <v>2614</v>
      </c>
      <c r="H196" s="6" t="s">
        <v>2616</v>
      </c>
      <c r="I196" s="6" t="s">
        <v>2789</v>
      </c>
      <c r="J196" s="6" t="s">
        <v>3309</v>
      </c>
      <c r="K196" s="6">
        <v>5</v>
      </c>
    </row>
    <row r="197" spans="1:11" x14ac:dyDescent="0.3">
      <c r="A197" s="6" t="s">
        <v>206</v>
      </c>
      <c r="B197" s="6" t="s">
        <v>1502</v>
      </c>
      <c r="C197" s="7">
        <v>30247</v>
      </c>
      <c r="D197" s="8">
        <v>34691</v>
      </c>
      <c r="E197" s="6" t="s">
        <v>2605</v>
      </c>
      <c r="F197" s="6">
        <v>179271</v>
      </c>
      <c r="G197" s="6" t="s">
        <v>2610</v>
      </c>
      <c r="H197" s="6" t="s">
        <v>2616</v>
      </c>
      <c r="I197" s="6" t="s">
        <v>2790</v>
      </c>
      <c r="J197" s="6" t="s">
        <v>3306</v>
      </c>
      <c r="K197" s="6">
        <v>31</v>
      </c>
    </row>
    <row r="198" spans="1:11" x14ac:dyDescent="0.3">
      <c r="A198" s="6" t="s">
        <v>207</v>
      </c>
      <c r="B198" s="6" t="s">
        <v>1503</v>
      </c>
      <c r="C198" s="7">
        <v>32890</v>
      </c>
      <c r="D198" s="8">
        <v>29504</v>
      </c>
      <c r="E198" s="6" t="s">
        <v>2605</v>
      </c>
      <c r="F198" s="6">
        <v>42836</v>
      </c>
      <c r="G198" s="6" t="s">
        <v>2612</v>
      </c>
      <c r="H198" s="6" t="s">
        <v>2616</v>
      </c>
      <c r="I198" s="6" t="s">
        <v>2673</v>
      </c>
      <c r="J198" s="6" t="s">
        <v>3309</v>
      </c>
      <c r="K198" s="6">
        <v>45</v>
      </c>
    </row>
    <row r="199" spans="1:11" x14ac:dyDescent="0.3">
      <c r="A199" s="6" t="s">
        <v>208</v>
      </c>
      <c r="B199" s="6" t="s">
        <v>1504</v>
      </c>
      <c r="C199" s="7">
        <v>30980</v>
      </c>
      <c r="D199" s="8">
        <v>43554</v>
      </c>
      <c r="E199" s="6" t="s">
        <v>2601</v>
      </c>
      <c r="F199" s="6">
        <v>54996</v>
      </c>
      <c r="G199" s="6" t="s">
        <v>2608</v>
      </c>
      <c r="H199" s="6" t="s">
        <v>2616</v>
      </c>
      <c r="I199" s="6" t="s">
        <v>2791</v>
      </c>
      <c r="J199" s="6" t="s">
        <v>3305</v>
      </c>
      <c r="K199" s="6">
        <v>6</v>
      </c>
    </row>
    <row r="200" spans="1:11" x14ac:dyDescent="0.3">
      <c r="A200" s="6" t="s">
        <v>209</v>
      </c>
      <c r="B200" s="6" t="s">
        <v>1505</v>
      </c>
      <c r="C200" s="7">
        <v>26540</v>
      </c>
      <c r="D200" s="8">
        <v>42478</v>
      </c>
      <c r="E200" s="6" t="s">
        <v>2599</v>
      </c>
      <c r="F200" s="6">
        <v>29694</v>
      </c>
      <c r="G200" s="6" t="s">
        <v>2609</v>
      </c>
      <c r="H200" s="6" t="s">
        <v>2616</v>
      </c>
      <c r="I200" s="6" t="s">
        <v>2785</v>
      </c>
      <c r="J200" s="6" t="s">
        <v>3307</v>
      </c>
      <c r="K200" s="6">
        <v>9</v>
      </c>
    </row>
    <row r="201" spans="1:11" x14ac:dyDescent="0.3">
      <c r="A201" s="6" t="s">
        <v>210</v>
      </c>
      <c r="B201" s="6" t="s">
        <v>1506</v>
      </c>
      <c r="C201" s="7">
        <v>30143</v>
      </c>
      <c r="D201" s="8">
        <v>40215</v>
      </c>
      <c r="E201" s="6" t="s">
        <v>2601</v>
      </c>
      <c r="F201" s="6">
        <v>125701</v>
      </c>
      <c r="G201" s="6" t="s">
        <v>2615</v>
      </c>
      <c r="H201" s="6" t="s">
        <v>2617</v>
      </c>
      <c r="I201" s="6" t="s">
        <v>2619</v>
      </c>
      <c r="J201" s="6" t="s">
        <v>3307</v>
      </c>
      <c r="K201" s="6">
        <v>15</v>
      </c>
    </row>
    <row r="202" spans="1:11" x14ac:dyDescent="0.3">
      <c r="A202" s="6" t="s">
        <v>211</v>
      </c>
      <c r="B202" s="6" t="s">
        <v>1507</v>
      </c>
      <c r="C202" s="7">
        <v>33303</v>
      </c>
      <c r="D202" s="8">
        <v>40434</v>
      </c>
      <c r="E202" s="6" t="s">
        <v>2601</v>
      </c>
      <c r="F202" s="6">
        <v>139016</v>
      </c>
      <c r="G202" s="6" t="s">
        <v>2607</v>
      </c>
      <c r="H202" s="6" t="s">
        <v>2616</v>
      </c>
      <c r="I202" s="6" t="s">
        <v>2792</v>
      </c>
      <c r="J202" s="6" t="s">
        <v>3307</v>
      </c>
      <c r="K202" s="6">
        <v>15</v>
      </c>
    </row>
    <row r="203" spans="1:11" x14ac:dyDescent="0.3">
      <c r="A203" s="6" t="s">
        <v>212</v>
      </c>
      <c r="B203" s="6" t="s">
        <v>1508</v>
      </c>
      <c r="C203" s="7">
        <v>23102</v>
      </c>
      <c r="D203" s="8">
        <v>29216</v>
      </c>
      <c r="E203" s="6" t="s">
        <v>2605</v>
      </c>
      <c r="F203" s="6">
        <v>83961</v>
      </c>
      <c r="G203" s="6" t="s">
        <v>2609</v>
      </c>
      <c r="H203" s="6" t="s">
        <v>2616</v>
      </c>
      <c r="I203" s="6" t="s">
        <v>2793</v>
      </c>
      <c r="J203" s="6" t="s">
        <v>3305</v>
      </c>
      <c r="K203" s="6">
        <v>46</v>
      </c>
    </row>
    <row r="204" spans="1:11" x14ac:dyDescent="0.3">
      <c r="A204" s="6" t="s">
        <v>213</v>
      </c>
      <c r="B204" s="6" t="s">
        <v>1509</v>
      </c>
      <c r="C204" s="7">
        <v>33650</v>
      </c>
      <c r="D204" s="8">
        <v>28979</v>
      </c>
      <c r="E204" s="6" t="s">
        <v>2601</v>
      </c>
      <c r="F204" s="6">
        <v>90088</v>
      </c>
      <c r="G204" s="6" t="s">
        <v>2613</v>
      </c>
      <c r="H204" s="6" t="s">
        <v>2617</v>
      </c>
      <c r="I204" s="6" t="s">
        <v>2794</v>
      </c>
      <c r="J204" s="6" t="s">
        <v>3310</v>
      </c>
      <c r="K204" s="6">
        <v>46</v>
      </c>
    </row>
    <row r="205" spans="1:11" x14ac:dyDescent="0.3">
      <c r="A205" s="6" t="s">
        <v>214</v>
      </c>
      <c r="B205" s="6" t="s">
        <v>1510</v>
      </c>
      <c r="C205" s="7">
        <v>25453</v>
      </c>
      <c r="D205" s="8">
        <v>31125</v>
      </c>
      <c r="E205" s="6" t="s">
        <v>2603</v>
      </c>
      <c r="F205" s="6">
        <v>65963</v>
      </c>
      <c r="G205" s="6" t="s">
        <v>2608</v>
      </c>
      <c r="H205" s="6" t="s">
        <v>2616</v>
      </c>
      <c r="I205" s="6" t="s">
        <v>2795</v>
      </c>
      <c r="J205" s="6" t="s">
        <v>3304</v>
      </c>
      <c r="K205" s="6">
        <v>40</v>
      </c>
    </row>
    <row r="206" spans="1:11" x14ac:dyDescent="0.3">
      <c r="A206" s="6" t="s">
        <v>215</v>
      </c>
      <c r="B206" s="6" t="s">
        <v>1511</v>
      </c>
      <c r="C206" s="7">
        <v>36411</v>
      </c>
      <c r="D206" s="8">
        <v>38078</v>
      </c>
      <c r="E206" s="6" t="s">
        <v>2601</v>
      </c>
      <c r="F206" s="6">
        <v>174831</v>
      </c>
      <c r="G206" s="6" t="s">
        <v>2609</v>
      </c>
      <c r="H206" s="6" t="s">
        <v>2617</v>
      </c>
      <c r="I206" s="6" t="s">
        <v>2796</v>
      </c>
      <c r="J206" s="6" t="s">
        <v>3306</v>
      </c>
      <c r="K206" s="6">
        <v>21</v>
      </c>
    </row>
    <row r="207" spans="1:11" x14ac:dyDescent="0.3">
      <c r="A207" s="6" t="s">
        <v>216</v>
      </c>
      <c r="B207" s="6" t="s">
        <v>1512</v>
      </c>
      <c r="C207" s="7">
        <v>31922</v>
      </c>
      <c r="D207" s="8">
        <v>43097</v>
      </c>
      <c r="E207" s="6" t="s">
        <v>2604</v>
      </c>
      <c r="F207" s="6">
        <v>194883</v>
      </c>
      <c r="G207" s="6" t="s">
        <v>2607</v>
      </c>
      <c r="H207" s="6" t="s">
        <v>2617</v>
      </c>
      <c r="I207" s="6" t="s">
        <v>2797</v>
      </c>
      <c r="J207" s="6" t="s">
        <v>3305</v>
      </c>
      <c r="K207" s="6">
        <v>8</v>
      </c>
    </row>
    <row r="208" spans="1:11" x14ac:dyDescent="0.3">
      <c r="A208" s="6" t="s">
        <v>217</v>
      </c>
      <c r="B208" s="6" t="s">
        <v>1513</v>
      </c>
      <c r="C208" s="7">
        <v>26317</v>
      </c>
      <c r="D208" s="8">
        <v>36943</v>
      </c>
      <c r="E208" s="6" t="s">
        <v>2599</v>
      </c>
      <c r="F208" s="6">
        <v>113337</v>
      </c>
      <c r="G208" s="6" t="s">
        <v>2607</v>
      </c>
      <c r="H208" s="6" t="s">
        <v>2616</v>
      </c>
      <c r="I208" s="6" t="s">
        <v>2798</v>
      </c>
      <c r="J208" s="6" t="s">
        <v>3307</v>
      </c>
      <c r="K208" s="6">
        <v>24</v>
      </c>
    </row>
    <row r="209" spans="1:12" x14ac:dyDescent="0.3">
      <c r="A209" s="6" t="s">
        <v>218</v>
      </c>
      <c r="B209" s="6" t="s">
        <v>1514</v>
      </c>
      <c r="C209" s="7">
        <v>29456</v>
      </c>
      <c r="D209" s="8">
        <v>30937</v>
      </c>
      <c r="E209" s="6" t="s">
        <v>2600</v>
      </c>
      <c r="F209" s="6">
        <v>62056</v>
      </c>
      <c r="G209" s="6" t="s">
        <v>2611</v>
      </c>
      <c r="H209" s="6" t="s">
        <v>2617</v>
      </c>
      <c r="I209" s="6" t="s">
        <v>2799</v>
      </c>
      <c r="J209" s="6" t="s">
        <v>3305</v>
      </c>
      <c r="K209" s="6">
        <v>41</v>
      </c>
    </row>
    <row r="210" spans="1:12" x14ac:dyDescent="0.3">
      <c r="A210" s="6" t="s">
        <v>219</v>
      </c>
      <c r="B210" s="6" t="s">
        <v>1515</v>
      </c>
      <c r="C210" s="7">
        <v>25694</v>
      </c>
      <c r="D210" s="8">
        <v>26765</v>
      </c>
      <c r="E210" s="6" t="s">
        <v>2604</v>
      </c>
      <c r="F210" s="6">
        <v>176823</v>
      </c>
      <c r="G210" s="6" t="s">
        <v>2606</v>
      </c>
      <c r="H210" s="6" t="s">
        <v>2616</v>
      </c>
      <c r="I210" s="6" t="s">
        <v>2800</v>
      </c>
      <c r="J210" s="6" t="s">
        <v>3304</v>
      </c>
      <c r="K210" s="6">
        <v>52</v>
      </c>
    </row>
    <row r="211" spans="1:12" x14ac:dyDescent="0.3">
      <c r="A211" s="6" t="s">
        <v>220</v>
      </c>
      <c r="B211" s="6" t="s">
        <v>1516</v>
      </c>
      <c r="C211" s="7">
        <v>22359</v>
      </c>
      <c r="D211" s="8">
        <v>30652</v>
      </c>
      <c r="E211" s="6" t="s">
        <v>2602</v>
      </c>
      <c r="F211" s="6">
        <v>185101</v>
      </c>
      <c r="G211" s="6" t="s">
        <v>2614</v>
      </c>
      <c r="H211" s="6" t="s">
        <v>2616</v>
      </c>
      <c r="I211" s="6" t="s">
        <v>2801</v>
      </c>
      <c r="J211" s="6" t="s">
        <v>3305</v>
      </c>
      <c r="K211" s="6">
        <v>42</v>
      </c>
    </row>
    <row r="212" spans="1:12" x14ac:dyDescent="0.3">
      <c r="A212" s="6" t="s">
        <v>221</v>
      </c>
      <c r="B212" s="6" t="s">
        <v>1517</v>
      </c>
      <c r="C212" s="7">
        <v>32006</v>
      </c>
      <c r="D212" s="8">
        <v>42316</v>
      </c>
      <c r="E212" s="6" t="s">
        <v>2604</v>
      </c>
      <c r="F212" s="6">
        <v>141580</v>
      </c>
      <c r="G212" s="6" t="s">
        <v>2610</v>
      </c>
      <c r="H212" s="6" t="s">
        <v>2616</v>
      </c>
      <c r="I212" s="6" t="s">
        <v>2771</v>
      </c>
      <c r="J212" s="6" t="s">
        <v>3309</v>
      </c>
      <c r="K212" s="6">
        <v>10</v>
      </c>
    </row>
    <row r="213" spans="1:12" x14ac:dyDescent="0.3">
      <c r="A213" s="6" t="s">
        <v>222</v>
      </c>
      <c r="B213" s="6" t="s">
        <v>1518</v>
      </c>
      <c r="C213" s="7">
        <v>29548</v>
      </c>
      <c r="D213" s="8">
        <v>26409</v>
      </c>
      <c r="E213" s="6" t="s">
        <v>2600</v>
      </c>
      <c r="F213" s="6">
        <v>113976</v>
      </c>
      <c r="G213" s="6" t="s">
        <v>2608</v>
      </c>
      <c r="H213" s="6" t="s">
        <v>2616</v>
      </c>
      <c r="I213" s="6" t="s">
        <v>2802</v>
      </c>
      <c r="J213" s="6" t="s">
        <v>3310</v>
      </c>
      <c r="K213" s="6">
        <v>53</v>
      </c>
    </row>
    <row r="214" spans="1:12" x14ac:dyDescent="0.3">
      <c r="A214" s="6" t="s">
        <v>223</v>
      </c>
      <c r="B214" s="6" t="s">
        <v>1519</v>
      </c>
      <c r="C214" s="7">
        <v>26671</v>
      </c>
      <c r="D214" s="8">
        <v>28185</v>
      </c>
      <c r="E214" s="6" t="s">
        <v>2600</v>
      </c>
      <c r="F214" s="6">
        <v>77824</v>
      </c>
      <c r="G214" s="6" t="s">
        <v>2615</v>
      </c>
      <c r="H214" s="6" t="s">
        <v>2617</v>
      </c>
      <c r="I214" s="6" t="s">
        <v>2803</v>
      </c>
      <c r="J214" s="6" t="s">
        <v>3307</v>
      </c>
      <c r="K214" s="6">
        <v>48</v>
      </c>
    </row>
    <row r="215" spans="1:12" x14ac:dyDescent="0.3">
      <c r="A215" s="6" t="s">
        <v>224</v>
      </c>
      <c r="B215" s="6" t="s">
        <v>1520</v>
      </c>
      <c r="C215" s="7">
        <v>26533</v>
      </c>
      <c r="D215" s="8">
        <v>28125</v>
      </c>
      <c r="E215" s="6" t="s">
        <v>2605</v>
      </c>
      <c r="F215" s="6">
        <v>156032</v>
      </c>
      <c r="G215" s="6" t="s">
        <v>2613</v>
      </c>
      <c r="H215" s="6" t="s">
        <v>2616</v>
      </c>
      <c r="I215" s="6" t="s">
        <v>2804</v>
      </c>
      <c r="J215" s="6" t="s">
        <v>3310</v>
      </c>
      <c r="K215" s="6">
        <v>49</v>
      </c>
    </row>
    <row r="216" spans="1:12" x14ac:dyDescent="0.3">
      <c r="A216" s="6" t="s">
        <v>225</v>
      </c>
      <c r="B216" s="6" t="s">
        <v>1521</v>
      </c>
      <c r="C216" s="7">
        <v>27457</v>
      </c>
      <c r="D216" s="8">
        <v>32971</v>
      </c>
      <c r="E216" s="6" t="s">
        <v>2599</v>
      </c>
      <c r="F216" s="6">
        <v>126244</v>
      </c>
      <c r="G216" s="6" t="s">
        <v>2611</v>
      </c>
      <c r="H216" s="6" t="s">
        <v>2617</v>
      </c>
      <c r="I216" s="6" t="s">
        <v>2796</v>
      </c>
      <c r="J216" s="6" t="s">
        <v>3309</v>
      </c>
      <c r="K216" s="6">
        <v>35</v>
      </c>
    </row>
    <row r="217" spans="1:12" x14ac:dyDescent="0.3">
      <c r="A217" s="6" t="s">
        <v>226</v>
      </c>
      <c r="B217" s="6" t="s">
        <v>1522</v>
      </c>
      <c r="C217" s="7">
        <v>28520</v>
      </c>
      <c r="D217" s="8">
        <v>40973</v>
      </c>
      <c r="E217" s="6" t="s">
        <v>2599</v>
      </c>
      <c r="F217" s="6">
        <v>26678</v>
      </c>
      <c r="G217" s="6" t="s">
        <v>2608</v>
      </c>
      <c r="H217" s="6" t="s">
        <v>2616</v>
      </c>
      <c r="I217" s="6" t="s">
        <v>2805</v>
      </c>
      <c r="J217" s="6" t="s">
        <v>3308</v>
      </c>
      <c r="K217" s="6">
        <v>13</v>
      </c>
    </row>
    <row r="218" spans="1:12" x14ac:dyDescent="0.3">
      <c r="A218" s="6" t="s">
        <v>227</v>
      </c>
      <c r="B218" s="6" t="s">
        <v>1523</v>
      </c>
      <c r="C218" s="7">
        <v>30933</v>
      </c>
      <c r="D218" s="8">
        <v>34633</v>
      </c>
      <c r="E218" s="6" t="s">
        <v>2603</v>
      </c>
      <c r="F218" s="6">
        <v>176758</v>
      </c>
      <c r="G218" s="6" t="s">
        <v>2609</v>
      </c>
      <c r="H218" s="6" t="s">
        <v>2616</v>
      </c>
      <c r="I218" s="6" t="s">
        <v>2791</v>
      </c>
      <c r="J218" s="6" t="s">
        <v>3306</v>
      </c>
      <c r="K218" s="6">
        <v>31</v>
      </c>
    </row>
    <row r="219" spans="1:12" x14ac:dyDescent="0.3">
      <c r="A219" s="6" t="s">
        <v>228</v>
      </c>
      <c r="B219" s="6" t="s">
        <v>1524</v>
      </c>
      <c r="C219" s="7">
        <v>35887</v>
      </c>
      <c r="D219" s="8">
        <v>38998</v>
      </c>
      <c r="E219" s="6" t="s">
        <v>2600</v>
      </c>
      <c r="F219" s="6">
        <v>86777</v>
      </c>
      <c r="G219" s="6" t="s">
        <v>2615</v>
      </c>
      <c r="H219" s="6" t="s">
        <v>2617</v>
      </c>
      <c r="I219" s="6" t="s">
        <v>2806</v>
      </c>
      <c r="J219" s="6" t="s">
        <v>3307</v>
      </c>
      <c r="K219" s="6">
        <v>19</v>
      </c>
    </row>
    <row r="220" spans="1:12" x14ac:dyDescent="0.3">
      <c r="A220" s="6" t="s">
        <v>229</v>
      </c>
      <c r="B220" s="6" t="s">
        <v>1525</v>
      </c>
      <c r="C220" s="7">
        <v>29569</v>
      </c>
      <c r="D220" s="8">
        <v>35347</v>
      </c>
      <c r="E220" s="6" t="s">
        <v>2602</v>
      </c>
      <c r="F220" s="6">
        <v>87547</v>
      </c>
      <c r="G220" s="6" t="s">
        <v>2615</v>
      </c>
      <c r="H220" s="6" t="s">
        <v>2617</v>
      </c>
      <c r="I220" s="6" t="s">
        <v>2807</v>
      </c>
      <c r="J220" s="6" t="s">
        <v>3309</v>
      </c>
      <c r="K220" s="6">
        <v>29</v>
      </c>
    </row>
    <row r="221" spans="1:12" x14ac:dyDescent="0.3">
      <c r="A221" s="6" t="s">
        <v>230</v>
      </c>
      <c r="B221" s="6" t="s">
        <v>1526</v>
      </c>
      <c r="C221" s="6"/>
      <c r="D221" s="7">
        <v>24453</v>
      </c>
      <c r="E221" s="8">
        <v>36989</v>
      </c>
      <c r="F221" s="6" t="s">
        <v>2602</v>
      </c>
      <c r="G221" s="6">
        <v>56437</v>
      </c>
      <c r="H221" s="6" t="s">
        <v>2611</v>
      </c>
      <c r="I221" s="6" t="s">
        <v>2616</v>
      </c>
      <c r="J221" s="6" t="s">
        <v>2793</v>
      </c>
      <c r="K221" s="6" t="s">
        <v>3310</v>
      </c>
      <c r="L221" s="6">
        <v>24</v>
      </c>
    </row>
    <row r="222" spans="1:12" x14ac:dyDescent="0.3">
      <c r="A222" s="6" t="s">
        <v>231</v>
      </c>
      <c r="B222" s="6" t="s">
        <v>1527</v>
      </c>
      <c r="C222" s="7">
        <v>30184</v>
      </c>
      <c r="D222" s="8">
        <v>28219</v>
      </c>
      <c r="E222" s="6" t="s">
        <v>2602</v>
      </c>
      <c r="F222" s="6">
        <v>189895</v>
      </c>
      <c r="G222" s="6" t="s">
        <v>2610</v>
      </c>
      <c r="H222" s="6" t="s">
        <v>2617</v>
      </c>
      <c r="I222" s="6" t="s">
        <v>2808</v>
      </c>
      <c r="J222" s="6" t="s">
        <v>3307</v>
      </c>
      <c r="K222" s="6">
        <v>48</v>
      </c>
    </row>
    <row r="223" spans="1:12" x14ac:dyDescent="0.3">
      <c r="A223" s="6" t="s">
        <v>232</v>
      </c>
      <c r="B223" s="6" t="s">
        <v>1528</v>
      </c>
      <c r="C223" s="7">
        <v>34475</v>
      </c>
      <c r="D223" s="8">
        <v>30488</v>
      </c>
      <c r="E223" s="6" t="s">
        <v>2600</v>
      </c>
      <c r="F223" s="6">
        <v>168429</v>
      </c>
      <c r="G223" s="6" t="s">
        <v>2606</v>
      </c>
      <c r="H223" s="6" t="s">
        <v>2616</v>
      </c>
      <c r="I223" s="6" t="s">
        <v>2809</v>
      </c>
      <c r="J223" s="6" t="s">
        <v>3305</v>
      </c>
      <c r="K223" s="6">
        <v>42</v>
      </c>
    </row>
    <row r="224" spans="1:12" x14ac:dyDescent="0.3">
      <c r="A224" s="6" t="s">
        <v>233</v>
      </c>
      <c r="B224" s="6" t="s">
        <v>1529</v>
      </c>
      <c r="C224" s="7">
        <v>28874</v>
      </c>
      <c r="D224" s="8">
        <v>38471</v>
      </c>
      <c r="E224" s="6" t="s">
        <v>2604</v>
      </c>
      <c r="F224" s="6">
        <v>135508</v>
      </c>
      <c r="G224" s="6" t="s">
        <v>2615</v>
      </c>
      <c r="H224" s="6" t="s">
        <v>2617</v>
      </c>
      <c r="I224" s="6" t="s">
        <v>2810</v>
      </c>
      <c r="J224" s="6" t="s">
        <v>3309</v>
      </c>
      <c r="K224" s="6">
        <v>20</v>
      </c>
    </row>
    <row r="225" spans="1:11" x14ac:dyDescent="0.3">
      <c r="A225" s="6" t="s">
        <v>234</v>
      </c>
      <c r="B225" s="6" t="s">
        <v>1530</v>
      </c>
      <c r="C225" s="7">
        <v>26683</v>
      </c>
      <c r="D225" s="8">
        <v>42027</v>
      </c>
      <c r="E225" s="6" t="s">
        <v>2600</v>
      </c>
      <c r="F225" s="6">
        <v>165255</v>
      </c>
      <c r="G225" s="6" t="s">
        <v>2614</v>
      </c>
      <c r="H225" s="6" t="s">
        <v>2617</v>
      </c>
      <c r="I225" s="6" t="s">
        <v>2811</v>
      </c>
      <c r="J225" s="6" t="s">
        <v>3310</v>
      </c>
      <c r="K225" s="6">
        <v>10</v>
      </c>
    </row>
    <row r="226" spans="1:11" x14ac:dyDescent="0.3">
      <c r="A226" s="6" t="s">
        <v>235</v>
      </c>
      <c r="B226" s="6" t="s">
        <v>1531</v>
      </c>
      <c r="C226" s="7">
        <v>24933</v>
      </c>
      <c r="D226" s="8">
        <v>27655</v>
      </c>
      <c r="E226" s="6" t="s">
        <v>2600</v>
      </c>
      <c r="F226" s="6">
        <v>140480</v>
      </c>
      <c r="G226" s="6" t="s">
        <v>2615</v>
      </c>
      <c r="H226" s="6" t="s">
        <v>2617</v>
      </c>
      <c r="I226" s="6" t="s">
        <v>2796</v>
      </c>
      <c r="J226" s="6" t="s">
        <v>3304</v>
      </c>
      <c r="K226" s="6">
        <v>50</v>
      </c>
    </row>
    <row r="227" spans="1:11" x14ac:dyDescent="0.3">
      <c r="A227" s="6" t="s">
        <v>236</v>
      </c>
      <c r="B227" s="6" t="s">
        <v>1532</v>
      </c>
      <c r="C227" s="7">
        <v>27326</v>
      </c>
      <c r="D227" s="8">
        <v>41558</v>
      </c>
      <c r="E227" s="6" t="s">
        <v>2600</v>
      </c>
      <c r="F227" s="6">
        <v>106994</v>
      </c>
      <c r="G227" s="6" t="s">
        <v>2607</v>
      </c>
      <c r="H227" s="6" t="s">
        <v>2616</v>
      </c>
      <c r="I227" s="6" t="s">
        <v>2812</v>
      </c>
      <c r="J227" s="6" t="s">
        <v>3307</v>
      </c>
      <c r="K227" s="6">
        <v>12</v>
      </c>
    </row>
    <row r="228" spans="1:11" x14ac:dyDescent="0.3">
      <c r="A228" s="6" t="s">
        <v>237</v>
      </c>
      <c r="B228" s="6" t="s">
        <v>1533</v>
      </c>
      <c r="C228" s="7">
        <v>28591</v>
      </c>
      <c r="D228" s="8">
        <v>42164</v>
      </c>
      <c r="E228" s="6" t="s">
        <v>2604</v>
      </c>
      <c r="F228" s="6">
        <v>192699</v>
      </c>
      <c r="G228" s="6" t="s">
        <v>2608</v>
      </c>
      <c r="H228" s="6" t="s">
        <v>2616</v>
      </c>
      <c r="I228" s="6" t="s">
        <v>2767</v>
      </c>
      <c r="J228" s="6" t="s">
        <v>3310</v>
      </c>
      <c r="K228" s="6">
        <v>10</v>
      </c>
    </row>
    <row r="229" spans="1:11" x14ac:dyDescent="0.3">
      <c r="A229" s="6" t="s">
        <v>238</v>
      </c>
      <c r="B229" s="6" t="s">
        <v>1534</v>
      </c>
      <c r="C229" s="7">
        <v>35687</v>
      </c>
      <c r="D229" s="8">
        <v>39535</v>
      </c>
      <c r="E229" s="6" t="s">
        <v>2599</v>
      </c>
      <c r="F229" s="6">
        <v>170232</v>
      </c>
      <c r="G229" s="6" t="s">
        <v>2610</v>
      </c>
      <c r="H229" s="6" t="s">
        <v>2617</v>
      </c>
      <c r="I229" s="6" t="s">
        <v>2813</v>
      </c>
      <c r="J229" s="6" t="s">
        <v>3309</v>
      </c>
      <c r="K229" s="6">
        <v>17</v>
      </c>
    </row>
    <row r="230" spans="1:11" x14ac:dyDescent="0.3">
      <c r="A230" s="6" t="s">
        <v>239</v>
      </c>
      <c r="B230" s="6" t="s">
        <v>1535</v>
      </c>
      <c r="C230" s="7">
        <v>30000</v>
      </c>
      <c r="D230" s="8">
        <v>37827</v>
      </c>
      <c r="E230" s="6" t="s">
        <v>2599</v>
      </c>
      <c r="F230" s="6">
        <v>37157</v>
      </c>
      <c r="G230" s="6" t="s">
        <v>2607</v>
      </c>
      <c r="H230" s="6" t="s">
        <v>2617</v>
      </c>
      <c r="I230" s="6" t="s">
        <v>2814</v>
      </c>
      <c r="J230" s="6" t="s">
        <v>3305</v>
      </c>
      <c r="K230" s="6">
        <v>22</v>
      </c>
    </row>
    <row r="231" spans="1:11" x14ac:dyDescent="0.3">
      <c r="A231" s="6" t="s">
        <v>240</v>
      </c>
      <c r="B231" s="6" t="s">
        <v>1536</v>
      </c>
      <c r="C231" s="7">
        <v>21690</v>
      </c>
      <c r="D231" s="8">
        <v>40826</v>
      </c>
      <c r="E231" s="6" t="s">
        <v>2602</v>
      </c>
      <c r="F231" s="6">
        <v>45021</v>
      </c>
      <c r="G231" s="6" t="s">
        <v>2612</v>
      </c>
      <c r="H231" s="6" t="s">
        <v>2616</v>
      </c>
      <c r="I231" s="6" t="s">
        <v>2740</v>
      </c>
      <c r="J231" s="6" t="s">
        <v>3305</v>
      </c>
      <c r="K231" s="6">
        <v>14</v>
      </c>
    </row>
    <row r="232" spans="1:11" x14ac:dyDescent="0.3">
      <c r="A232" s="6" t="s">
        <v>241</v>
      </c>
      <c r="B232" s="6" t="s">
        <v>1537</v>
      </c>
      <c r="C232" s="7">
        <v>29500</v>
      </c>
      <c r="D232" s="8">
        <v>28342</v>
      </c>
      <c r="E232" s="6" t="s">
        <v>2604</v>
      </c>
      <c r="F232" s="6">
        <v>129347</v>
      </c>
      <c r="G232" s="6" t="s">
        <v>2609</v>
      </c>
      <c r="H232" s="6" t="s">
        <v>2617</v>
      </c>
      <c r="I232" s="6" t="s">
        <v>2815</v>
      </c>
      <c r="J232" s="6" t="s">
        <v>3309</v>
      </c>
      <c r="K232" s="6">
        <v>48</v>
      </c>
    </row>
    <row r="233" spans="1:11" x14ac:dyDescent="0.3">
      <c r="A233" s="6" t="s">
        <v>242</v>
      </c>
      <c r="B233" s="6" t="s">
        <v>1538</v>
      </c>
      <c r="C233" s="7">
        <v>30692</v>
      </c>
      <c r="D233" s="8">
        <v>41204</v>
      </c>
      <c r="E233" s="6" t="s">
        <v>2602</v>
      </c>
      <c r="F233" s="6">
        <v>161813</v>
      </c>
      <c r="G233" s="6" t="s">
        <v>2610</v>
      </c>
      <c r="H233" s="6" t="s">
        <v>2617</v>
      </c>
      <c r="I233" s="6" t="s">
        <v>2630</v>
      </c>
      <c r="J233" s="6" t="s">
        <v>3310</v>
      </c>
      <c r="K233" s="6">
        <v>13</v>
      </c>
    </row>
    <row r="234" spans="1:11" x14ac:dyDescent="0.3">
      <c r="A234" s="6" t="s">
        <v>243</v>
      </c>
      <c r="B234" s="6" t="s">
        <v>1539</v>
      </c>
      <c r="C234" s="7">
        <v>36947</v>
      </c>
      <c r="D234" s="8">
        <v>29949</v>
      </c>
      <c r="E234" s="6" t="s">
        <v>2601</v>
      </c>
      <c r="F234" s="6">
        <v>195099</v>
      </c>
      <c r="G234" s="6" t="s">
        <v>2613</v>
      </c>
      <c r="H234" s="6" t="s">
        <v>2617</v>
      </c>
      <c r="I234" s="6" t="s">
        <v>2660</v>
      </c>
      <c r="J234" s="6" t="s">
        <v>3306</v>
      </c>
      <c r="K234" s="6">
        <v>44</v>
      </c>
    </row>
    <row r="235" spans="1:11" x14ac:dyDescent="0.3">
      <c r="A235" s="6" t="s">
        <v>244</v>
      </c>
      <c r="B235" s="6" t="s">
        <v>1540</v>
      </c>
      <c r="C235" s="7">
        <v>27655</v>
      </c>
      <c r="D235" s="8">
        <v>32499</v>
      </c>
      <c r="E235" s="6" t="s">
        <v>2603</v>
      </c>
      <c r="F235" s="6">
        <v>41472</v>
      </c>
      <c r="G235" s="6" t="s">
        <v>2612</v>
      </c>
      <c r="H235" s="6" t="s">
        <v>2616</v>
      </c>
      <c r="I235" s="6" t="s">
        <v>2816</v>
      </c>
      <c r="J235" s="6" t="s">
        <v>3309</v>
      </c>
      <c r="K235" s="6">
        <v>37</v>
      </c>
    </row>
    <row r="236" spans="1:11" x14ac:dyDescent="0.3">
      <c r="A236" s="6" t="s">
        <v>245</v>
      </c>
      <c r="B236" s="6" t="s">
        <v>1541</v>
      </c>
      <c r="C236" s="7">
        <v>25599</v>
      </c>
      <c r="D236" s="8">
        <v>28548</v>
      </c>
      <c r="E236" s="6" t="s">
        <v>2599</v>
      </c>
      <c r="F236" s="6">
        <v>102105</v>
      </c>
      <c r="G236" s="6" t="s">
        <v>2612</v>
      </c>
      <c r="H236" s="6" t="s">
        <v>2616</v>
      </c>
      <c r="I236" s="6" t="s">
        <v>2817</v>
      </c>
      <c r="J236" s="6" t="s">
        <v>3306</v>
      </c>
      <c r="K236" s="6">
        <v>47</v>
      </c>
    </row>
    <row r="237" spans="1:11" x14ac:dyDescent="0.3">
      <c r="A237" s="6" t="s">
        <v>246</v>
      </c>
      <c r="B237" s="6" t="s">
        <v>1542</v>
      </c>
      <c r="C237" s="7">
        <v>23840</v>
      </c>
      <c r="D237" s="8">
        <v>37743</v>
      </c>
      <c r="E237" s="6" t="s">
        <v>2603</v>
      </c>
      <c r="F237" s="6">
        <v>129694</v>
      </c>
      <c r="G237" s="6" t="s">
        <v>2608</v>
      </c>
      <c r="H237" s="6" t="s">
        <v>2616</v>
      </c>
      <c r="I237" s="6" t="s">
        <v>2818</v>
      </c>
      <c r="J237" s="6" t="s">
        <v>3308</v>
      </c>
      <c r="K237" s="6">
        <v>22</v>
      </c>
    </row>
    <row r="238" spans="1:11" x14ac:dyDescent="0.3">
      <c r="A238" s="6" t="s">
        <v>247</v>
      </c>
      <c r="B238" s="6" t="s">
        <v>1543</v>
      </c>
      <c r="C238" s="7">
        <v>31940</v>
      </c>
      <c r="D238" s="8">
        <v>39410</v>
      </c>
      <c r="E238" s="6" t="s">
        <v>2602</v>
      </c>
      <c r="F238" s="6">
        <v>79104</v>
      </c>
      <c r="G238" s="6" t="s">
        <v>2611</v>
      </c>
      <c r="H238" s="6" t="s">
        <v>2616</v>
      </c>
      <c r="I238" s="6" t="s">
        <v>2819</v>
      </c>
      <c r="J238" s="6" t="s">
        <v>3309</v>
      </c>
      <c r="K238" s="6">
        <v>18</v>
      </c>
    </row>
    <row r="239" spans="1:11" x14ac:dyDescent="0.3">
      <c r="A239" s="6" t="s">
        <v>248</v>
      </c>
      <c r="B239" s="6" t="s">
        <v>1544</v>
      </c>
      <c r="C239" s="7">
        <v>35667</v>
      </c>
      <c r="D239" s="8">
        <v>25907</v>
      </c>
      <c r="E239" s="6" t="s">
        <v>2601</v>
      </c>
      <c r="F239" s="6">
        <v>79632</v>
      </c>
      <c r="G239" s="6" t="s">
        <v>2612</v>
      </c>
      <c r="H239" s="6" t="s">
        <v>2616</v>
      </c>
      <c r="I239" s="6" t="s">
        <v>2820</v>
      </c>
      <c r="J239" s="6" t="s">
        <v>3309</v>
      </c>
      <c r="K239" s="6">
        <v>55</v>
      </c>
    </row>
    <row r="240" spans="1:11" x14ac:dyDescent="0.3">
      <c r="A240" s="6" t="s">
        <v>249</v>
      </c>
      <c r="B240" s="6" t="s">
        <v>1545</v>
      </c>
      <c r="C240" s="7">
        <v>22969</v>
      </c>
      <c r="D240" s="8">
        <v>35421</v>
      </c>
      <c r="E240" s="6" t="s">
        <v>2601</v>
      </c>
      <c r="F240" s="6">
        <v>72402</v>
      </c>
      <c r="G240" s="6" t="s">
        <v>2606</v>
      </c>
      <c r="H240" s="6" t="s">
        <v>2617</v>
      </c>
      <c r="I240" s="6" t="s">
        <v>2821</v>
      </c>
      <c r="J240" s="6" t="s">
        <v>3305</v>
      </c>
      <c r="K240" s="6">
        <v>29</v>
      </c>
    </row>
    <row r="241" spans="1:11" x14ac:dyDescent="0.3">
      <c r="A241" s="6" t="s">
        <v>250</v>
      </c>
      <c r="B241" s="6" t="s">
        <v>1546</v>
      </c>
      <c r="C241" s="7">
        <v>22680</v>
      </c>
      <c r="D241" s="8">
        <v>34968</v>
      </c>
      <c r="E241" s="6" t="s">
        <v>2603</v>
      </c>
      <c r="F241" s="6">
        <v>101428</v>
      </c>
      <c r="G241" s="6" t="s">
        <v>2607</v>
      </c>
      <c r="H241" s="6" t="s">
        <v>2617</v>
      </c>
      <c r="I241" s="6" t="s">
        <v>2822</v>
      </c>
      <c r="J241" s="6" t="s">
        <v>3309</v>
      </c>
      <c r="K241" s="6">
        <v>30</v>
      </c>
    </row>
    <row r="242" spans="1:11" x14ac:dyDescent="0.3">
      <c r="A242" s="6" t="s">
        <v>251</v>
      </c>
      <c r="B242" s="6" t="s">
        <v>1547</v>
      </c>
      <c r="C242" s="7">
        <v>24704</v>
      </c>
      <c r="D242" s="8">
        <v>38904</v>
      </c>
      <c r="E242" s="6" t="s">
        <v>2604</v>
      </c>
      <c r="F242" s="6">
        <v>149194</v>
      </c>
      <c r="G242" s="6" t="s">
        <v>2610</v>
      </c>
      <c r="H242" s="6" t="s">
        <v>2616</v>
      </c>
      <c r="I242" s="6" t="s">
        <v>2823</v>
      </c>
      <c r="J242" s="6" t="s">
        <v>3310</v>
      </c>
      <c r="K242" s="6">
        <v>19</v>
      </c>
    </row>
    <row r="243" spans="1:11" x14ac:dyDescent="0.3">
      <c r="A243" s="6" t="s">
        <v>252</v>
      </c>
      <c r="B243" s="6" t="s">
        <v>1548</v>
      </c>
      <c r="C243" s="7">
        <v>29648</v>
      </c>
      <c r="D243" s="8">
        <v>27576</v>
      </c>
      <c r="E243" s="6" t="s">
        <v>2599</v>
      </c>
      <c r="F243" s="6">
        <v>188027</v>
      </c>
      <c r="G243" s="6" t="s">
        <v>2606</v>
      </c>
      <c r="H243" s="6" t="s">
        <v>2617</v>
      </c>
      <c r="I243" s="6" t="s">
        <v>2824</v>
      </c>
      <c r="J243" s="6" t="s">
        <v>3306</v>
      </c>
      <c r="K243" s="6">
        <v>50</v>
      </c>
    </row>
    <row r="244" spans="1:11" x14ac:dyDescent="0.3">
      <c r="A244" s="6" t="s">
        <v>253</v>
      </c>
      <c r="B244" s="6" t="s">
        <v>1549</v>
      </c>
      <c r="C244" s="7">
        <v>30765</v>
      </c>
      <c r="D244" s="8">
        <v>40404</v>
      </c>
      <c r="E244" s="6" t="s">
        <v>2602</v>
      </c>
      <c r="F244" s="6">
        <v>143474</v>
      </c>
      <c r="G244" s="6" t="s">
        <v>2615</v>
      </c>
      <c r="H244" s="6" t="s">
        <v>2616</v>
      </c>
      <c r="I244" s="6" t="s">
        <v>2825</v>
      </c>
      <c r="J244" s="6" t="s">
        <v>3309</v>
      </c>
      <c r="K244" s="6">
        <v>15</v>
      </c>
    </row>
    <row r="245" spans="1:11" x14ac:dyDescent="0.3">
      <c r="A245" s="6" t="s">
        <v>254</v>
      </c>
      <c r="B245" s="6" t="s">
        <v>1550</v>
      </c>
      <c r="C245" s="7">
        <v>25928</v>
      </c>
      <c r="D245" s="8">
        <v>26103</v>
      </c>
      <c r="E245" s="6" t="s">
        <v>2604</v>
      </c>
      <c r="F245" s="6">
        <v>50345</v>
      </c>
      <c r="G245" s="6" t="s">
        <v>2613</v>
      </c>
      <c r="H245" s="6" t="s">
        <v>2617</v>
      </c>
      <c r="I245" s="6" t="s">
        <v>2826</v>
      </c>
      <c r="J245" s="6" t="s">
        <v>3309</v>
      </c>
      <c r="K245" s="6">
        <v>54</v>
      </c>
    </row>
    <row r="246" spans="1:11" x14ac:dyDescent="0.3">
      <c r="A246" s="6" t="s">
        <v>255</v>
      </c>
      <c r="B246" s="6" t="s">
        <v>1551</v>
      </c>
      <c r="C246" s="7">
        <v>29101</v>
      </c>
      <c r="D246" s="8">
        <v>28121</v>
      </c>
      <c r="E246" s="6" t="s">
        <v>2603</v>
      </c>
      <c r="F246" s="6">
        <v>171901</v>
      </c>
      <c r="G246" s="6" t="s">
        <v>2613</v>
      </c>
      <c r="H246" s="6" t="s">
        <v>2617</v>
      </c>
      <c r="I246" s="6" t="s">
        <v>2827</v>
      </c>
      <c r="J246" s="6" t="s">
        <v>3309</v>
      </c>
      <c r="K246" s="6">
        <v>49</v>
      </c>
    </row>
    <row r="247" spans="1:11" x14ac:dyDescent="0.3">
      <c r="A247" s="6" t="s">
        <v>256</v>
      </c>
      <c r="B247" s="6" t="s">
        <v>1552</v>
      </c>
      <c r="C247" s="7">
        <v>32334</v>
      </c>
      <c r="D247" s="8">
        <v>41738</v>
      </c>
      <c r="E247" s="6" t="s">
        <v>2602</v>
      </c>
      <c r="F247" s="6">
        <v>172910</v>
      </c>
      <c r="G247" s="6" t="s">
        <v>2612</v>
      </c>
      <c r="H247" s="6" t="s">
        <v>2617</v>
      </c>
      <c r="I247" s="6" t="s">
        <v>2828</v>
      </c>
      <c r="J247" s="6" t="s">
        <v>3308</v>
      </c>
      <c r="K247" s="6">
        <v>11</v>
      </c>
    </row>
    <row r="248" spans="1:11" x14ac:dyDescent="0.3">
      <c r="A248" s="6" t="s">
        <v>257</v>
      </c>
      <c r="B248" s="6" t="s">
        <v>1553</v>
      </c>
      <c r="C248" s="7">
        <v>31699</v>
      </c>
      <c r="D248" s="8">
        <v>41403</v>
      </c>
      <c r="E248" s="6" t="s">
        <v>2605</v>
      </c>
      <c r="F248" s="6">
        <v>71170</v>
      </c>
      <c r="G248" s="6" t="s">
        <v>2608</v>
      </c>
      <c r="H248" s="6" t="s">
        <v>2617</v>
      </c>
      <c r="I248" s="6" t="s">
        <v>2829</v>
      </c>
      <c r="J248" s="6" t="s">
        <v>3307</v>
      </c>
      <c r="K248" s="6">
        <v>12</v>
      </c>
    </row>
    <row r="249" spans="1:11" x14ac:dyDescent="0.3">
      <c r="A249" s="6" t="s">
        <v>258</v>
      </c>
      <c r="B249" s="6" t="s">
        <v>1554</v>
      </c>
      <c r="C249" s="7">
        <v>28464</v>
      </c>
      <c r="D249" s="8">
        <v>39226</v>
      </c>
      <c r="E249" s="6" t="s">
        <v>2604</v>
      </c>
      <c r="F249" s="6">
        <v>70909</v>
      </c>
      <c r="G249" s="6" t="s">
        <v>2615</v>
      </c>
      <c r="H249" s="6" t="s">
        <v>2616</v>
      </c>
      <c r="I249" s="6" t="s">
        <v>2830</v>
      </c>
      <c r="J249" s="6" t="s">
        <v>3305</v>
      </c>
      <c r="K249" s="6">
        <v>18</v>
      </c>
    </row>
    <row r="250" spans="1:11" x14ac:dyDescent="0.3">
      <c r="A250" s="6" t="s">
        <v>259</v>
      </c>
      <c r="B250" s="6" t="s">
        <v>1555</v>
      </c>
      <c r="C250" s="7">
        <v>24830</v>
      </c>
      <c r="D250" s="8">
        <v>43600</v>
      </c>
      <c r="E250" s="6" t="s">
        <v>2602</v>
      </c>
      <c r="F250" s="6">
        <v>197254</v>
      </c>
      <c r="G250" s="6" t="s">
        <v>2609</v>
      </c>
      <c r="H250" s="6" t="s">
        <v>2616</v>
      </c>
      <c r="I250" s="6" t="s">
        <v>2831</v>
      </c>
      <c r="J250" s="6" t="s">
        <v>3308</v>
      </c>
      <c r="K250" s="6">
        <v>6</v>
      </c>
    </row>
    <row r="251" spans="1:11" x14ac:dyDescent="0.3">
      <c r="A251" s="6" t="s">
        <v>260</v>
      </c>
      <c r="B251" s="6" t="s">
        <v>1556</v>
      </c>
      <c r="C251" s="7">
        <v>35157</v>
      </c>
      <c r="D251" s="8">
        <v>32732</v>
      </c>
      <c r="E251" s="6" t="s">
        <v>2605</v>
      </c>
      <c r="F251" s="6">
        <v>35613</v>
      </c>
      <c r="G251" s="6" t="s">
        <v>2612</v>
      </c>
      <c r="H251" s="6" t="s">
        <v>2617</v>
      </c>
      <c r="I251" s="6" t="s">
        <v>2832</v>
      </c>
      <c r="J251" s="6" t="s">
        <v>3304</v>
      </c>
      <c r="K251" s="6">
        <v>36</v>
      </c>
    </row>
    <row r="252" spans="1:11" x14ac:dyDescent="0.3">
      <c r="A252" s="6" t="s">
        <v>261</v>
      </c>
      <c r="B252" s="6" t="s">
        <v>1557</v>
      </c>
      <c r="C252" s="7">
        <v>36199</v>
      </c>
      <c r="D252" s="8">
        <v>41217</v>
      </c>
      <c r="E252" s="6" t="s">
        <v>2600</v>
      </c>
      <c r="F252" s="6">
        <v>47983</v>
      </c>
      <c r="G252" s="6" t="s">
        <v>2610</v>
      </c>
      <c r="H252" s="6" t="s">
        <v>2616</v>
      </c>
      <c r="I252" s="6" t="s">
        <v>2833</v>
      </c>
      <c r="J252" s="6" t="s">
        <v>3309</v>
      </c>
      <c r="K252" s="6">
        <v>13</v>
      </c>
    </row>
    <row r="253" spans="1:11" x14ac:dyDescent="0.3">
      <c r="A253" s="6" t="s">
        <v>262</v>
      </c>
      <c r="B253" s="6" t="s">
        <v>1558</v>
      </c>
      <c r="C253" s="7">
        <v>27967</v>
      </c>
      <c r="D253" s="8">
        <v>34486</v>
      </c>
      <c r="E253" s="6" t="s">
        <v>2605</v>
      </c>
      <c r="F253" s="6">
        <v>171080</v>
      </c>
      <c r="G253" s="6" t="s">
        <v>2612</v>
      </c>
      <c r="H253" s="6" t="s">
        <v>2616</v>
      </c>
      <c r="I253" s="6" t="s">
        <v>2709</v>
      </c>
      <c r="J253" s="6" t="s">
        <v>3307</v>
      </c>
      <c r="K253" s="6">
        <v>31</v>
      </c>
    </row>
    <row r="254" spans="1:11" x14ac:dyDescent="0.3">
      <c r="A254" s="6" t="s">
        <v>263</v>
      </c>
      <c r="B254" s="6" t="s">
        <v>1559</v>
      </c>
      <c r="C254" s="7">
        <v>29919</v>
      </c>
      <c r="D254" s="8">
        <v>39050</v>
      </c>
      <c r="E254" s="6" t="s">
        <v>2600</v>
      </c>
      <c r="F254" s="6">
        <v>61763</v>
      </c>
      <c r="G254" s="6" t="s">
        <v>2612</v>
      </c>
      <c r="H254" s="6" t="s">
        <v>2617</v>
      </c>
      <c r="I254" s="6" t="s">
        <v>2702</v>
      </c>
      <c r="J254" s="6" t="s">
        <v>3304</v>
      </c>
      <c r="K254" s="6">
        <v>19</v>
      </c>
    </row>
    <row r="255" spans="1:11" x14ac:dyDescent="0.3">
      <c r="A255" s="6" t="s">
        <v>264</v>
      </c>
      <c r="B255" s="6" t="s">
        <v>1560</v>
      </c>
      <c r="C255" s="7">
        <v>21867</v>
      </c>
      <c r="D255" s="8">
        <v>38456</v>
      </c>
      <c r="E255" s="6" t="s">
        <v>2599</v>
      </c>
      <c r="F255" s="6">
        <v>66043</v>
      </c>
      <c r="G255" s="6" t="s">
        <v>2608</v>
      </c>
      <c r="H255" s="6" t="s">
        <v>2617</v>
      </c>
      <c r="I255" s="6" t="s">
        <v>2705</v>
      </c>
      <c r="J255" s="6" t="s">
        <v>3309</v>
      </c>
      <c r="K255" s="6">
        <v>20</v>
      </c>
    </row>
    <row r="256" spans="1:11" x14ac:dyDescent="0.3">
      <c r="A256" s="6" t="s">
        <v>265</v>
      </c>
      <c r="B256" s="6" t="s">
        <v>1561</v>
      </c>
      <c r="C256" s="7">
        <v>34360</v>
      </c>
      <c r="D256" s="8">
        <v>35537</v>
      </c>
      <c r="E256" s="6" t="s">
        <v>2601</v>
      </c>
      <c r="F256" s="6">
        <v>111617</v>
      </c>
      <c r="G256" s="6" t="s">
        <v>2608</v>
      </c>
      <c r="H256" s="6" t="s">
        <v>2617</v>
      </c>
      <c r="I256" s="6" t="s">
        <v>2834</v>
      </c>
      <c r="J256" s="6" t="s">
        <v>3308</v>
      </c>
      <c r="K256" s="6">
        <v>28</v>
      </c>
    </row>
    <row r="257" spans="1:11" x14ac:dyDescent="0.3">
      <c r="A257" s="6" t="s">
        <v>266</v>
      </c>
      <c r="B257" s="6" t="s">
        <v>1562</v>
      </c>
      <c r="C257" s="7">
        <v>27318</v>
      </c>
      <c r="D257" s="8">
        <v>30059</v>
      </c>
      <c r="E257" s="6" t="s">
        <v>2604</v>
      </c>
      <c r="F257" s="6">
        <v>198231</v>
      </c>
      <c r="G257" s="6" t="s">
        <v>2614</v>
      </c>
      <c r="H257" s="6" t="s">
        <v>2616</v>
      </c>
      <c r="I257" s="6" t="s">
        <v>2835</v>
      </c>
      <c r="J257" s="6" t="s">
        <v>3305</v>
      </c>
      <c r="K257" s="6">
        <v>43</v>
      </c>
    </row>
    <row r="258" spans="1:11" x14ac:dyDescent="0.3">
      <c r="A258" s="6" t="s">
        <v>267</v>
      </c>
      <c r="B258" s="6" t="s">
        <v>1563</v>
      </c>
      <c r="C258" s="7">
        <v>23829</v>
      </c>
      <c r="D258" s="8">
        <v>32617</v>
      </c>
      <c r="E258" s="6" t="s">
        <v>2605</v>
      </c>
      <c r="F258" s="6">
        <v>162644</v>
      </c>
      <c r="G258" s="6" t="s">
        <v>2609</v>
      </c>
      <c r="H258" s="6" t="s">
        <v>2616</v>
      </c>
      <c r="I258" s="6" t="s">
        <v>2836</v>
      </c>
      <c r="J258" s="6" t="s">
        <v>3306</v>
      </c>
      <c r="K258" s="6">
        <v>36</v>
      </c>
    </row>
    <row r="259" spans="1:11" x14ac:dyDescent="0.3">
      <c r="A259" s="6" t="s">
        <v>268</v>
      </c>
      <c r="B259" s="6" t="s">
        <v>1564</v>
      </c>
      <c r="C259" s="7">
        <v>33303</v>
      </c>
      <c r="D259" s="8">
        <v>30025</v>
      </c>
      <c r="E259" s="6" t="s">
        <v>2605</v>
      </c>
      <c r="F259" s="6">
        <v>92162</v>
      </c>
      <c r="G259" s="6" t="s">
        <v>2610</v>
      </c>
      <c r="H259" s="6" t="s">
        <v>2617</v>
      </c>
      <c r="I259" s="6" t="s">
        <v>2764</v>
      </c>
      <c r="J259" s="6" t="s">
        <v>3309</v>
      </c>
      <c r="K259" s="6">
        <v>43</v>
      </c>
    </row>
    <row r="260" spans="1:11" x14ac:dyDescent="0.3">
      <c r="A260" s="6" t="s">
        <v>269</v>
      </c>
      <c r="B260" s="6" t="s">
        <v>1565</v>
      </c>
      <c r="C260" s="7">
        <v>35672</v>
      </c>
      <c r="D260" s="8">
        <v>35539</v>
      </c>
      <c r="E260" s="6" t="s">
        <v>2599</v>
      </c>
      <c r="F260" s="6">
        <v>117881</v>
      </c>
      <c r="G260" s="6" t="s">
        <v>2614</v>
      </c>
      <c r="H260" s="6" t="s">
        <v>2617</v>
      </c>
      <c r="I260" s="6" t="s">
        <v>2671</v>
      </c>
      <c r="J260" s="6" t="s">
        <v>3310</v>
      </c>
      <c r="K260" s="6">
        <v>28</v>
      </c>
    </row>
    <row r="261" spans="1:11" x14ac:dyDescent="0.3">
      <c r="A261" s="6" t="s">
        <v>270</v>
      </c>
      <c r="B261" s="6" t="s">
        <v>1566</v>
      </c>
      <c r="C261" s="7">
        <v>27363</v>
      </c>
      <c r="D261" s="8">
        <v>28257</v>
      </c>
      <c r="E261" s="6" t="s">
        <v>2600</v>
      </c>
      <c r="F261" s="6">
        <v>91309</v>
      </c>
      <c r="G261" s="6" t="s">
        <v>2613</v>
      </c>
      <c r="H261" s="6" t="s">
        <v>2617</v>
      </c>
      <c r="I261" s="6" t="s">
        <v>2837</v>
      </c>
      <c r="J261" s="6" t="s">
        <v>3308</v>
      </c>
      <c r="K261" s="6">
        <v>48</v>
      </c>
    </row>
    <row r="262" spans="1:11" x14ac:dyDescent="0.3">
      <c r="A262" s="6" t="s">
        <v>271</v>
      </c>
      <c r="B262" s="6" t="s">
        <v>1567</v>
      </c>
      <c r="C262" s="7">
        <v>28428</v>
      </c>
      <c r="D262" s="8">
        <v>28554</v>
      </c>
      <c r="E262" s="6" t="s">
        <v>2602</v>
      </c>
      <c r="F262" s="6">
        <v>104299</v>
      </c>
      <c r="G262" s="6" t="s">
        <v>2609</v>
      </c>
      <c r="H262" s="6" t="s">
        <v>2616</v>
      </c>
      <c r="I262" s="6" t="s">
        <v>2838</v>
      </c>
      <c r="J262" s="6" t="s">
        <v>3307</v>
      </c>
      <c r="K262" s="6">
        <v>47</v>
      </c>
    </row>
    <row r="263" spans="1:11" x14ac:dyDescent="0.3">
      <c r="A263" s="6" t="s">
        <v>272</v>
      </c>
      <c r="B263" s="6" t="s">
        <v>1568</v>
      </c>
      <c r="C263" s="7">
        <v>35859</v>
      </c>
      <c r="D263" s="8">
        <v>26316</v>
      </c>
      <c r="E263" s="6" t="s">
        <v>2601</v>
      </c>
      <c r="F263" s="6">
        <v>197369</v>
      </c>
      <c r="G263" s="6" t="s">
        <v>2606</v>
      </c>
      <c r="H263" s="6" t="s">
        <v>2616</v>
      </c>
      <c r="I263" s="6" t="s">
        <v>2839</v>
      </c>
      <c r="J263" s="6" t="s">
        <v>3305</v>
      </c>
      <c r="K263" s="6">
        <v>53</v>
      </c>
    </row>
    <row r="264" spans="1:11" x14ac:dyDescent="0.3">
      <c r="A264" s="6" t="s">
        <v>273</v>
      </c>
      <c r="B264" s="6" t="s">
        <v>1569</v>
      </c>
      <c r="C264" s="7">
        <v>36545</v>
      </c>
      <c r="D264" s="8">
        <v>31234</v>
      </c>
      <c r="E264" s="6" t="s">
        <v>2605</v>
      </c>
      <c r="F264" s="6">
        <v>80296</v>
      </c>
      <c r="G264" s="6" t="s">
        <v>2615</v>
      </c>
      <c r="H264" s="6" t="s">
        <v>2616</v>
      </c>
      <c r="I264" s="6" t="s">
        <v>2660</v>
      </c>
      <c r="J264" s="6" t="s">
        <v>3304</v>
      </c>
      <c r="K264" s="6">
        <v>40</v>
      </c>
    </row>
    <row r="265" spans="1:11" x14ac:dyDescent="0.3">
      <c r="A265" s="6" t="s">
        <v>274</v>
      </c>
      <c r="B265" s="6" t="s">
        <v>1570</v>
      </c>
      <c r="C265" s="7">
        <v>26261</v>
      </c>
      <c r="D265" s="8">
        <v>44480</v>
      </c>
      <c r="E265" s="6" t="s">
        <v>2605</v>
      </c>
      <c r="F265" s="6">
        <v>196718</v>
      </c>
      <c r="G265" s="6" t="s">
        <v>2606</v>
      </c>
      <c r="H265" s="6" t="s">
        <v>2616</v>
      </c>
      <c r="I265" s="6" t="s">
        <v>2840</v>
      </c>
      <c r="J265" s="6" t="s">
        <v>3305</v>
      </c>
      <c r="K265" s="6">
        <v>4</v>
      </c>
    </row>
    <row r="266" spans="1:11" x14ac:dyDescent="0.3">
      <c r="A266" s="6" t="s">
        <v>275</v>
      </c>
      <c r="B266" s="6" t="s">
        <v>1571</v>
      </c>
      <c r="C266" s="7">
        <v>23113</v>
      </c>
      <c r="D266" s="8">
        <v>36111</v>
      </c>
      <c r="E266" s="6" t="s">
        <v>2605</v>
      </c>
      <c r="F266" s="6">
        <v>68652</v>
      </c>
      <c r="G266" s="6" t="s">
        <v>2614</v>
      </c>
      <c r="H266" s="6" t="s">
        <v>2616</v>
      </c>
      <c r="I266" s="6" t="s">
        <v>2841</v>
      </c>
      <c r="J266" s="6" t="s">
        <v>3308</v>
      </c>
      <c r="K266" s="6">
        <v>27</v>
      </c>
    </row>
    <row r="267" spans="1:11" x14ac:dyDescent="0.3">
      <c r="A267" s="6" t="s">
        <v>276</v>
      </c>
      <c r="B267" s="6" t="s">
        <v>1572</v>
      </c>
      <c r="C267" s="7">
        <v>21740</v>
      </c>
      <c r="D267" s="8">
        <v>40709</v>
      </c>
      <c r="E267" s="6" t="s">
        <v>2604</v>
      </c>
      <c r="F267" s="6">
        <v>84047</v>
      </c>
      <c r="G267" s="6" t="s">
        <v>2606</v>
      </c>
      <c r="H267" s="6" t="s">
        <v>2617</v>
      </c>
      <c r="I267" s="6" t="s">
        <v>2638</v>
      </c>
      <c r="J267" s="6" t="s">
        <v>3309</v>
      </c>
      <c r="K267" s="6">
        <v>14</v>
      </c>
    </row>
    <row r="268" spans="1:11" x14ac:dyDescent="0.3">
      <c r="A268" s="6" t="s">
        <v>277</v>
      </c>
      <c r="B268" s="6" t="s">
        <v>1573</v>
      </c>
      <c r="C268" s="7">
        <v>33518</v>
      </c>
      <c r="D268" s="8">
        <v>29856</v>
      </c>
      <c r="E268" s="6" t="s">
        <v>2603</v>
      </c>
      <c r="F268" s="6">
        <v>71928</v>
      </c>
      <c r="G268" s="6" t="s">
        <v>2615</v>
      </c>
      <c r="H268" s="6" t="s">
        <v>2617</v>
      </c>
      <c r="I268" s="6" t="s">
        <v>2842</v>
      </c>
      <c r="J268" s="6" t="s">
        <v>3309</v>
      </c>
      <c r="K268" s="6">
        <v>44</v>
      </c>
    </row>
    <row r="269" spans="1:11" x14ac:dyDescent="0.3">
      <c r="A269" s="6" t="s">
        <v>278</v>
      </c>
      <c r="B269" s="6" t="s">
        <v>1574</v>
      </c>
      <c r="C269" s="7">
        <v>36756</v>
      </c>
      <c r="D269" s="8">
        <v>30876</v>
      </c>
      <c r="E269" s="6" t="s">
        <v>2600</v>
      </c>
      <c r="F269" s="6">
        <v>63035</v>
      </c>
      <c r="G269" s="6" t="s">
        <v>2614</v>
      </c>
      <c r="H269" s="6" t="s">
        <v>2616</v>
      </c>
      <c r="I269" s="6" t="s">
        <v>2784</v>
      </c>
      <c r="J269" s="6" t="s">
        <v>3308</v>
      </c>
      <c r="K269" s="6">
        <v>41</v>
      </c>
    </row>
    <row r="270" spans="1:11" x14ac:dyDescent="0.3">
      <c r="A270" s="6" t="s">
        <v>279</v>
      </c>
      <c r="B270" s="6" t="s">
        <v>1575</v>
      </c>
      <c r="C270" s="7">
        <v>31321</v>
      </c>
      <c r="D270" s="8">
        <v>31019</v>
      </c>
      <c r="E270" s="6" t="s">
        <v>2603</v>
      </c>
      <c r="F270" s="6">
        <v>140169</v>
      </c>
      <c r="G270" s="6" t="s">
        <v>2608</v>
      </c>
      <c r="H270" s="6" t="s">
        <v>2616</v>
      </c>
      <c r="I270" s="6" t="s">
        <v>2843</v>
      </c>
      <c r="J270" s="6" t="s">
        <v>3310</v>
      </c>
      <c r="K270" s="6">
        <v>41</v>
      </c>
    </row>
    <row r="271" spans="1:11" x14ac:dyDescent="0.3">
      <c r="A271" s="6" t="s">
        <v>280</v>
      </c>
      <c r="B271" s="6" t="s">
        <v>1576</v>
      </c>
      <c r="C271" s="7">
        <v>28282</v>
      </c>
      <c r="D271" s="8">
        <v>29521</v>
      </c>
      <c r="E271" s="6" t="s">
        <v>2604</v>
      </c>
      <c r="F271" s="6">
        <v>86133</v>
      </c>
      <c r="G271" s="6" t="s">
        <v>2606</v>
      </c>
      <c r="H271" s="6" t="s">
        <v>2617</v>
      </c>
      <c r="I271" s="6" t="s">
        <v>2844</v>
      </c>
      <c r="J271" s="6" t="s">
        <v>3304</v>
      </c>
      <c r="K271" s="6">
        <v>45</v>
      </c>
    </row>
    <row r="272" spans="1:11" x14ac:dyDescent="0.3">
      <c r="A272" s="6" t="s">
        <v>281</v>
      </c>
      <c r="B272" s="6" t="s">
        <v>1577</v>
      </c>
      <c r="C272" s="7">
        <v>27903</v>
      </c>
      <c r="D272" s="8">
        <v>29565</v>
      </c>
      <c r="E272" s="6"/>
      <c r="F272" s="6">
        <v>82925</v>
      </c>
      <c r="G272" s="6" t="s">
        <v>2610</v>
      </c>
      <c r="H272" s="6" t="s">
        <v>2616</v>
      </c>
      <c r="I272" s="6" t="s">
        <v>2845</v>
      </c>
      <c r="J272" s="6" t="s">
        <v>3308</v>
      </c>
      <c r="K272" s="6">
        <v>45</v>
      </c>
    </row>
    <row r="273" spans="1:11" x14ac:dyDescent="0.3">
      <c r="A273" s="6" t="s">
        <v>282</v>
      </c>
      <c r="B273" s="6" t="s">
        <v>1578</v>
      </c>
      <c r="C273" s="7">
        <v>36369</v>
      </c>
      <c r="D273" s="8">
        <v>43267</v>
      </c>
      <c r="E273" s="6" t="s">
        <v>2605</v>
      </c>
      <c r="F273" s="6">
        <v>47979</v>
      </c>
      <c r="G273" s="6" t="s">
        <v>2615</v>
      </c>
      <c r="H273" s="6" t="s">
        <v>2617</v>
      </c>
      <c r="I273" s="6" t="s">
        <v>2652</v>
      </c>
      <c r="J273" s="6" t="s">
        <v>3304</v>
      </c>
      <c r="K273" s="6">
        <v>7</v>
      </c>
    </row>
    <row r="274" spans="1:11" x14ac:dyDescent="0.3">
      <c r="A274" s="6" t="s">
        <v>283</v>
      </c>
      <c r="B274" s="6" t="s">
        <v>1579</v>
      </c>
      <c r="C274" s="7">
        <v>31454</v>
      </c>
      <c r="D274" s="8">
        <v>29391</v>
      </c>
      <c r="E274" s="6" t="s">
        <v>2604</v>
      </c>
      <c r="F274" s="6">
        <v>26642</v>
      </c>
      <c r="G274" s="6" t="s">
        <v>2606</v>
      </c>
      <c r="H274" s="6" t="s">
        <v>2617</v>
      </c>
      <c r="I274" s="6" t="s">
        <v>2846</v>
      </c>
      <c r="J274" s="6" t="s">
        <v>3308</v>
      </c>
      <c r="K274" s="6">
        <v>45</v>
      </c>
    </row>
    <row r="275" spans="1:11" x14ac:dyDescent="0.3">
      <c r="A275" s="6" t="s">
        <v>284</v>
      </c>
      <c r="B275" s="6" t="s">
        <v>1580</v>
      </c>
      <c r="C275" s="7">
        <v>22790</v>
      </c>
      <c r="D275" s="8">
        <v>25786</v>
      </c>
      <c r="E275" s="6" t="s">
        <v>2600</v>
      </c>
      <c r="F275" s="6">
        <v>133821</v>
      </c>
      <c r="G275" s="6" t="s">
        <v>2612</v>
      </c>
      <c r="H275" s="6" t="s">
        <v>2617</v>
      </c>
      <c r="I275" s="6" t="s">
        <v>2847</v>
      </c>
      <c r="J275" s="6" t="s">
        <v>3308</v>
      </c>
      <c r="K275" s="6">
        <v>55</v>
      </c>
    </row>
    <row r="276" spans="1:11" x14ac:dyDescent="0.3">
      <c r="A276" s="6" t="s">
        <v>285</v>
      </c>
      <c r="B276" s="6" t="s">
        <v>1581</v>
      </c>
      <c r="C276" s="7">
        <v>29249</v>
      </c>
      <c r="D276" s="8">
        <v>36010</v>
      </c>
      <c r="E276" s="6" t="s">
        <v>2602</v>
      </c>
      <c r="F276" s="6">
        <v>25230</v>
      </c>
      <c r="G276" s="6" t="s">
        <v>2614</v>
      </c>
      <c r="H276" s="6" t="s">
        <v>2617</v>
      </c>
      <c r="I276" s="6" t="s">
        <v>2772</v>
      </c>
      <c r="J276" s="6" t="s">
        <v>3310</v>
      </c>
      <c r="K276" s="6">
        <v>27</v>
      </c>
    </row>
    <row r="277" spans="1:11" x14ac:dyDescent="0.3">
      <c r="A277" s="6" t="s">
        <v>286</v>
      </c>
      <c r="B277" s="6" t="s">
        <v>1582</v>
      </c>
      <c r="C277" s="7">
        <v>33181</v>
      </c>
      <c r="D277" s="8">
        <v>31064</v>
      </c>
      <c r="E277" s="6" t="s">
        <v>2601</v>
      </c>
      <c r="F277" s="6">
        <v>33956</v>
      </c>
      <c r="G277" s="6" t="s">
        <v>2610</v>
      </c>
      <c r="H277" s="6" t="s">
        <v>2617</v>
      </c>
      <c r="I277" s="6" t="s">
        <v>2848</v>
      </c>
      <c r="J277" s="6" t="s">
        <v>3310</v>
      </c>
      <c r="K277" s="6">
        <v>40</v>
      </c>
    </row>
    <row r="278" spans="1:11" x14ac:dyDescent="0.3">
      <c r="A278" s="6" t="s">
        <v>287</v>
      </c>
      <c r="B278" s="6" t="s">
        <v>1583</v>
      </c>
      <c r="C278" s="7">
        <v>33262</v>
      </c>
      <c r="D278" s="8">
        <v>28207</v>
      </c>
      <c r="E278" s="6" t="s">
        <v>2604</v>
      </c>
      <c r="F278" s="6">
        <v>133164</v>
      </c>
      <c r="G278" s="6" t="s">
        <v>2613</v>
      </c>
      <c r="H278" s="6" t="s">
        <v>2616</v>
      </c>
      <c r="I278" s="6" t="s">
        <v>2849</v>
      </c>
      <c r="J278" s="6" t="s">
        <v>3305</v>
      </c>
      <c r="K278" s="6">
        <v>48</v>
      </c>
    </row>
    <row r="279" spans="1:11" x14ac:dyDescent="0.3">
      <c r="A279" s="6" t="s">
        <v>288</v>
      </c>
      <c r="B279" s="6" t="s">
        <v>1584</v>
      </c>
      <c r="C279" s="7">
        <v>24174</v>
      </c>
      <c r="D279" s="8">
        <v>44668</v>
      </c>
      <c r="E279" s="6" t="s">
        <v>2604</v>
      </c>
      <c r="F279" s="6">
        <v>165651</v>
      </c>
      <c r="G279" s="6" t="s">
        <v>2615</v>
      </c>
      <c r="H279" s="6" t="s">
        <v>2616</v>
      </c>
      <c r="I279" s="6" t="s">
        <v>2850</v>
      </c>
      <c r="J279" s="6" t="s">
        <v>3307</v>
      </c>
      <c r="K279" s="6">
        <v>3</v>
      </c>
    </row>
    <row r="280" spans="1:11" x14ac:dyDescent="0.3">
      <c r="A280" s="6" t="s">
        <v>289</v>
      </c>
      <c r="B280" s="6" t="s">
        <v>1585</v>
      </c>
      <c r="C280" s="7">
        <v>26422</v>
      </c>
      <c r="D280" s="8">
        <v>26448</v>
      </c>
      <c r="E280" s="6" t="s">
        <v>2599</v>
      </c>
      <c r="F280" s="6">
        <v>70501</v>
      </c>
      <c r="G280" s="6" t="s">
        <v>2613</v>
      </c>
      <c r="H280" s="6" t="s">
        <v>2616</v>
      </c>
      <c r="I280" s="6" t="s">
        <v>2851</v>
      </c>
      <c r="J280" s="6" t="s">
        <v>3310</v>
      </c>
      <c r="K280" s="6">
        <v>53</v>
      </c>
    </row>
    <row r="281" spans="1:11" x14ac:dyDescent="0.3">
      <c r="A281" s="6" t="s">
        <v>290</v>
      </c>
      <c r="B281" s="6" t="s">
        <v>1586</v>
      </c>
      <c r="C281" s="7">
        <v>37406</v>
      </c>
      <c r="D281" s="8">
        <v>43748</v>
      </c>
      <c r="E281" s="6" t="s">
        <v>2599</v>
      </c>
      <c r="F281" s="6">
        <v>62227</v>
      </c>
      <c r="G281" s="6" t="s">
        <v>2610</v>
      </c>
      <c r="H281" s="6" t="s">
        <v>2616</v>
      </c>
      <c r="I281" s="6" t="s">
        <v>2630</v>
      </c>
      <c r="J281" s="6" t="s">
        <v>3305</v>
      </c>
      <c r="K281" s="6">
        <v>6</v>
      </c>
    </row>
    <row r="282" spans="1:11" x14ac:dyDescent="0.3">
      <c r="A282" s="6" t="s">
        <v>291</v>
      </c>
      <c r="B282" s="6" t="s">
        <v>1587</v>
      </c>
      <c r="C282" s="7">
        <v>25501</v>
      </c>
      <c r="D282" s="8">
        <v>30522</v>
      </c>
      <c r="E282" s="6" t="s">
        <v>2599</v>
      </c>
      <c r="F282" s="6">
        <v>193315</v>
      </c>
      <c r="G282" s="6" t="s">
        <v>2609</v>
      </c>
      <c r="H282" s="6" t="s">
        <v>2617</v>
      </c>
      <c r="I282" s="6" t="s">
        <v>2852</v>
      </c>
      <c r="J282" s="6" t="s">
        <v>3306</v>
      </c>
      <c r="K282" s="6">
        <v>42</v>
      </c>
    </row>
    <row r="283" spans="1:11" x14ac:dyDescent="0.3">
      <c r="A283" s="6" t="s">
        <v>292</v>
      </c>
      <c r="B283" s="6" t="s">
        <v>1588</v>
      </c>
      <c r="C283" s="7">
        <v>37342</v>
      </c>
      <c r="D283" s="8">
        <v>40435</v>
      </c>
      <c r="E283" s="6" t="s">
        <v>2602</v>
      </c>
      <c r="F283" s="6">
        <v>25610</v>
      </c>
      <c r="G283" s="6" t="s">
        <v>2608</v>
      </c>
      <c r="H283" s="6" t="s">
        <v>2617</v>
      </c>
      <c r="I283" s="6" t="s">
        <v>2853</v>
      </c>
      <c r="J283" s="6" t="s">
        <v>3306</v>
      </c>
      <c r="K283" s="6">
        <v>15</v>
      </c>
    </row>
    <row r="284" spans="1:11" x14ac:dyDescent="0.3">
      <c r="A284" s="6" t="s">
        <v>293</v>
      </c>
      <c r="B284" s="6" t="s">
        <v>1589</v>
      </c>
      <c r="C284" s="7">
        <v>32942</v>
      </c>
      <c r="D284" s="8">
        <v>35002</v>
      </c>
      <c r="E284" s="6" t="s">
        <v>2599</v>
      </c>
      <c r="F284" s="6">
        <v>165386</v>
      </c>
      <c r="G284" s="6" t="s">
        <v>2608</v>
      </c>
      <c r="H284" s="6" t="s">
        <v>2617</v>
      </c>
      <c r="I284" s="6" t="s">
        <v>2854</v>
      </c>
      <c r="J284" s="6" t="s">
        <v>3308</v>
      </c>
      <c r="K284" s="6">
        <v>30</v>
      </c>
    </row>
    <row r="285" spans="1:11" x14ac:dyDescent="0.3">
      <c r="A285" s="6" t="s">
        <v>294</v>
      </c>
      <c r="B285" s="6" t="s">
        <v>1590</v>
      </c>
      <c r="C285" s="7">
        <v>27220</v>
      </c>
      <c r="D285" s="8">
        <v>25806</v>
      </c>
      <c r="E285" s="6" t="s">
        <v>2604</v>
      </c>
      <c r="F285" s="6">
        <v>148533</v>
      </c>
      <c r="G285" s="6" t="s">
        <v>2607</v>
      </c>
      <c r="H285" s="6" t="s">
        <v>2616</v>
      </c>
      <c r="I285" s="6" t="s">
        <v>2816</v>
      </c>
      <c r="J285" s="6" t="s">
        <v>3309</v>
      </c>
      <c r="K285" s="6">
        <v>55</v>
      </c>
    </row>
    <row r="286" spans="1:11" x14ac:dyDescent="0.3">
      <c r="A286" s="6" t="s">
        <v>295</v>
      </c>
      <c r="B286" s="6" t="s">
        <v>1591</v>
      </c>
      <c r="C286" s="7">
        <v>37126</v>
      </c>
      <c r="D286" s="8">
        <v>35969</v>
      </c>
      <c r="E286" s="6" t="s">
        <v>2605</v>
      </c>
      <c r="F286" s="6">
        <v>115556</v>
      </c>
      <c r="G286" s="6" t="s">
        <v>2610</v>
      </c>
      <c r="H286" s="6" t="s">
        <v>2616</v>
      </c>
      <c r="I286" s="6" t="s">
        <v>2855</v>
      </c>
      <c r="J286" s="6" t="s">
        <v>3310</v>
      </c>
      <c r="K286" s="6">
        <v>27</v>
      </c>
    </row>
    <row r="287" spans="1:11" x14ac:dyDescent="0.3">
      <c r="A287" s="6" t="s">
        <v>296</v>
      </c>
      <c r="B287" s="6" t="s">
        <v>1592</v>
      </c>
      <c r="C287" s="7">
        <v>24142</v>
      </c>
      <c r="D287" s="8">
        <v>29318</v>
      </c>
      <c r="E287" s="6" t="s">
        <v>2602</v>
      </c>
      <c r="F287" s="6">
        <v>153593</v>
      </c>
      <c r="G287" s="6" t="s">
        <v>2607</v>
      </c>
      <c r="H287" s="6" t="s">
        <v>2616</v>
      </c>
      <c r="I287" s="6" t="s">
        <v>2856</v>
      </c>
      <c r="J287" s="6" t="s">
        <v>3306</v>
      </c>
      <c r="K287" s="6">
        <v>45</v>
      </c>
    </row>
    <row r="288" spans="1:11" x14ac:dyDescent="0.3">
      <c r="A288" s="6" t="s">
        <v>297</v>
      </c>
      <c r="B288" s="6" t="s">
        <v>1593</v>
      </c>
      <c r="C288" s="7">
        <v>25773</v>
      </c>
      <c r="D288" s="8">
        <v>25761</v>
      </c>
      <c r="E288" s="6" t="s">
        <v>2602</v>
      </c>
      <c r="F288" s="6">
        <v>107881</v>
      </c>
      <c r="G288" s="6" t="s">
        <v>2614</v>
      </c>
      <c r="H288" s="6" t="s">
        <v>2617</v>
      </c>
      <c r="I288" s="6" t="s">
        <v>2620</v>
      </c>
      <c r="J288" s="6" t="s">
        <v>3310</v>
      </c>
      <c r="K288" s="6">
        <v>55</v>
      </c>
    </row>
    <row r="289" spans="1:11" x14ac:dyDescent="0.3">
      <c r="A289" s="6" t="s">
        <v>298</v>
      </c>
      <c r="B289" s="6" t="s">
        <v>1594</v>
      </c>
      <c r="C289" s="7">
        <v>26348</v>
      </c>
      <c r="D289" s="8">
        <v>43942</v>
      </c>
      <c r="E289" s="6" t="s">
        <v>2599</v>
      </c>
      <c r="F289" s="6">
        <v>187758</v>
      </c>
      <c r="G289" s="6" t="s">
        <v>2611</v>
      </c>
      <c r="H289" s="6" t="s">
        <v>2617</v>
      </c>
      <c r="I289" s="6" t="s">
        <v>2857</v>
      </c>
      <c r="J289" s="6" t="s">
        <v>3307</v>
      </c>
      <c r="K289" s="6">
        <v>5</v>
      </c>
    </row>
    <row r="290" spans="1:11" x14ac:dyDescent="0.3">
      <c r="A290" s="6" t="s">
        <v>299</v>
      </c>
      <c r="B290" s="6" t="s">
        <v>1595</v>
      </c>
      <c r="C290" s="7">
        <v>23144</v>
      </c>
      <c r="D290" s="8">
        <v>28446</v>
      </c>
      <c r="E290" s="6" t="s">
        <v>2599</v>
      </c>
      <c r="F290" s="6">
        <v>51849</v>
      </c>
      <c r="G290" s="6" t="s">
        <v>2607</v>
      </c>
      <c r="H290" s="6" t="s">
        <v>2616</v>
      </c>
      <c r="I290" s="6" t="s">
        <v>2858</v>
      </c>
      <c r="J290" s="6" t="s">
        <v>3307</v>
      </c>
      <c r="K290" s="6">
        <v>48</v>
      </c>
    </row>
    <row r="291" spans="1:11" x14ac:dyDescent="0.3">
      <c r="A291" s="6" t="s">
        <v>300</v>
      </c>
      <c r="B291" s="6" t="s">
        <v>1596</v>
      </c>
      <c r="C291" s="7">
        <v>29454</v>
      </c>
      <c r="D291" s="8">
        <v>28437</v>
      </c>
      <c r="E291" s="6" t="s">
        <v>2603</v>
      </c>
      <c r="F291" s="6">
        <v>157660</v>
      </c>
      <c r="G291" s="6" t="s">
        <v>2611</v>
      </c>
      <c r="H291" s="6" t="s">
        <v>2617</v>
      </c>
      <c r="I291" s="6" t="s">
        <v>2859</v>
      </c>
      <c r="J291" s="6" t="s">
        <v>3307</v>
      </c>
      <c r="K291" s="6">
        <v>48</v>
      </c>
    </row>
    <row r="292" spans="1:11" x14ac:dyDescent="0.3">
      <c r="A292" s="6" t="s">
        <v>301</v>
      </c>
      <c r="B292" s="6" t="s">
        <v>1597</v>
      </c>
      <c r="C292" s="7">
        <v>23864</v>
      </c>
      <c r="D292" s="8">
        <v>32937</v>
      </c>
      <c r="E292" s="6" t="s">
        <v>2600</v>
      </c>
      <c r="F292" s="6">
        <v>66566</v>
      </c>
      <c r="G292" s="6" t="s">
        <v>2614</v>
      </c>
      <c r="H292" s="6" t="s">
        <v>2616</v>
      </c>
      <c r="I292" s="6" t="s">
        <v>2860</v>
      </c>
      <c r="J292" s="6" t="s">
        <v>3305</v>
      </c>
      <c r="K292" s="6">
        <v>35</v>
      </c>
    </row>
    <row r="293" spans="1:11" x14ac:dyDescent="0.3">
      <c r="A293" s="6" t="s">
        <v>302</v>
      </c>
      <c r="B293" s="6" t="s">
        <v>1598</v>
      </c>
      <c r="C293" s="7">
        <v>33553</v>
      </c>
      <c r="D293" s="8">
        <v>43388</v>
      </c>
      <c r="E293" s="6" t="s">
        <v>2601</v>
      </c>
      <c r="F293" s="6">
        <v>138018</v>
      </c>
      <c r="G293" s="6" t="s">
        <v>2608</v>
      </c>
      <c r="H293" s="6" t="s">
        <v>2617</v>
      </c>
      <c r="I293" s="6" t="s">
        <v>2812</v>
      </c>
      <c r="J293" s="6" t="s">
        <v>3305</v>
      </c>
      <c r="K293" s="6">
        <v>7</v>
      </c>
    </row>
    <row r="294" spans="1:11" x14ac:dyDescent="0.3">
      <c r="A294" s="6" t="s">
        <v>303</v>
      </c>
      <c r="B294" s="6" t="s">
        <v>1599</v>
      </c>
      <c r="C294" s="7">
        <v>36527</v>
      </c>
      <c r="D294" s="8">
        <v>25624</v>
      </c>
      <c r="E294" s="6" t="s">
        <v>2601</v>
      </c>
      <c r="F294" s="6">
        <v>64304</v>
      </c>
      <c r="G294" s="6" t="s">
        <v>2609</v>
      </c>
      <c r="H294" s="6" t="s">
        <v>2617</v>
      </c>
      <c r="I294" s="6" t="s">
        <v>2861</v>
      </c>
      <c r="J294" s="6" t="s">
        <v>3310</v>
      </c>
      <c r="K294" s="6">
        <v>55</v>
      </c>
    </row>
    <row r="295" spans="1:11" x14ac:dyDescent="0.3">
      <c r="A295" s="6" t="s">
        <v>304</v>
      </c>
      <c r="B295" s="6" t="s">
        <v>1600</v>
      </c>
      <c r="C295" s="7">
        <v>23086</v>
      </c>
      <c r="D295" s="8">
        <v>33671</v>
      </c>
      <c r="E295" s="6" t="s">
        <v>2601</v>
      </c>
      <c r="F295" s="6">
        <v>120709</v>
      </c>
      <c r="G295" s="6" t="s">
        <v>2612</v>
      </c>
      <c r="H295" s="6" t="s">
        <v>2617</v>
      </c>
      <c r="I295" s="6" t="s">
        <v>2862</v>
      </c>
      <c r="J295" s="6" t="s">
        <v>3309</v>
      </c>
      <c r="K295" s="6">
        <v>33</v>
      </c>
    </row>
    <row r="296" spans="1:11" x14ac:dyDescent="0.3">
      <c r="A296" s="6" t="s">
        <v>305</v>
      </c>
      <c r="B296" s="6" t="s">
        <v>1601</v>
      </c>
      <c r="C296" s="7">
        <v>30178</v>
      </c>
      <c r="D296" s="8">
        <v>33199</v>
      </c>
      <c r="E296" s="6" t="s">
        <v>2603</v>
      </c>
      <c r="F296" s="6">
        <v>195743</v>
      </c>
      <c r="G296" s="6" t="s">
        <v>2608</v>
      </c>
      <c r="H296" s="6" t="s">
        <v>2617</v>
      </c>
      <c r="I296" s="6" t="s">
        <v>2863</v>
      </c>
      <c r="J296" s="6" t="s">
        <v>3304</v>
      </c>
      <c r="K296" s="6">
        <v>35</v>
      </c>
    </row>
    <row r="297" spans="1:11" x14ac:dyDescent="0.3">
      <c r="A297" s="6" t="s">
        <v>306</v>
      </c>
      <c r="B297" s="6" t="s">
        <v>1602</v>
      </c>
      <c r="C297" s="7">
        <v>25430</v>
      </c>
      <c r="D297" s="8">
        <v>35531</v>
      </c>
      <c r="E297" s="6" t="s">
        <v>2605</v>
      </c>
      <c r="F297" s="6">
        <v>174715</v>
      </c>
      <c r="G297" s="6" t="s">
        <v>2614</v>
      </c>
      <c r="H297" s="6" t="s">
        <v>2616</v>
      </c>
      <c r="I297" s="6" t="s">
        <v>2803</v>
      </c>
      <c r="J297" s="6" t="s">
        <v>3308</v>
      </c>
      <c r="K297" s="6">
        <v>28</v>
      </c>
    </row>
    <row r="298" spans="1:11" x14ac:dyDescent="0.3">
      <c r="A298" s="6" t="s">
        <v>307</v>
      </c>
      <c r="B298" s="6" t="s">
        <v>1603</v>
      </c>
      <c r="C298" s="7">
        <v>33730</v>
      </c>
      <c r="D298" s="8">
        <v>38930</v>
      </c>
      <c r="E298" s="6" t="s">
        <v>2603</v>
      </c>
      <c r="F298" s="6">
        <v>90394</v>
      </c>
      <c r="G298" s="6" t="s">
        <v>2615</v>
      </c>
      <c r="H298" s="6" t="s">
        <v>2617</v>
      </c>
      <c r="I298" s="6" t="s">
        <v>2864</v>
      </c>
      <c r="J298" s="6" t="s">
        <v>3305</v>
      </c>
      <c r="K298" s="6">
        <v>19</v>
      </c>
    </row>
    <row r="299" spans="1:11" x14ac:dyDescent="0.3">
      <c r="A299" s="6" t="s">
        <v>308</v>
      </c>
      <c r="B299" s="6" t="s">
        <v>1604</v>
      </c>
      <c r="C299" s="7">
        <v>30662</v>
      </c>
      <c r="D299" s="8">
        <v>43806</v>
      </c>
      <c r="E299" s="6" t="s">
        <v>2602</v>
      </c>
      <c r="F299" s="6">
        <v>116482</v>
      </c>
      <c r="G299" s="6" t="s">
        <v>2614</v>
      </c>
      <c r="H299" s="6" t="s">
        <v>2617</v>
      </c>
      <c r="I299" s="6" t="s">
        <v>2865</v>
      </c>
      <c r="J299" s="6" t="s">
        <v>3310</v>
      </c>
      <c r="K299" s="6">
        <v>6</v>
      </c>
    </row>
    <row r="300" spans="1:11" x14ac:dyDescent="0.3">
      <c r="A300" s="6" t="s">
        <v>309</v>
      </c>
      <c r="B300" s="6" t="s">
        <v>1605</v>
      </c>
      <c r="C300" s="7">
        <v>27446</v>
      </c>
      <c r="D300" s="8">
        <v>30159</v>
      </c>
      <c r="E300" s="6" t="s">
        <v>2603</v>
      </c>
      <c r="F300" s="6">
        <v>186056</v>
      </c>
      <c r="G300" s="6" t="s">
        <v>2613</v>
      </c>
      <c r="H300" s="6" t="s">
        <v>2617</v>
      </c>
      <c r="I300" s="6" t="s">
        <v>2781</v>
      </c>
      <c r="J300" s="6" t="s">
        <v>3308</v>
      </c>
      <c r="K300" s="6">
        <v>43</v>
      </c>
    </row>
    <row r="301" spans="1:11" x14ac:dyDescent="0.3">
      <c r="A301" s="6" t="s">
        <v>310</v>
      </c>
      <c r="B301" s="6" t="s">
        <v>1606</v>
      </c>
      <c r="C301" s="7">
        <v>21605</v>
      </c>
      <c r="D301" s="8">
        <v>41798</v>
      </c>
      <c r="E301" s="6" t="s">
        <v>2603</v>
      </c>
      <c r="F301" s="6">
        <v>114431</v>
      </c>
      <c r="G301" s="6" t="s">
        <v>2609</v>
      </c>
      <c r="H301" s="6" t="s">
        <v>2616</v>
      </c>
      <c r="I301" s="6" t="s">
        <v>2866</v>
      </c>
      <c r="J301" s="6" t="s">
        <v>3309</v>
      </c>
      <c r="K301" s="6">
        <v>11</v>
      </c>
    </row>
    <row r="302" spans="1:11" x14ac:dyDescent="0.3">
      <c r="A302" s="6" t="s">
        <v>311</v>
      </c>
      <c r="B302" s="6" t="s">
        <v>1607</v>
      </c>
      <c r="C302" s="7">
        <v>28763</v>
      </c>
      <c r="D302" s="8">
        <v>34848</v>
      </c>
      <c r="E302" s="6" t="s">
        <v>2604</v>
      </c>
      <c r="F302" s="6">
        <v>42872</v>
      </c>
      <c r="G302" s="6" t="s">
        <v>2612</v>
      </c>
      <c r="H302" s="6" t="s">
        <v>2617</v>
      </c>
      <c r="I302" s="6" t="s">
        <v>2867</v>
      </c>
      <c r="J302" s="6" t="s">
        <v>3307</v>
      </c>
      <c r="K302" s="6">
        <v>30</v>
      </c>
    </row>
    <row r="303" spans="1:11" x14ac:dyDescent="0.3">
      <c r="A303" s="6" t="s">
        <v>312</v>
      </c>
      <c r="B303" s="6" t="s">
        <v>1608</v>
      </c>
      <c r="C303" s="7">
        <v>30322</v>
      </c>
      <c r="D303" s="8">
        <v>27200</v>
      </c>
      <c r="E303" s="6" t="s">
        <v>2602</v>
      </c>
      <c r="F303" s="6">
        <v>155254</v>
      </c>
      <c r="G303" s="6" t="s">
        <v>2611</v>
      </c>
      <c r="H303" s="6" t="s">
        <v>2616</v>
      </c>
      <c r="I303" s="6" t="s">
        <v>2868</v>
      </c>
      <c r="J303" s="6" t="s">
        <v>3307</v>
      </c>
      <c r="K303" s="6">
        <v>51</v>
      </c>
    </row>
    <row r="304" spans="1:11" x14ac:dyDescent="0.3">
      <c r="A304" s="6" t="s">
        <v>313</v>
      </c>
      <c r="B304" s="6" t="s">
        <v>1609</v>
      </c>
      <c r="C304" s="7">
        <v>31161</v>
      </c>
      <c r="D304" s="8">
        <v>38290</v>
      </c>
      <c r="E304" s="6" t="s">
        <v>2601</v>
      </c>
      <c r="F304" s="6">
        <v>154922</v>
      </c>
      <c r="G304" s="6" t="s">
        <v>2610</v>
      </c>
      <c r="H304" s="6" t="s">
        <v>2616</v>
      </c>
      <c r="I304" s="6" t="s">
        <v>2869</v>
      </c>
      <c r="J304" s="6" t="s">
        <v>3304</v>
      </c>
      <c r="K304" s="6">
        <v>21</v>
      </c>
    </row>
    <row r="305" spans="1:11" x14ac:dyDescent="0.3">
      <c r="A305" s="6" t="s">
        <v>314</v>
      </c>
      <c r="B305" s="6" t="s">
        <v>1610</v>
      </c>
      <c r="C305" s="7">
        <v>32696</v>
      </c>
      <c r="D305" s="8">
        <v>28504</v>
      </c>
      <c r="E305" s="6" t="s">
        <v>2605</v>
      </c>
      <c r="F305" s="6">
        <v>154982</v>
      </c>
      <c r="G305" s="6" t="s">
        <v>2614</v>
      </c>
      <c r="H305" s="6" t="s">
        <v>2616</v>
      </c>
      <c r="I305" s="6" t="s">
        <v>2870</v>
      </c>
      <c r="J305" s="6" t="s">
        <v>3306</v>
      </c>
      <c r="K305" s="6">
        <v>47</v>
      </c>
    </row>
    <row r="306" spans="1:11" x14ac:dyDescent="0.3">
      <c r="A306" s="6" t="s">
        <v>315</v>
      </c>
      <c r="B306" s="6" t="s">
        <v>1611</v>
      </c>
      <c r="C306" s="7">
        <v>28468</v>
      </c>
      <c r="D306" s="8">
        <v>37261</v>
      </c>
      <c r="E306" s="6" t="s">
        <v>2605</v>
      </c>
      <c r="F306" s="6">
        <v>69130</v>
      </c>
      <c r="G306" s="6" t="s">
        <v>2606</v>
      </c>
      <c r="H306" s="6" t="s">
        <v>2617</v>
      </c>
      <c r="I306" s="6" t="s">
        <v>2843</v>
      </c>
      <c r="J306" s="6" t="s">
        <v>3305</v>
      </c>
      <c r="K306" s="6">
        <v>23</v>
      </c>
    </row>
    <row r="307" spans="1:11" x14ac:dyDescent="0.3">
      <c r="A307" s="6" t="s">
        <v>316</v>
      </c>
      <c r="B307" s="6" t="s">
        <v>1612</v>
      </c>
      <c r="C307" s="7">
        <v>29651</v>
      </c>
      <c r="D307" s="8">
        <v>41092</v>
      </c>
      <c r="E307" s="6" t="s">
        <v>2603</v>
      </c>
      <c r="F307" s="6">
        <v>66065</v>
      </c>
      <c r="G307" s="6" t="s">
        <v>2613</v>
      </c>
      <c r="H307" s="6" t="s">
        <v>2616</v>
      </c>
      <c r="I307" s="6" t="s">
        <v>2843</v>
      </c>
      <c r="J307" s="6" t="s">
        <v>3304</v>
      </c>
      <c r="K307" s="6">
        <v>13</v>
      </c>
    </row>
    <row r="308" spans="1:11" x14ac:dyDescent="0.3">
      <c r="A308" s="6" t="s">
        <v>317</v>
      </c>
      <c r="B308" s="6" t="s">
        <v>1613</v>
      </c>
      <c r="C308" s="7">
        <v>27006</v>
      </c>
      <c r="D308" s="8">
        <v>37515</v>
      </c>
      <c r="E308" s="6" t="s">
        <v>2604</v>
      </c>
      <c r="F308" s="6">
        <v>27287</v>
      </c>
      <c r="G308" s="6" t="s">
        <v>2612</v>
      </c>
      <c r="H308" s="6" t="s">
        <v>2617</v>
      </c>
      <c r="I308" s="6" t="s">
        <v>2871</v>
      </c>
      <c r="J308" s="6" t="s">
        <v>3309</v>
      </c>
      <c r="K308" s="6">
        <v>23</v>
      </c>
    </row>
    <row r="309" spans="1:11" x14ac:dyDescent="0.3">
      <c r="A309" s="6" t="s">
        <v>318</v>
      </c>
      <c r="B309" s="6" t="s">
        <v>1614</v>
      </c>
      <c r="C309" s="7">
        <v>26966</v>
      </c>
      <c r="D309" s="8">
        <v>39681</v>
      </c>
      <c r="E309" s="6" t="s">
        <v>2599</v>
      </c>
      <c r="F309" s="6">
        <v>100859</v>
      </c>
      <c r="G309" s="6" t="s">
        <v>2606</v>
      </c>
      <c r="H309" s="6" t="s">
        <v>2616</v>
      </c>
      <c r="I309" s="6" t="s">
        <v>2765</v>
      </c>
      <c r="J309" s="6" t="s">
        <v>3308</v>
      </c>
      <c r="K309" s="6">
        <v>17</v>
      </c>
    </row>
    <row r="310" spans="1:11" x14ac:dyDescent="0.3">
      <c r="A310" s="6" t="s">
        <v>319</v>
      </c>
      <c r="B310" s="6" t="s">
        <v>1615</v>
      </c>
      <c r="C310" s="7">
        <v>34132</v>
      </c>
      <c r="D310" s="8">
        <v>30565</v>
      </c>
      <c r="E310" s="6" t="s">
        <v>2602</v>
      </c>
      <c r="F310" s="6">
        <v>106730</v>
      </c>
      <c r="G310" s="6" t="s">
        <v>2607</v>
      </c>
      <c r="H310" s="6" t="s">
        <v>2616</v>
      </c>
      <c r="I310" s="6" t="s">
        <v>2872</v>
      </c>
      <c r="J310" s="6" t="s">
        <v>3308</v>
      </c>
      <c r="K310" s="6">
        <v>42</v>
      </c>
    </row>
    <row r="311" spans="1:11" x14ac:dyDescent="0.3">
      <c r="A311" s="6" t="s">
        <v>320</v>
      </c>
      <c r="B311" s="6" t="s">
        <v>1616</v>
      </c>
      <c r="C311" s="7">
        <v>37418</v>
      </c>
      <c r="D311" s="8">
        <v>28651</v>
      </c>
      <c r="E311" s="6" t="s">
        <v>2602</v>
      </c>
      <c r="F311" s="6">
        <v>160389</v>
      </c>
      <c r="G311" s="6" t="s">
        <v>2613</v>
      </c>
      <c r="H311" s="6" t="s">
        <v>2617</v>
      </c>
      <c r="I311" s="6" t="s">
        <v>2873</v>
      </c>
      <c r="J311" s="6" t="s">
        <v>3309</v>
      </c>
      <c r="K311" s="6">
        <v>47</v>
      </c>
    </row>
    <row r="312" spans="1:11" x14ac:dyDescent="0.3">
      <c r="A312" s="6" t="s">
        <v>321</v>
      </c>
      <c r="B312" s="6" t="s">
        <v>1617</v>
      </c>
      <c r="C312" s="7">
        <v>28101</v>
      </c>
      <c r="D312" s="8">
        <v>37792</v>
      </c>
      <c r="E312" s="6" t="s">
        <v>2600</v>
      </c>
      <c r="F312" s="6">
        <v>116981</v>
      </c>
      <c r="G312" s="6" t="s">
        <v>2610</v>
      </c>
      <c r="H312" s="6" t="s">
        <v>2617</v>
      </c>
      <c r="I312" s="6" t="s">
        <v>2874</v>
      </c>
      <c r="J312" s="6" t="s">
        <v>3310</v>
      </c>
      <c r="K312" s="6">
        <v>22</v>
      </c>
    </row>
    <row r="313" spans="1:11" x14ac:dyDescent="0.3">
      <c r="A313" s="6" t="s">
        <v>322</v>
      </c>
      <c r="B313" s="6" t="s">
        <v>1618</v>
      </c>
      <c r="C313" s="7">
        <v>26389</v>
      </c>
      <c r="D313" s="8">
        <v>31008</v>
      </c>
      <c r="E313" s="6" t="s">
        <v>2604</v>
      </c>
      <c r="F313" s="6">
        <v>32827</v>
      </c>
      <c r="G313" s="6" t="s">
        <v>2608</v>
      </c>
      <c r="H313" s="6" t="s">
        <v>2616</v>
      </c>
      <c r="I313" s="6" t="s">
        <v>2875</v>
      </c>
      <c r="J313" s="6" t="s">
        <v>3307</v>
      </c>
      <c r="K313" s="6">
        <v>41</v>
      </c>
    </row>
    <row r="314" spans="1:11" x14ac:dyDescent="0.3">
      <c r="A314" s="6" t="s">
        <v>323</v>
      </c>
      <c r="B314" s="6" t="s">
        <v>1619</v>
      </c>
      <c r="C314" s="7">
        <v>36043</v>
      </c>
      <c r="D314" s="8">
        <v>40547</v>
      </c>
      <c r="E314" s="6" t="s">
        <v>2603</v>
      </c>
      <c r="F314" s="6">
        <v>29991</v>
      </c>
      <c r="G314" s="6" t="s">
        <v>2612</v>
      </c>
      <c r="H314" s="6" t="s">
        <v>2616</v>
      </c>
      <c r="I314" s="6" t="s">
        <v>2876</v>
      </c>
      <c r="J314" s="6" t="s">
        <v>3305</v>
      </c>
      <c r="K314" s="6">
        <v>14</v>
      </c>
    </row>
    <row r="315" spans="1:11" x14ac:dyDescent="0.3">
      <c r="A315" s="6" t="s">
        <v>324</v>
      </c>
      <c r="B315" s="6" t="s">
        <v>1620</v>
      </c>
      <c r="C315" s="7">
        <v>27615</v>
      </c>
      <c r="D315" s="8">
        <v>25781</v>
      </c>
      <c r="E315" s="6" t="s">
        <v>2602</v>
      </c>
      <c r="F315" s="6">
        <v>129233</v>
      </c>
      <c r="G315" s="6" t="s">
        <v>2612</v>
      </c>
      <c r="H315" s="6" t="s">
        <v>2617</v>
      </c>
      <c r="I315" s="6" t="s">
        <v>2877</v>
      </c>
      <c r="J315" s="6" t="s">
        <v>3307</v>
      </c>
      <c r="K315" s="6">
        <v>55</v>
      </c>
    </row>
    <row r="316" spans="1:11" x14ac:dyDescent="0.3">
      <c r="A316" s="6" t="s">
        <v>325</v>
      </c>
      <c r="B316" s="6" t="s">
        <v>1621</v>
      </c>
      <c r="C316" s="7">
        <v>37460</v>
      </c>
      <c r="D316" s="8">
        <v>31638</v>
      </c>
      <c r="E316" s="6" t="s">
        <v>2603</v>
      </c>
      <c r="F316" s="6">
        <v>79263</v>
      </c>
      <c r="G316" s="6" t="s">
        <v>2612</v>
      </c>
      <c r="H316" s="6" t="s">
        <v>2616</v>
      </c>
      <c r="I316" s="6" t="s">
        <v>2878</v>
      </c>
      <c r="J316" s="6" t="s">
        <v>3308</v>
      </c>
      <c r="K316" s="6">
        <v>39</v>
      </c>
    </row>
    <row r="317" spans="1:11" x14ac:dyDescent="0.3">
      <c r="A317" s="6" t="s">
        <v>326</v>
      </c>
      <c r="B317" s="6" t="s">
        <v>1622</v>
      </c>
      <c r="C317" s="7">
        <v>32881</v>
      </c>
      <c r="D317" s="8">
        <v>41896</v>
      </c>
      <c r="E317" s="6" t="s">
        <v>2599</v>
      </c>
      <c r="F317" s="6">
        <v>71594</v>
      </c>
      <c r="G317" s="6" t="s">
        <v>2606</v>
      </c>
      <c r="H317" s="6" t="s">
        <v>2616</v>
      </c>
      <c r="I317" s="6" t="s">
        <v>2676</v>
      </c>
      <c r="J317" s="6" t="s">
        <v>3308</v>
      </c>
      <c r="K317" s="6">
        <v>11</v>
      </c>
    </row>
    <row r="318" spans="1:11" x14ac:dyDescent="0.3">
      <c r="A318" s="6" t="s">
        <v>327</v>
      </c>
      <c r="B318" s="6" t="s">
        <v>1623</v>
      </c>
      <c r="C318" s="7">
        <v>25137</v>
      </c>
      <c r="D318" s="8">
        <v>26491</v>
      </c>
      <c r="E318" s="6" t="s">
        <v>2599</v>
      </c>
      <c r="F318" s="6">
        <v>141327</v>
      </c>
      <c r="G318" s="6" t="s">
        <v>2615</v>
      </c>
      <c r="H318" s="6" t="s">
        <v>2616</v>
      </c>
      <c r="I318" s="6" t="s">
        <v>2879</v>
      </c>
      <c r="J318" s="6" t="s">
        <v>3304</v>
      </c>
      <c r="K318" s="6">
        <v>53</v>
      </c>
    </row>
    <row r="319" spans="1:11" x14ac:dyDescent="0.3">
      <c r="A319" s="6" t="s">
        <v>328</v>
      </c>
      <c r="B319" s="6" t="s">
        <v>1624</v>
      </c>
      <c r="C319" s="7">
        <v>35380</v>
      </c>
      <c r="D319" s="8">
        <v>25712</v>
      </c>
      <c r="E319" s="6" t="s">
        <v>2601</v>
      </c>
      <c r="F319" s="6">
        <v>131728</v>
      </c>
      <c r="G319" s="6" t="s">
        <v>2606</v>
      </c>
      <c r="H319" s="6" t="s">
        <v>2616</v>
      </c>
      <c r="I319" s="6" t="s">
        <v>2677</v>
      </c>
      <c r="J319" s="6" t="s">
        <v>3305</v>
      </c>
      <c r="K319" s="6">
        <v>55</v>
      </c>
    </row>
    <row r="320" spans="1:11" x14ac:dyDescent="0.3">
      <c r="A320" s="6" t="s">
        <v>329</v>
      </c>
      <c r="B320" s="6" t="s">
        <v>1625</v>
      </c>
      <c r="C320" s="7">
        <v>36480</v>
      </c>
      <c r="D320" s="8">
        <v>25583</v>
      </c>
      <c r="E320" s="6" t="s">
        <v>2604</v>
      </c>
      <c r="F320" s="6">
        <v>194554</v>
      </c>
      <c r="G320" s="6" t="s">
        <v>2611</v>
      </c>
      <c r="H320" s="6" t="s">
        <v>2617</v>
      </c>
      <c r="I320" s="6" t="s">
        <v>2880</v>
      </c>
      <c r="J320" s="6" t="s">
        <v>3304</v>
      </c>
      <c r="K320" s="6">
        <v>55</v>
      </c>
    </row>
    <row r="321" spans="1:11" x14ac:dyDescent="0.3">
      <c r="A321" s="6" t="s">
        <v>330</v>
      </c>
      <c r="B321" s="6" t="s">
        <v>1626</v>
      </c>
      <c r="C321" s="7">
        <v>34773</v>
      </c>
      <c r="D321" s="8">
        <v>34620</v>
      </c>
      <c r="E321" s="6" t="s">
        <v>2600</v>
      </c>
      <c r="F321" s="6">
        <v>87363</v>
      </c>
      <c r="G321" s="6" t="s">
        <v>2609</v>
      </c>
      <c r="H321" s="6" t="s">
        <v>2617</v>
      </c>
      <c r="I321" s="6" t="s">
        <v>2667</v>
      </c>
      <c r="J321" s="6" t="s">
        <v>3309</v>
      </c>
      <c r="K321" s="6">
        <v>31</v>
      </c>
    </row>
    <row r="322" spans="1:11" x14ac:dyDescent="0.3">
      <c r="A322" s="6" t="s">
        <v>331</v>
      </c>
      <c r="B322" s="6" t="s">
        <v>1627</v>
      </c>
      <c r="C322" s="7">
        <v>31362</v>
      </c>
      <c r="D322" s="8">
        <v>31061</v>
      </c>
      <c r="E322" s="6" t="s">
        <v>2601</v>
      </c>
      <c r="F322" s="6">
        <v>146944</v>
      </c>
      <c r="G322" s="6" t="s">
        <v>2614</v>
      </c>
      <c r="H322" s="6" t="s">
        <v>2617</v>
      </c>
      <c r="I322" s="6" t="s">
        <v>2881</v>
      </c>
      <c r="J322" s="6" t="s">
        <v>3309</v>
      </c>
      <c r="K322" s="6">
        <v>40</v>
      </c>
    </row>
    <row r="323" spans="1:11" x14ac:dyDescent="0.3">
      <c r="A323" s="6" t="s">
        <v>332</v>
      </c>
      <c r="B323" s="6" t="s">
        <v>1628</v>
      </c>
      <c r="C323" s="7">
        <v>33894</v>
      </c>
      <c r="D323" s="8">
        <v>34269</v>
      </c>
      <c r="E323" s="6" t="s">
        <v>2605</v>
      </c>
      <c r="F323" s="6">
        <v>166630</v>
      </c>
      <c r="G323" s="6" t="s">
        <v>2613</v>
      </c>
      <c r="H323" s="6" t="s">
        <v>2616</v>
      </c>
      <c r="I323" s="6" t="s">
        <v>2882</v>
      </c>
      <c r="J323" s="6" t="s">
        <v>3304</v>
      </c>
      <c r="K323" s="6">
        <v>32</v>
      </c>
    </row>
    <row r="324" spans="1:11" x14ac:dyDescent="0.3">
      <c r="A324" s="6" t="s">
        <v>333</v>
      </c>
      <c r="B324" s="6" t="s">
        <v>1629</v>
      </c>
      <c r="C324" s="7">
        <v>25362</v>
      </c>
      <c r="D324" s="8">
        <v>37966</v>
      </c>
      <c r="E324" s="6" t="s">
        <v>2602</v>
      </c>
      <c r="F324" s="6">
        <v>115248</v>
      </c>
      <c r="G324" s="6" t="s">
        <v>2615</v>
      </c>
      <c r="H324" s="6" t="s">
        <v>2617</v>
      </c>
      <c r="I324" s="6" t="s">
        <v>2883</v>
      </c>
      <c r="J324" s="6" t="s">
        <v>3305</v>
      </c>
      <c r="K324" s="6">
        <v>22</v>
      </c>
    </row>
    <row r="325" spans="1:11" x14ac:dyDescent="0.3">
      <c r="A325" s="6" t="s">
        <v>334</v>
      </c>
      <c r="B325" s="6" t="s">
        <v>1630</v>
      </c>
      <c r="C325" s="7">
        <v>26948</v>
      </c>
      <c r="D325" s="8">
        <v>38276</v>
      </c>
      <c r="E325" s="6" t="s">
        <v>2602</v>
      </c>
      <c r="F325" s="6">
        <v>115783</v>
      </c>
      <c r="G325" s="6" t="s">
        <v>2612</v>
      </c>
      <c r="H325" s="6" t="s">
        <v>2617</v>
      </c>
      <c r="I325" s="6" t="s">
        <v>2884</v>
      </c>
      <c r="J325" s="6" t="s">
        <v>3310</v>
      </c>
      <c r="K325" s="6">
        <v>21</v>
      </c>
    </row>
    <row r="326" spans="1:11" x14ac:dyDescent="0.3">
      <c r="A326" s="6" t="s">
        <v>335</v>
      </c>
      <c r="B326" s="6" t="s">
        <v>1631</v>
      </c>
      <c r="C326" s="7">
        <v>28076</v>
      </c>
      <c r="D326" s="8">
        <v>29856</v>
      </c>
      <c r="E326" s="6" t="s">
        <v>2602</v>
      </c>
      <c r="F326" s="6">
        <v>184270</v>
      </c>
      <c r="G326" s="6" t="s">
        <v>2611</v>
      </c>
      <c r="H326" s="6" t="s">
        <v>2616</v>
      </c>
      <c r="I326" s="6" t="s">
        <v>2885</v>
      </c>
      <c r="J326" s="6" t="s">
        <v>3306</v>
      </c>
      <c r="K326" s="6">
        <v>44</v>
      </c>
    </row>
    <row r="327" spans="1:11" x14ac:dyDescent="0.3">
      <c r="A327" s="6" t="s">
        <v>336</v>
      </c>
      <c r="B327" s="6" t="s">
        <v>1632</v>
      </c>
      <c r="C327" s="7">
        <v>31199</v>
      </c>
      <c r="D327" s="8">
        <v>41792</v>
      </c>
      <c r="E327" s="6" t="s">
        <v>2605</v>
      </c>
      <c r="F327" s="6">
        <v>44021</v>
      </c>
      <c r="G327" s="6" t="s">
        <v>2612</v>
      </c>
      <c r="H327" s="6" t="s">
        <v>2616</v>
      </c>
      <c r="I327" s="6" t="s">
        <v>2886</v>
      </c>
      <c r="J327" s="6" t="s">
        <v>3305</v>
      </c>
      <c r="K327" s="6">
        <v>11</v>
      </c>
    </row>
    <row r="328" spans="1:11" x14ac:dyDescent="0.3">
      <c r="A328" s="6" t="s">
        <v>337</v>
      </c>
      <c r="B328" s="6" t="s">
        <v>1633</v>
      </c>
      <c r="C328" s="7">
        <v>28859</v>
      </c>
      <c r="D328" s="8">
        <v>27509</v>
      </c>
      <c r="E328" s="6" t="s">
        <v>2602</v>
      </c>
      <c r="F328" s="6">
        <v>57728</v>
      </c>
      <c r="G328" s="6" t="s">
        <v>2609</v>
      </c>
      <c r="H328" s="6" t="s">
        <v>2616</v>
      </c>
      <c r="I328" s="6" t="s">
        <v>2887</v>
      </c>
      <c r="J328" s="6" t="s">
        <v>3310</v>
      </c>
      <c r="K328" s="6">
        <v>50</v>
      </c>
    </row>
    <row r="329" spans="1:11" x14ac:dyDescent="0.3">
      <c r="A329" s="6" t="s">
        <v>338</v>
      </c>
      <c r="B329" s="6" t="s">
        <v>1634</v>
      </c>
      <c r="C329" s="7">
        <v>32555</v>
      </c>
      <c r="D329" s="8">
        <v>37376</v>
      </c>
      <c r="E329" s="6" t="s">
        <v>2605</v>
      </c>
      <c r="F329" s="6">
        <v>73569</v>
      </c>
      <c r="G329" s="6" t="s">
        <v>2607</v>
      </c>
      <c r="H329" s="6" t="s">
        <v>2616</v>
      </c>
      <c r="I329" s="6" t="s">
        <v>2758</v>
      </c>
      <c r="J329" s="6" t="s">
        <v>3304</v>
      </c>
      <c r="K329" s="6">
        <v>23</v>
      </c>
    </row>
    <row r="330" spans="1:11" x14ac:dyDescent="0.3">
      <c r="A330" s="6" t="s">
        <v>339</v>
      </c>
      <c r="B330" s="6" t="s">
        <v>1635</v>
      </c>
      <c r="C330" s="7">
        <v>25321</v>
      </c>
      <c r="D330" s="8">
        <v>42544</v>
      </c>
      <c r="E330" s="6" t="s">
        <v>2605</v>
      </c>
      <c r="F330" s="6">
        <v>125220</v>
      </c>
      <c r="G330" s="6" t="s">
        <v>2611</v>
      </c>
      <c r="H330" s="6" t="s">
        <v>2616</v>
      </c>
      <c r="I330" s="6" t="s">
        <v>2706</v>
      </c>
      <c r="J330" s="6" t="s">
        <v>3310</v>
      </c>
      <c r="K330" s="6">
        <v>9</v>
      </c>
    </row>
    <row r="331" spans="1:11" x14ac:dyDescent="0.3">
      <c r="A331" s="6" t="s">
        <v>340</v>
      </c>
      <c r="B331" s="6" t="s">
        <v>1636</v>
      </c>
      <c r="C331" s="7">
        <v>23498</v>
      </c>
      <c r="D331" s="8">
        <v>29597</v>
      </c>
      <c r="E331" s="6" t="s">
        <v>2599</v>
      </c>
      <c r="F331" s="6">
        <v>101632</v>
      </c>
      <c r="G331" s="6" t="s">
        <v>2612</v>
      </c>
      <c r="H331" s="6" t="s">
        <v>2616</v>
      </c>
      <c r="I331" s="6" t="s">
        <v>2888</v>
      </c>
      <c r="J331" s="6" t="s">
        <v>3309</v>
      </c>
      <c r="K331" s="6">
        <v>44</v>
      </c>
    </row>
    <row r="332" spans="1:11" x14ac:dyDescent="0.3">
      <c r="A332" s="6" t="s">
        <v>341</v>
      </c>
      <c r="B332" s="6" t="s">
        <v>1637</v>
      </c>
      <c r="C332" s="7">
        <v>22351</v>
      </c>
      <c r="D332" s="8">
        <v>26370</v>
      </c>
      <c r="E332" s="6" t="s">
        <v>2601</v>
      </c>
      <c r="F332" s="6">
        <v>165616</v>
      </c>
      <c r="G332" s="6" t="s">
        <v>2607</v>
      </c>
      <c r="H332" s="6" t="s">
        <v>2617</v>
      </c>
      <c r="I332" s="6" t="s">
        <v>2682</v>
      </c>
      <c r="J332" s="6" t="s">
        <v>3309</v>
      </c>
      <c r="K332" s="6">
        <v>53</v>
      </c>
    </row>
    <row r="333" spans="1:11" x14ac:dyDescent="0.3">
      <c r="A333" s="6" t="s">
        <v>342</v>
      </c>
      <c r="B333" s="6" t="s">
        <v>1638</v>
      </c>
      <c r="C333" s="7">
        <v>25300</v>
      </c>
      <c r="D333" s="8">
        <v>31832</v>
      </c>
      <c r="E333" s="6" t="s">
        <v>2603</v>
      </c>
      <c r="F333" s="6">
        <v>86889</v>
      </c>
      <c r="G333" s="6" t="s">
        <v>2613</v>
      </c>
      <c r="H333" s="6" t="s">
        <v>2617</v>
      </c>
      <c r="I333" s="6" t="s">
        <v>2889</v>
      </c>
      <c r="J333" s="6" t="s">
        <v>3309</v>
      </c>
      <c r="K333" s="6">
        <v>38</v>
      </c>
    </row>
    <row r="334" spans="1:11" x14ac:dyDescent="0.3">
      <c r="A334" s="6" t="s">
        <v>343</v>
      </c>
      <c r="B334" s="6" t="s">
        <v>1639</v>
      </c>
      <c r="C334" s="7">
        <v>23295</v>
      </c>
      <c r="D334" s="8">
        <v>43361</v>
      </c>
      <c r="E334" s="6" t="s">
        <v>2602</v>
      </c>
      <c r="F334" s="6">
        <v>135799</v>
      </c>
      <c r="G334" s="6" t="s">
        <v>2607</v>
      </c>
      <c r="H334" s="6" t="s">
        <v>2616</v>
      </c>
      <c r="I334" s="6" t="s">
        <v>2890</v>
      </c>
      <c r="J334" s="6" t="s">
        <v>3308</v>
      </c>
      <c r="K334" s="6">
        <v>7</v>
      </c>
    </row>
    <row r="335" spans="1:11" x14ac:dyDescent="0.3">
      <c r="A335" s="6" t="s">
        <v>344</v>
      </c>
      <c r="B335" s="6" t="s">
        <v>1640</v>
      </c>
      <c r="C335" s="7">
        <v>31878</v>
      </c>
      <c r="D335" s="8">
        <v>30943</v>
      </c>
      <c r="E335" s="6" t="s">
        <v>2600</v>
      </c>
      <c r="F335" s="6">
        <v>24208</v>
      </c>
      <c r="G335" s="6" t="s">
        <v>2615</v>
      </c>
      <c r="H335" s="6" t="s">
        <v>2617</v>
      </c>
      <c r="I335" s="6" t="s">
        <v>2736</v>
      </c>
      <c r="J335" s="6" t="s">
        <v>3308</v>
      </c>
      <c r="K335" s="6">
        <v>41</v>
      </c>
    </row>
    <row r="336" spans="1:11" x14ac:dyDescent="0.3">
      <c r="A336" s="6" t="s">
        <v>345</v>
      </c>
      <c r="B336" s="6" t="s">
        <v>1641</v>
      </c>
      <c r="C336" s="7">
        <v>31353</v>
      </c>
      <c r="D336" s="8">
        <v>40819</v>
      </c>
      <c r="E336" s="6" t="s">
        <v>2602</v>
      </c>
      <c r="F336" s="6">
        <v>135150</v>
      </c>
      <c r="G336" s="6" t="s">
        <v>2611</v>
      </c>
      <c r="H336" s="6" t="s">
        <v>2617</v>
      </c>
      <c r="I336" s="6" t="s">
        <v>2891</v>
      </c>
      <c r="J336" s="6" t="s">
        <v>3309</v>
      </c>
      <c r="K336" s="6">
        <v>14</v>
      </c>
    </row>
    <row r="337" spans="1:11" x14ac:dyDescent="0.3">
      <c r="A337" s="6" t="s">
        <v>346</v>
      </c>
      <c r="B337" s="6" t="s">
        <v>1642</v>
      </c>
      <c r="C337" s="7">
        <v>30581</v>
      </c>
      <c r="D337" s="8">
        <v>38050</v>
      </c>
      <c r="E337" s="6" t="s">
        <v>2604</v>
      </c>
      <c r="F337" s="6">
        <v>105776</v>
      </c>
      <c r="G337" s="6" t="s">
        <v>2615</v>
      </c>
      <c r="H337" s="6" t="s">
        <v>2617</v>
      </c>
      <c r="I337" s="6" t="s">
        <v>2892</v>
      </c>
      <c r="J337" s="6" t="s">
        <v>3307</v>
      </c>
      <c r="K337" s="6">
        <v>21</v>
      </c>
    </row>
    <row r="338" spans="1:11" x14ac:dyDescent="0.3">
      <c r="A338" s="6" t="s">
        <v>347</v>
      </c>
      <c r="B338" s="6" t="s">
        <v>1643</v>
      </c>
      <c r="C338" s="7">
        <v>32325</v>
      </c>
      <c r="D338" s="8">
        <v>30897</v>
      </c>
      <c r="E338" s="6" t="s">
        <v>2603</v>
      </c>
      <c r="F338" s="6">
        <v>157884</v>
      </c>
      <c r="G338" s="6" t="s">
        <v>2610</v>
      </c>
      <c r="H338" s="6" t="s">
        <v>2616</v>
      </c>
      <c r="I338" s="6" t="s">
        <v>2893</v>
      </c>
      <c r="J338" s="6" t="s">
        <v>3308</v>
      </c>
      <c r="K338" s="6">
        <v>41</v>
      </c>
    </row>
    <row r="339" spans="1:11" x14ac:dyDescent="0.3">
      <c r="A339" s="6" t="s">
        <v>348</v>
      </c>
      <c r="B339" s="6" t="s">
        <v>1644</v>
      </c>
      <c r="C339" s="7">
        <v>32386</v>
      </c>
      <c r="D339" s="8">
        <v>42530</v>
      </c>
      <c r="E339" s="6" t="s">
        <v>2603</v>
      </c>
      <c r="F339" s="6">
        <v>169702</v>
      </c>
      <c r="G339" s="6" t="s">
        <v>2615</v>
      </c>
      <c r="H339" s="6" t="s">
        <v>2617</v>
      </c>
      <c r="I339" s="6" t="s">
        <v>2894</v>
      </c>
      <c r="J339" s="6" t="s">
        <v>3304</v>
      </c>
      <c r="K339" s="6">
        <v>9</v>
      </c>
    </row>
    <row r="340" spans="1:11" x14ac:dyDescent="0.3">
      <c r="A340" s="6" t="s">
        <v>349</v>
      </c>
      <c r="B340" s="6" t="s">
        <v>1645</v>
      </c>
      <c r="C340" s="7">
        <v>28465</v>
      </c>
      <c r="D340" s="8">
        <v>26382</v>
      </c>
      <c r="E340" s="6" t="s">
        <v>2602</v>
      </c>
      <c r="F340" s="6">
        <v>111801</v>
      </c>
      <c r="G340" s="6" t="s">
        <v>2606</v>
      </c>
      <c r="H340" s="6" t="s">
        <v>2617</v>
      </c>
      <c r="I340" s="6" t="s">
        <v>2895</v>
      </c>
      <c r="J340" s="6" t="s">
        <v>3308</v>
      </c>
      <c r="K340" s="6">
        <v>53</v>
      </c>
    </row>
    <row r="341" spans="1:11" x14ac:dyDescent="0.3">
      <c r="A341" s="6" t="s">
        <v>350</v>
      </c>
      <c r="B341" s="6" t="s">
        <v>1646</v>
      </c>
      <c r="C341" s="7">
        <v>32872</v>
      </c>
      <c r="D341" s="8">
        <v>42452</v>
      </c>
      <c r="E341" s="6" t="s">
        <v>2602</v>
      </c>
      <c r="F341" s="6">
        <v>48841</v>
      </c>
      <c r="G341" s="6" t="s">
        <v>2615</v>
      </c>
      <c r="H341" s="6" t="s">
        <v>2617</v>
      </c>
      <c r="I341" s="6" t="s">
        <v>2896</v>
      </c>
      <c r="J341" s="6" t="s">
        <v>3309</v>
      </c>
      <c r="K341" s="6">
        <v>9</v>
      </c>
    </row>
    <row r="342" spans="1:11" x14ac:dyDescent="0.3">
      <c r="A342" s="6" t="s">
        <v>351</v>
      </c>
      <c r="B342" s="6" t="s">
        <v>1647</v>
      </c>
      <c r="C342" s="7">
        <v>30800</v>
      </c>
      <c r="D342" s="8">
        <v>35335</v>
      </c>
      <c r="E342" s="6" t="s">
        <v>2603</v>
      </c>
      <c r="F342" s="6">
        <v>117145</v>
      </c>
      <c r="G342" s="6" t="s">
        <v>2613</v>
      </c>
      <c r="H342" s="6" t="s">
        <v>2617</v>
      </c>
      <c r="I342" s="6" t="s">
        <v>2897</v>
      </c>
      <c r="J342" s="6" t="s">
        <v>3308</v>
      </c>
      <c r="K342" s="6">
        <v>29</v>
      </c>
    </row>
    <row r="343" spans="1:11" x14ac:dyDescent="0.3">
      <c r="A343" s="6" t="s">
        <v>352</v>
      </c>
      <c r="B343" s="6" t="s">
        <v>1648</v>
      </c>
      <c r="C343" s="7">
        <v>35463</v>
      </c>
      <c r="D343" s="8">
        <v>37947</v>
      </c>
      <c r="E343" s="6" t="s">
        <v>2599</v>
      </c>
      <c r="F343" s="6">
        <v>113671</v>
      </c>
      <c r="G343" s="6" t="s">
        <v>2611</v>
      </c>
      <c r="H343" s="6" t="s">
        <v>2617</v>
      </c>
      <c r="I343" s="6" t="s">
        <v>2898</v>
      </c>
      <c r="J343" s="6" t="s">
        <v>3308</v>
      </c>
      <c r="K343" s="6">
        <v>22</v>
      </c>
    </row>
    <row r="344" spans="1:11" x14ac:dyDescent="0.3">
      <c r="A344" s="6" t="s">
        <v>353</v>
      </c>
      <c r="B344" s="6" t="s">
        <v>1649</v>
      </c>
      <c r="C344" s="7">
        <v>33553</v>
      </c>
      <c r="D344" s="8">
        <v>29264</v>
      </c>
      <c r="E344" s="6" t="s">
        <v>2603</v>
      </c>
      <c r="F344" s="6">
        <v>27157</v>
      </c>
      <c r="G344" s="6" t="s">
        <v>2610</v>
      </c>
      <c r="H344" s="6" t="s">
        <v>2616</v>
      </c>
      <c r="I344" s="6" t="s">
        <v>2831</v>
      </c>
      <c r="J344" s="6" t="s">
        <v>3309</v>
      </c>
      <c r="K344" s="6">
        <v>45</v>
      </c>
    </row>
    <row r="345" spans="1:11" x14ac:dyDescent="0.3">
      <c r="A345" s="6" t="s">
        <v>354</v>
      </c>
      <c r="B345" s="6" t="s">
        <v>1650</v>
      </c>
      <c r="C345" s="7">
        <v>35012</v>
      </c>
      <c r="D345" s="8">
        <v>36816</v>
      </c>
      <c r="E345" s="6" t="s">
        <v>2604</v>
      </c>
      <c r="F345" s="6">
        <v>70751</v>
      </c>
      <c r="G345" s="6" t="s">
        <v>2606</v>
      </c>
      <c r="H345" s="6" t="s">
        <v>2616</v>
      </c>
      <c r="I345" s="6" t="s">
        <v>2899</v>
      </c>
      <c r="J345" s="6" t="s">
        <v>3308</v>
      </c>
      <c r="K345" s="6">
        <v>25</v>
      </c>
    </row>
    <row r="346" spans="1:11" x14ac:dyDescent="0.3">
      <c r="A346" s="6" t="s">
        <v>355</v>
      </c>
      <c r="B346" s="6" t="s">
        <v>1651</v>
      </c>
      <c r="C346" s="7">
        <v>32405</v>
      </c>
      <c r="D346" s="8">
        <v>40100</v>
      </c>
      <c r="E346" s="6" t="s">
        <v>2600</v>
      </c>
      <c r="F346" s="6">
        <v>169961</v>
      </c>
      <c r="G346" s="6" t="s">
        <v>2612</v>
      </c>
      <c r="H346" s="6" t="s">
        <v>2616</v>
      </c>
      <c r="I346" s="6" t="s">
        <v>2900</v>
      </c>
      <c r="J346" s="6" t="s">
        <v>3306</v>
      </c>
      <c r="K346" s="6">
        <v>16</v>
      </c>
    </row>
    <row r="347" spans="1:11" x14ac:dyDescent="0.3">
      <c r="A347" s="6" t="s">
        <v>356</v>
      </c>
      <c r="B347" s="6" t="s">
        <v>1652</v>
      </c>
      <c r="C347" s="7">
        <v>21894</v>
      </c>
      <c r="D347" s="8">
        <v>26788</v>
      </c>
      <c r="E347" s="6" t="s">
        <v>2599</v>
      </c>
      <c r="F347" s="6">
        <v>55690</v>
      </c>
      <c r="G347" s="6" t="s">
        <v>2614</v>
      </c>
      <c r="H347" s="6" t="s">
        <v>2616</v>
      </c>
      <c r="I347" s="6" t="s">
        <v>2901</v>
      </c>
      <c r="J347" s="6" t="s">
        <v>3307</v>
      </c>
      <c r="K347" s="6">
        <v>52</v>
      </c>
    </row>
    <row r="348" spans="1:11" x14ac:dyDescent="0.3">
      <c r="A348" s="6" t="s">
        <v>357</v>
      </c>
      <c r="B348" s="6" t="s">
        <v>1653</v>
      </c>
      <c r="C348" s="7">
        <v>35544</v>
      </c>
      <c r="D348" s="8">
        <v>39485</v>
      </c>
      <c r="E348" s="6" t="s">
        <v>2599</v>
      </c>
      <c r="F348" s="6">
        <v>176147</v>
      </c>
      <c r="G348" s="6" t="s">
        <v>2610</v>
      </c>
      <c r="H348" s="6" t="s">
        <v>2616</v>
      </c>
      <c r="I348" s="6" t="s">
        <v>2667</v>
      </c>
      <c r="J348" s="6" t="s">
        <v>3306</v>
      </c>
      <c r="K348" s="6">
        <v>17</v>
      </c>
    </row>
    <row r="349" spans="1:11" x14ac:dyDescent="0.3">
      <c r="A349" s="6" t="s">
        <v>358</v>
      </c>
      <c r="B349" s="6" t="s">
        <v>1654</v>
      </c>
      <c r="C349" s="7">
        <v>22066</v>
      </c>
      <c r="D349" s="8">
        <v>25706</v>
      </c>
      <c r="E349" s="6" t="s">
        <v>2602</v>
      </c>
      <c r="F349" s="6">
        <v>115424</v>
      </c>
      <c r="G349" s="6" t="s">
        <v>2614</v>
      </c>
      <c r="H349" s="6" t="s">
        <v>2616</v>
      </c>
      <c r="I349" s="6" t="s">
        <v>2668</v>
      </c>
      <c r="J349" s="6" t="s">
        <v>3307</v>
      </c>
      <c r="K349" s="6">
        <v>55</v>
      </c>
    </row>
    <row r="350" spans="1:11" x14ac:dyDescent="0.3">
      <c r="A350" s="6" t="s">
        <v>359</v>
      </c>
      <c r="B350" s="6" t="s">
        <v>1655</v>
      </c>
      <c r="C350" s="7">
        <v>34875</v>
      </c>
      <c r="D350" s="8">
        <v>41906</v>
      </c>
      <c r="E350" s="6" t="s">
        <v>2601</v>
      </c>
      <c r="F350" s="6">
        <v>50506</v>
      </c>
      <c r="G350" s="6" t="s">
        <v>2607</v>
      </c>
      <c r="H350" s="6" t="s">
        <v>2616</v>
      </c>
      <c r="I350" s="6" t="s">
        <v>2902</v>
      </c>
      <c r="J350" s="6" t="s">
        <v>3309</v>
      </c>
      <c r="K350" s="6">
        <v>11</v>
      </c>
    </row>
    <row r="351" spans="1:11" x14ac:dyDescent="0.3">
      <c r="A351" s="6" t="s">
        <v>360</v>
      </c>
      <c r="B351" s="6" t="s">
        <v>1656</v>
      </c>
      <c r="C351" s="7">
        <v>27942</v>
      </c>
      <c r="D351" s="8">
        <v>42535</v>
      </c>
      <c r="E351" s="6" t="s">
        <v>2599</v>
      </c>
      <c r="F351" s="6">
        <v>168863</v>
      </c>
      <c r="G351" s="6" t="s">
        <v>2611</v>
      </c>
      <c r="H351" s="6" t="s">
        <v>2616</v>
      </c>
      <c r="I351" s="6" t="s">
        <v>2903</v>
      </c>
      <c r="J351" s="6" t="s">
        <v>3306</v>
      </c>
      <c r="K351" s="6">
        <v>9</v>
      </c>
    </row>
    <row r="352" spans="1:11" x14ac:dyDescent="0.3">
      <c r="A352" s="6" t="s">
        <v>361</v>
      </c>
      <c r="B352" s="6" t="s">
        <v>1657</v>
      </c>
      <c r="C352" s="7">
        <v>24996</v>
      </c>
      <c r="D352" s="8">
        <v>29318</v>
      </c>
      <c r="E352" s="6" t="s">
        <v>2600</v>
      </c>
      <c r="F352" s="6">
        <v>177790</v>
      </c>
      <c r="G352" s="6" t="s">
        <v>2608</v>
      </c>
      <c r="H352" s="6" t="s">
        <v>2616</v>
      </c>
      <c r="I352" s="6" t="s">
        <v>2904</v>
      </c>
      <c r="J352" s="6" t="s">
        <v>3307</v>
      </c>
      <c r="K352" s="6">
        <v>45</v>
      </c>
    </row>
    <row r="353" spans="1:11" x14ac:dyDescent="0.3">
      <c r="A353" s="6" t="s">
        <v>362</v>
      </c>
      <c r="B353" s="6" t="s">
        <v>1658</v>
      </c>
      <c r="C353" s="7">
        <v>21863</v>
      </c>
      <c r="D353" s="8">
        <v>43942</v>
      </c>
      <c r="E353" s="6" t="s">
        <v>2599</v>
      </c>
      <c r="F353" s="6">
        <v>130953</v>
      </c>
      <c r="G353" s="6" t="s">
        <v>2606</v>
      </c>
      <c r="H353" s="6" t="s">
        <v>2617</v>
      </c>
      <c r="I353" s="6" t="s">
        <v>2905</v>
      </c>
      <c r="J353" s="6" t="s">
        <v>3308</v>
      </c>
      <c r="K353" s="6">
        <v>5</v>
      </c>
    </row>
    <row r="354" spans="1:11" x14ac:dyDescent="0.3">
      <c r="A354" s="6" t="s">
        <v>363</v>
      </c>
      <c r="B354" s="6" t="s">
        <v>1659</v>
      </c>
      <c r="C354" s="7">
        <v>28135</v>
      </c>
      <c r="D354" s="8">
        <v>39081</v>
      </c>
      <c r="E354" s="6" t="s">
        <v>2599</v>
      </c>
      <c r="F354" s="6">
        <v>104324</v>
      </c>
      <c r="G354" s="6" t="s">
        <v>2610</v>
      </c>
      <c r="H354" s="6" t="s">
        <v>2616</v>
      </c>
      <c r="I354" s="6" t="s">
        <v>2906</v>
      </c>
      <c r="J354" s="6" t="s">
        <v>3304</v>
      </c>
      <c r="K354" s="6">
        <v>19</v>
      </c>
    </row>
    <row r="355" spans="1:11" x14ac:dyDescent="0.3">
      <c r="A355" s="6" t="s">
        <v>364</v>
      </c>
      <c r="B355" s="6" t="s">
        <v>1660</v>
      </c>
      <c r="C355" s="7">
        <v>31209</v>
      </c>
      <c r="D355" s="8">
        <v>31751</v>
      </c>
      <c r="E355" s="6" t="s">
        <v>2602</v>
      </c>
      <c r="F355" s="6">
        <v>87017</v>
      </c>
      <c r="G355" s="6" t="s">
        <v>2615</v>
      </c>
      <c r="H355" s="6" t="s">
        <v>2617</v>
      </c>
      <c r="I355" s="6" t="s">
        <v>2907</v>
      </c>
      <c r="J355" s="6" t="s">
        <v>3309</v>
      </c>
      <c r="K355" s="6">
        <v>39</v>
      </c>
    </row>
    <row r="356" spans="1:11" x14ac:dyDescent="0.3">
      <c r="A356" s="6" t="s">
        <v>365</v>
      </c>
      <c r="B356" s="6" t="s">
        <v>1661</v>
      </c>
      <c r="C356" s="7">
        <v>23797</v>
      </c>
      <c r="D356" s="8">
        <v>40670</v>
      </c>
      <c r="E356" s="6" t="s">
        <v>2604</v>
      </c>
      <c r="F356" s="6">
        <v>23244</v>
      </c>
      <c r="G356" s="6" t="s">
        <v>2615</v>
      </c>
      <c r="H356" s="6" t="s">
        <v>2617</v>
      </c>
      <c r="I356" s="6" t="s">
        <v>2801</v>
      </c>
      <c r="J356" s="6" t="s">
        <v>3308</v>
      </c>
      <c r="K356" s="6">
        <v>14</v>
      </c>
    </row>
    <row r="357" spans="1:11" x14ac:dyDescent="0.3">
      <c r="A357" s="6" t="s">
        <v>366</v>
      </c>
      <c r="B357" s="6" t="s">
        <v>1662</v>
      </c>
      <c r="C357" s="7">
        <v>26275</v>
      </c>
      <c r="D357" s="8">
        <v>26081</v>
      </c>
      <c r="E357" s="6" t="s">
        <v>2599</v>
      </c>
      <c r="F357" s="6">
        <v>78154</v>
      </c>
      <c r="G357" s="6" t="s">
        <v>2611</v>
      </c>
      <c r="H357" s="6" t="s">
        <v>2616</v>
      </c>
      <c r="I357" s="6" t="s">
        <v>2899</v>
      </c>
      <c r="J357" s="6" t="s">
        <v>3307</v>
      </c>
      <c r="K357" s="6">
        <v>54</v>
      </c>
    </row>
    <row r="358" spans="1:11" x14ac:dyDescent="0.3">
      <c r="A358" s="6" t="s">
        <v>367</v>
      </c>
      <c r="B358" s="6" t="s">
        <v>1663</v>
      </c>
      <c r="C358" s="7">
        <v>27118</v>
      </c>
      <c r="D358" s="8">
        <v>41147</v>
      </c>
      <c r="E358" s="6" t="s">
        <v>2605</v>
      </c>
      <c r="F358" s="6">
        <v>144217</v>
      </c>
      <c r="G358" s="6" t="s">
        <v>2606</v>
      </c>
      <c r="H358" s="6" t="s">
        <v>2616</v>
      </c>
      <c r="I358" s="6" t="s">
        <v>2908</v>
      </c>
      <c r="J358" s="6" t="s">
        <v>3306</v>
      </c>
      <c r="K358" s="6">
        <v>13</v>
      </c>
    </row>
    <row r="359" spans="1:11" x14ac:dyDescent="0.3">
      <c r="A359" s="6" t="s">
        <v>368</v>
      </c>
      <c r="B359" s="6" t="s">
        <v>1664</v>
      </c>
      <c r="C359" s="7">
        <v>30402</v>
      </c>
      <c r="D359" s="8">
        <v>37504</v>
      </c>
      <c r="E359" s="6" t="s">
        <v>2602</v>
      </c>
      <c r="F359" s="6">
        <v>116759</v>
      </c>
      <c r="G359" s="6" t="s">
        <v>2612</v>
      </c>
      <c r="H359" s="6" t="s">
        <v>2617</v>
      </c>
      <c r="I359" s="6" t="s">
        <v>2909</v>
      </c>
      <c r="J359" s="6" t="s">
        <v>3306</v>
      </c>
      <c r="K359" s="6">
        <v>23</v>
      </c>
    </row>
    <row r="360" spans="1:11" x14ac:dyDescent="0.3">
      <c r="A360" s="6" t="s">
        <v>369</v>
      </c>
      <c r="B360" s="6" t="s">
        <v>1665</v>
      </c>
      <c r="C360" s="7">
        <v>25108</v>
      </c>
      <c r="D360" s="8">
        <v>33461</v>
      </c>
      <c r="E360" s="6" t="s">
        <v>2602</v>
      </c>
      <c r="F360" s="6">
        <v>65750</v>
      </c>
      <c r="G360" s="6" t="s">
        <v>2612</v>
      </c>
      <c r="H360" s="6" t="s">
        <v>2617</v>
      </c>
      <c r="I360" s="6" t="s">
        <v>2910</v>
      </c>
      <c r="J360" s="6" t="s">
        <v>3305</v>
      </c>
      <c r="K360" s="6">
        <v>34</v>
      </c>
    </row>
    <row r="361" spans="1:11" x14ac:dyDescent="0.3">
      <c r="A361" s="6" t="s">
        <v>370</v>
      </c>
      <c r="B361" s="6" t="s">
        <v>1666</v>
      </c>
      <c r="C361" s="7">
        <v>32143</v>
      </c>
      <c r="D361" s="8">
        <v>38160</v>
      </c>
      <c r="E361" s="6" t="s">
        <v>2603</v>
      </c>
      <c r="F361" s="6">
        <v>39850</v>
      </c>
      <c r="G361" s="6" t="s">
        <v>2615</v>
      </c>
      <c r="H361" s="6" t="s">
        <v>2616</v>
      </c>
      <c r="I361" s="6" t="s">
        <v>2911</v>
      </c>
      <c r="J361" s="6" t="s">
        <v>3307</v>
      </c>
      <c r="K361" s="6">
        <v>21</v>
      </c>
    </row>
    <row r="362" spans="1:11" x14ac:dyDescent="0.3">
      <c r="A362" s="6" t="s">
        <v>371</v>
      </c>
      <c r="B362" s="6" t="s">
        <v>1667</v>
      </c>
      <c r="C362" s="7">
        <v>34723</v>
      </c>
      <c r="D362" s="8">
        <v>29270</v>
      </c>
      <c r="E362" s="6" t="s">
        <v>2601</v>
      </c>
      <c r="F362" s="6">
        <v>148289</v>
      </c>
      <c r="G362" s="6" t="s">
        <v>2612</v>
      </c>
      <c r="H362" s="6" t="s">
        <v>2616</v>
      </c>
      <c r="I362" s="6" t="s">
        <v>2912</v>
      </c>
      <c r="J362" s="6" t="s">
        <v>3304</v>
      </c>
      <c r="K362" s="6">
        <v>45</v>
      </c>
    </row>
    <row r="363" spans="1:11" x14ac:dyDescent="0.3">
      <c r="A363" s="6" t="s">
        <v>372</v>
      </c>
      <c r="B363" s="6" t="s">
        <v>1668</v>
      </c>
      <c r="C363" s="7">
        <v>31339</v>
      </c>
      <c r="D363" s="8">
        <v>26461</v>
      </c>
      <c r="E363" s="6" t="s">
        <v>2603</v>
      </c>
      <c r="F363" s="6">
        <v>144471</v>
      </c>
      <c r="G363" s="6" t="s">
        <v>2609</v>
      </c>
      <c r="H363" s="6" t="s">
        <v>2617</v>
      </c>
      <c r="I363" s="6" t="s">
        <v>2771</v>
      </c>
      <c r="J363" s="6" t="s">
        <v>3304</v>
      </c>
      <c r="K363" s="6">
        <v>53</v>
      </c>
    </row>
    <row r="364" spans="1:11" x14ac:dyDescent="0.3">
      <c r="A364" s="6" t="s">
        <v>373</v>
      </c>
      <c r="B364" s="6" t="s">
        <v>1669</v>
      </c>
      <c r="C364" s="7">
        <v>33539</v>
      </c>
      <c r="D364" s="8">
        <v>39648</v>
      </c>
      <c r="E364" s="6" t="s">
        <v>2602</v>
      </c>
      <c r="F364" s="6">
        <v>162943</v>
      </c>
      <c r="G364" s="6" t="s">
        <v>2607</v>
      </c>
      <c r="H364" s="6" t="s">
        <v>2616</v>
      </c>
      <c r="I364" s="6" t="s">
        <v>2913</v>
      </c>
      <c r="J364" s="6" t="s">
        <v>3307</v>
      </c>
      <c r="K364" s="6">
        <v>17</v>
      </c>
    </row>
    <row r="365" spans="1:11" x14ac:dyDescent="0.3">
      <c r="A365" s="6" t="s">
        <v>374</v>
      </c>
      <c r="B365" s="6" t="s">
        <v>1670</v>
      </c>
      <c r="C365" s="7">
        <v>24682</v>
      </c>
      <c r="D365" s="8">
        <v>40583</v>
      </c>
      <c r="E365" s="6" t="s">
        <v>2604</v>
      </c>
      <c r="F365" s="6">
        <v>77602</v>
      </c>
      <c r="G365" s="6" t="s">
        <v>2608</v>
      </c>
      <c r="H365" s="6" t="s">
        <v>2616</v>
      </c>
      <c r="I365" s="6" t="s">
        <v>2842</v>
      </c>
      <c r="J365" s="6" t="s">
        <v>3306</v>
      </c>
      <c r="K365" s="6">
        <v>14</v>
      </c>
    </row>
    <row r="366" spans="1:11" x14ac:dyDescent="0.3">
      <c r="A366" s="6" t="s">
        <v>375</v>
      </c>
      <c r="B366" s="6" t="s">
        <v>1671</v>
      </c>
      <c r="C366" s="7">
        <v>36706</v>
      </c>
      <c r="D366" s="8">
        <v>26615</v>
      </c>
      <c r="E366" s="6" t="s">
        <v>2599</v>
      </c>
      <c r="F366" s="6">
        <v>97690</v>
      </c>
      <c r="G366" s="6" t="s">
        <v>2615</v>
      </c>
      <c r="H366" s="6" t="s">
        <v>2617</v>
      </c>
      <c r="I366" s="6" t="s">
        <v>2914</v>
      </c>
      <c r="J366" s="6" t="s">
        <v>3305</v>
      </c>
      <c r="K366" s="6">
        <v>53</v>
      </c>
    </row>
    <row r="367" spans="1:11" x14ac:dyDescent="0.3">
      <c r="A367" s="6" t="s">
        <v>376</v>
      </c>
      <c r="B367" s="6" t="s">
        <v>1672</v>
      </c>
      <c r="C367" s="7">
        <v>28418</v>
      </c>
      <c r="D367" s="8">
        <v>42138</v>
      </c>
      <c r="E367" s="6" t="s">
        <v>2605</v>
      </c>
      <c r="F367" s="6">
        <v>107583</v>
      </c>
      <c r="G367" s="6" t="s">
        <v>2609</v>
      </c>
      <c r="H367" s="6" t="s">
        <v>2616</v>
      </c>
      <c r="I367" s="6" t="s">
        <v>2915</v>
      </c>
      <c r="J367" s="6" t="s">
        <v>3307</v>
      </c>
      <c r="K367" s="6">
        <v>10</v>
      </c>
    </row>
    <row r="368" spans="1:11" x14ac:dyDescent="0.3">
      <c r="A368" s="6" t="s">
        <v>377</v>
      </c>
      <c r="B368" s="6" t="s">
        <v>1673</v>
      </c>
      <c r="C368" s="7">
        <v>21834</v>
      </c>
      <c r="D368" s="8">
        <v>29597</v>
      </c>
      <c r="E368" s="6" t="s">
        <v>2600</v>
      </c>
      <c r="F368" s="6">
        <v>63383</v>
      </c>
      <c r="G368" s="6" t="s">
        <v>2609</v>
      </c>
      <c r="H368" s="6" t="s">
        <v>2617</v>
      </c>
      <c r="I368" s="6" t="s">
        <v>2916</v>
      </c>
      <c r="J368" s="6" t="s">
        <v>3307</v>
      </c>
      <c r="K368" s="6">
        <v>44</v>
      </c>
    </row>
    <row r="369" spans="1:11" x14ac:dyDescent="0.3">
      <c r="A369" s="6" t="s">
        <v>378</v>
      </c>
      <c r="B369" s="6" t="s">
        <v>1674</v>
      </c>
      <c r="C369" s="7">
        <v>25168</v>
      </c>
      <c r="D369" s="8">
        <v>36453</v>
      </c>
      <c r="E369" s="6" t="s">
        <v>2599</v>
      </c>
      <c r="F369" s="6">
        <v>191140</v>
      </c>
      <c r="G369" s="6" t="s">
        <v>2606</v>
      </c>
      <c r="H369" s="6" t="s">
        <v>2617</v>
      </c>
      <c r="I369" s="6" t="s">
        <v>2733</v>
      </c>
      <c r="J369" s="6" t="s">
        <v>3308</v>
      </c>
      <c r="K369" s="6">
        <v>26</v>
      </c>
    </row>
    <row r="370" spans="1:11" x14ac:dyDescent="0.3">
      <c r="A370" s="6"/>
      <c r="B370" s="6"/>
      <c r="C370" s="7"/>
      <c r="D370" s="8"/>
      <c r="E370" s="6"/>
      <c r="F370" s="6"/>
      <c r="G370" s="6"/>
      <c r="H370" s="6"/>
      <c r="I370" s="6"/>
      <c r="J370" s="6"/>
      <c r="K370" s="6"/>
    </row>
    <row r="371" spans="1:11" x14ac:dyDescent="0.3">
      <c r="A371" s="6" t="s">
        <v>379</v>
      </c>
      <c r="B371" s="6" t="s">
        <v>1675</v>
      </c>
      <c r="C371" s="7">
        <v>32390</v>
      </c>
      <c r="D371" s="8">
        <v>35760</v>
      </c>
      <c r="E371" s="6" t="s">
        <v>2599</v>
      </c>
      <c r="F371" s="6">
        <v>54186</v>
      </c>
      <c r="G371" s="6" t="s">
        <v>2609</v>
      </c>
      <c r="H371" s="6" t="s">
        <v>2617</v>
      </c>
      <c r="I371" s="6" t="s">
        <v>2917</v>
      </c>
      <c r="J371" s="6" t="s">
        <v>3304</v>
      </c>
      <c r="K371" s="6">
        <v>28</v>
      </c>
    </row>
    <row r="372" spans="1:11" x14ac:dyDescent="0.3">
      <c r="A372" s="6" t="s">
        <v>380</v>
      </c>
      <c r="B372" s="6" t="s">
        <v>1676</v>
      </c>
      <c r="C372" s="7">
        <v>36266</v>
      </c>
      <c r="D372" s="8">
        <v>35778</v>
      </c>
      <c r="E372" s="6" t="s">
        <v>2599</v>
      </c>
      <c r="F372" s="6">
        <v>30626</v>
      </c>
      <c r="G372" s="6" t="s">
        <v>2607</v>
      </c>
      <c r="H372" s="6" t="s">
        <v>2616</v>
      </c>
      <c r="I372" s="6" t="s">
        <v>2918</v>
      </c>
      <c r="J372" s="6" t="s">
        <v>3310</v>
      </c>
      <c r="K372" s="6">
        <v>28</v>
      </c>
    </row>
    <row r="373" spans="1:11" x14ac:dyDescent="0.3">
      <c r="A373" s="6" t="s">
        <v>381</v>
      </c>
      <c r="B373" s="6" t="s">
        <v>1677</v>
      </c>
      <c r="C373" s="7">
        <v>24872</v>
      </c>
      <c r="D373" s="8">
        <v>28786</v>
      </c>
      <c r="E373" s="6" t="s">
        <v>2601</v>
      </c>
      <c r="F373" s="6">
        <v>53574</v>
      </c>
      <c r="G373" s="6" t="s">
        <v>2607</v>
      </c>
      <c r="H373" s="6" t="s">
        <v>2617</v>
      </c>
      <c r="I373" s="6" t="s">
        <v>2919</v>
      </c>
      <c r="J373" s="6" t="s">
        <v>3310</v>
      </c>
      <c r="K373" s="6">
        <v>47</v>
      </c>
    </row>
    <row r="374" spans="1:11" x14ac:dyDescent="0.3">
      <c r="A374" s="6" t="s">
        <v>382</v>
      </c>
      <c r="B374" s="6" t="s">
        <v>1678</v>
      </c>
      <c r="C374" s="7">
        <v>27993</v>
      </c>
      <c r="D374" s="8">
        <v>27332</v>
      </c>
      <c r="E374" s="6" t="s">
        <v>2599</v>
      </c>
      <c r="F374" s="6">
        <v>99779</v>
      </c>
      <c r="G374" s="6" t="s">
        <v>2612</v>
      </c>
      <c r="H374" s="6" t="s">
        <v>2617</v>
      </c>
      <c r="I374" s="6" t="s">
        <v>2920</v>
      </c>
      <c r="J374" s="6" t="s">
        <v>3305</v>
      </c>
      <c r="K374" s="6">
        <v>51</v>
      </c>
    </row>
    <row r="375" spans="1:11" x14ac:dyDescent="0.3">
      <c r="A375" s="6" t="s">
        <v>383</v>
      </c>
      <c r="B375" s="6" t="s">
        <v>1679</v>
      </c>
      <c r="C375" s="7">
        <v>27821</v>
      </c>
      <c r="D375" s="8">
        <v>33124</v>
      </c>
      <c r="E375" s="6" t="s">
        <v>2604</v>
      </c>
      <c r="F375" s="6">
        <v>151434</v>
      </c>
      <c r="G375" s="6" t="s">
        <v>2610</v>
      </c>
      <c r="H375" s="6" t="s">
        <v>2616</v>
      </c>
      <c r="I375" s="6" t="s">
        <v>2662</v>
      </c>
      <c r="J375" s="6" t="s">
        <v>3308</v>
      </c>
      <c r="K375" s="6">
        <v>35</v>
      </c>
    </row>
    <row r="376" spans="1:11" x14ac:dyDescent="0.3">
      <c r="A376" s="6" t="s">
        <v>384</v>
      </c>
      <c r="B376" s="6" t="s">
        <v>1680</v>
      </c>
      <c r="C376" s="7">
        <v>22187</v>
      </c>
      <c r="D376" s="8">
        <v>40806</v>
      </c>
      <c r="E376" s="6" t="s">
        <v>2603</v>
      </c>
      <c r="F376" s="6">
        <v>180871</v>
      </c>
      <c r="G376" s="6" t="s">
        <v>2609</v>
      </c>
      <c r="H376" s="6" t="s">
        <v>2616</v>
      </c>
      <c r="I376" s="6" t="s">
        <v>2921</v>
      </c>
      <c r="J376" s="6" t="s">
        <v>3307</v>
      </c>
      <c r="K376" s="6">
        <v>14</v>
      </c>
    </row>
    <row r="377" spans="1:11" x14ac:dyDescent="0.3">
      <c r="A377" s="6" t="s">
        <v>385</v>
      </c>
      <c r="B377" s="6" t="s">
        <v>1681</v>
      </c>
      <c r="C377" s="7">
        <v>22729</v>
      </c>
      <c r="D377" s="8">
        <v>41524</v>
      </c>
      <c r="E377" s="6" t="s">
        <v>2601</v>
      </c>
      <c r="F377" s="6">
        <v>59465</v>
      </c>
      <c r="G377" s="6" t="s">
        <v>2612</v>
      </c>
      <c r="H377" s="6" t="s">
        <v>2616</v>
      </c>
      <c r="I377" s="6" t="s">
        <v>2703</v>
      </c>
      <c r="J377" s="6" t="s">
        <v>3304</v>
      </c>
      <c r="K377" s="6">
        <v>12</v>
      </c>
    </row>
    <row r="378" spans="1:11" x14ac:dyDescent="0.3">
      <c r="A378" s="6" t="s">
        <v>386</v>
      </c>
      <c r="B378" s="6" t="s">
        <v>1682</v>
      </c>
      <c r="C378" s="7">
        <v>22375</v>
      </c>
      <c r="D378" s="8">
        <v>44109</v>
      </c>
      <c r="E378" s="6" t="s">
        <v>2605</v>
      </c>
      <c r="F378" s="6">
        <v>118030</v>
      </c>
      <c r="G378" s="6" t="s">
        <v>2608</v>
      </c>
      <c r="H378" s="6" t="s">
        <v>2616</v>
      </c>
      <c r="I378" s="6" t="s">
        <v>2763</v>
      </c>
      <c r="J378" s="6" t="s">
        <v>3309</v>
      </c>
      <c r="K378" s="6">
        <v>5</v>
      </c>
    </row>
    <row r="379" spans="1:11" x14ac:dyDescent="0.3">
      <c r="A379" s="6" t="s">
        <v>387</v>
      </c>
      <c r="B379" s="6" t="s">
        <v>1683</v>
      </c>
      <c r="C379" s="7">
        <v>35359</v>
      </c>
      <c r="D379" s="8">
        <v>35934</v>
      </c>
      <c r="E379" s="6" t="s">
        <v>2600</v>
      </c>
      <c r="F379" s="6">
        <v>158919</v>
      </c>
      <c r="G379" s="6" t="s">
        <v>2607</v>
      </c>
      <c r="H379" s="6" t="s">
        <v>2616</v>
      </c>
      <c r="I379" s="6" t="s">
        <v>2836</v>
      </c>
      <c r="J379" s="6" t="s">
        <v>3305</v>
      </c>
      <c r="K379" s="6">
        <v>27</v>
      </c>
    </row>
    <row r="380" spans="1:11" x14ac:dyDescent="0.3">
      <c r="A380" s="6" t="s">
        <v>388</v>
      </c>
      <c r="B380" s="6" t="s">
        <v>1684</v>
      </c>
      <c r="C380" s="7">
        <v>36724</v>
      </c>
      <c r="D380" s="8">
        <v>33533</v>
      </c>
      <c r="E380" s="6" t="s">
        <v>2599</v>
      </c>
      <c r="F380" s="6">
        <v>160153</v>
      </c>
      <c r="G380" s="6" t="s">
        <v>2611</v>
      </c>
      <c r="H380" s="6" t="s">
        <v>2617</v>
      </c>
      <c r="I380" s="6" t="s">
        <v>2922</v>
      </c>
      <c r="J380" s="6" t="s">
        <v>3307</v>
      </c>
      <c r="K380" s="6">
        <v>34</v>
      </c>
    </row>
    <row r="381" spans="1:11" x14ac:dyDescent="0.3">
      <c r="A381" s="6" t="s">
        <v>389</v>
      </c>
      <c r="B381" s="6" t="s">
        <v>1685</v>
      </c>
      <c r="C381" s="7">
        <v>23716</v>
      </c>
      <c r="D381" s="8">
        <v>30574</v>
      </c>
      <c r="E381" s="6" t="s">
        <v>2601</v>
      </c>
      <c r="F381" s="6">
        <v>26854</v>
      </c>
      <c r="G381" s="6" t="s">
        <v>2613</v>
      </c>
      <c r="H381" s="6" t="s">
        <v>2617</v>
      </c>
      <c r="I381" s="6" t="s">
        <v>2708</v>
      </c>
      <c r="J381" s="6" t="s">
        <v>3306</v>
      </c>
      <c r="K381" s="6">
        <v>42</v>
      </c>
    </row>
    <row r="382" spans="1:11" x14ac:dyDescent="0.3">
      <c r="A382" s="6" t="s">
        <v>390</v>
      </c>
      <c r="B382" s="6" t="s">
        <v>1686</v>
      </c>
      <c r="C382" s="7">
        <v>34692</v>
      </c>
      <c r="D382" s="8">
        <v>32927</v>
      </c>
      <c r="E382" s="6" t="s">
        <v>2602</v>
      </c>
      <c r="F382" s="6">
        <v>175496</v>
      </c>
      <c r="G382" s="6" t="s">
        <v>2613</v>
      </c>
      <c r="H382" s="6" t="s">
        <v>2616</v>
      </c>
      <c r="I382" s="6" t="s">
        <v>2923</v>
      </c>
      <c r="J382" s="6" t="s">
        <v>3305</v>
      </c>
      <c r="K382" s="6">
        <v>35</v>
      </c>
    </row>
    <row r="383" spans="1:11" x14ac:dyDescent="0.3">
      <c r="A383" s="6" t="s">
        <v>391</v>
      </c>
      <c r="B383" s="6" t="s">
        <v>1687</v>
      </c>
      <c r="C383" s="7">
        <v>30822</v>
      </c>
      <c r="D383" s="8">
        <v>33278</v>
      </c>
      <c r="E383" s="6" t="s">
        <v>2604</v>
      </c>
      <c r="F383" s="6">
        <v>145385</v>
      </c>
      <c r="G383" s="6" t="s">
        <v>2609</v>
      </c>
      <c r="H383" s="6" t="s">
        <v>2616</v>
      </c>
      <c r="I383" s="6" t="s">
        <v>2924</v>
      </c>
      <c r="J383" s="6" t="s">
        <v>3305</v>
      </c>
      <c r="K383" s="6">
        <v>34</v>
      </c>
    </row>
    <row r="384" spans="1:11" x14ac:dyDescent="0.3">
      <c r="A384" s="6" t="s">
        <v>392</v>
      </c>
      <c r="B384" s="6" t="s">
        <v>1688</v>
      </c>
      <c r="C384" s="7">
        <v>33979</v>
      </c>
      <c r="D384" s="8">
        <v>32987</v>
      </c>
      <c r="E384" s="6" t="s">
        <v>2605</v>
      </c>
      <c r="F384" s="6">
        <v>65404</v>
      </c>
      <c r="G384" s="6" t="s">
        <v>2608</v>
      </c>
      <c r="H384" s="6" t="s">
        <v>2616</v>
      </c>
      <c r="I384" s="6" t="s">
        <v>2691</v>
      </c>
      <c r="J384" s="6" t="s">
        <v>3308</v>
      </c>
      <c r="K384" s="6">
        <v>35</v>
      </c>
    </row>
    <row r="385" spans="1:11" x14ac:dyDescent="0.3">
      <c r="A385" s="6" t="s">
        <v>393</v>
      </c>
      <c r="B385" s="6" t="s">
        <v>1689</v>
      </c>
      <c r="C385" s="7">
        <v>30006</v>
      </c>
      <c r="D385" s="8">
        <v>25578</v>
      </c>
      <c r="E385" s="6" t="s">
        <v>2601</v>
      </c>
      <c r="F385" s="6">
        <v>154818</v>
      </c>
      <c r="G385" s="6" t="s">
        <v>2612</v>
      </c>
      <c r="H385" s="6" t="s">
        <v>2616</v>
      </c>
      <c r="I385" s="6" t="s">
        <v>2925</v>
      </c>
      <c r="J385" s="6" t="s">
        <v>3310</v>
      </c>
      <c r="K385" s="6">
        <v>55</v>
      </c>
    </row>
    <row r="386" spans="1:11" x14ac:dyDescent="0.3">
      <c r="A386" s="6" t="s">
        <v>394</v>
      </c>
      <c r="B386" s="6" t="s">
        <v>1690</v>
      </c>
      <c r="C386" s="7">
        <v>29563</v>
      </c>
      <c r="D386" s="8">
        <v>27523</v>
      </c>
      <c r="E386" s="6" t="s">
        <v>2602</v>
      </c>
      <c r="F386" s="6">
        <v>137627</v>
      </c>
      <c r="G386" s="6" t="s">
        <v>2606</v>
      </c>
      <c r="H386" s="6" t="s">
        <v>2616</v>
      </c>
      <c r="I386" s="6" t="s">
        <v>2926</v>
      </c>
      <c r="J386" s="6" t="s">
        <v>3306</v>
      </c>
      <c r="K386" s="6">
        <v>50</v>
      </c>
    </row>
    <row r="387" spans="1:11" x14ac:dyDescent="0.3">
      <c r="A387" s="6" t="s">
        <v>395</v>
      </c>
      <c r="B387" s="6" t="s">
        <v>1691</v>
      </c>
      <c r="C387" s="7">
        <v>23255</v>
      </c>
      <c r="D387" s="8">
        <v>27819</v>
      </c>
      <c r="E387" s="6" t="s">
        <v>2602</v>
      </c>
      <c r="F387" s="6">
        <v>101022</v>
      </c>
      <c r="G387" s="6" t="s">
        <v>2608</v>
      </c>
      <c r="H387" s="6" t="s">
        <v>2617</v>
      </c>
      <c r="I387" s="6" t="s">
        <v>2927</v>
      </c>
      <c r="J387" s="6" t="s">
        <v>3308</v>
      </c>
      <c r="K387" s="6">
        <v>49</v>
      </c>
    </row>
    <row r="388" spans="1:11" x14ac:dyDescent="0.3">
      <c r="A388" s="6" t="s">
        <v>396</v>
      </c>
      <c r="B388" s="6" t="s">
        <v>1692</v>
      </c>
      <c r="C388" s="7">
        <v>21691</v>
      </c>
      <c r="D388" s="8">
        <v>29393</v>
      </c>
      <c r="E388" s="6" t="s">
        <v>2604</v>
      </c>
      <c r="F388" s="6">
        <v>27436</v>
      </c>
      <c r="G388" s="6" t="s">
        <v>2609</v>
      </c>
      <c r="H388" s="6" t="s">
        <v>2617</v>
      </c>
      <c r="I388" s="6" t="s">
        <v>2925</v>
      </c>
      <c r="J388" s="6" t="s">
        <v>3309</v>
      </c>
      <c r="K388" s="6">
        <v>45</v>
      </c>
    </row>
    <row r="389" spans="1:11" x14ac:dyDescent="0.3">
      <c r="A389" s="6" t="s">
        <v>397</v>
      </c>
      <c r="B389" s="6" t="s">
        <v>1693</v>
      </c>
      <c r="C389" s="7">
        <v>33326</v>
      </c>
      <c r="D389" s="8">
        <v>28894</v>
      </c>
      <c r="E389" s="6" t="s">
        <v>2603</v>
      </c>
      <c r="F389" s="6">
        <v>181936</v>
      </c>
      <c r="G389" s="6" t="s">
        <v>2613</v>
      </c>
      <c r="H389" s="6" t="s">
        <v>2616</v>
      </c>
      <c r="I389" s="6" t="s">
        <v>2928</v>
      </c>
      <c r="J389" s="6" t="s">
        <v>3309</v>
      </c>
      <c r="K389" s="6">
        <v>46</v>
      </c>
    </row>
    <row r="390" spans="1:11" x14ac:dyDescent="0.3">
      <c r="A390" s="6" t="s">
        <v>398</v>
      </c>
      <c r="B390" s="6" t="s">
        <v>1694</v>
      </c>
      <c r="C390" s="7">
        <v>32251</v>
      </c>
      <c r="D390" s="8">
        <v>28971</v>
      </c>
      <c r="E390" s="6" t="s">
        <v>2605</v>
      </c>
      <c r="F390" s="6">
        <v>47361</v>
      </c>
      <c r="G390" s="6" t="s">
        <v>2609</v>
      </c>
      <c r="H390" s="6" t="s">
        <v>2617</v>
      </c>
      <c r="I390" s="6" t="s">
        <v>2929</v>
      </c>
      <c r="J390" s="6" t="s">
        <v>3307</v>
      </c>
      <c r="K390" s="6">
        <v>46</v>
      </c>
    </row>
    <row r="391" spans="1:11" x14ac:dyDescent="0.3">
      <c r="A391" s="6" t="s">
        <v>399</v>
      </c>
      <c r="B391" s="6" t="s">
        <v>1695</v>
      </c>
      <c r="C391" s="7">
        <v>25194</v>
      </c>
      <c r="D391" s="8">
        <v>38705</v>
      </c>
      <c r="E391" s="6" t="s">
        <v>2605</v>
      </c>
      <c r="F391" s="6">
        <v>120657</v>
      </c>
      <c r="G391" s="6" t="s">
        <v>2608</v>
      </c>
      <c r="H391" s="6" t="s">
        <v>2616</v>
      </c>
      <c r="I391" s="6" t="s">
        <v>2930</v>
      </c>
      <c r="J391" s="6" t="s">
        <v>3304</v>
      </c>
      <c r="K391" s="6">
        <v>20</v>
      </c>
    </row>
    <row r="392" spans="1:11" x14ac:dyDescent="0.3">
      <c r="A392" s="6" t="s">
        <v>400</v>
      </c>
      <c r="B392" s="6" t="s">
        <v>1696</v>
      </c>
      <c r="C392" s="7">
        <v>29487</v>
      </c>
      <c r="D392" s="8">
        <v>35336</v>
      </c>
      <c r="E392" s="6" t="s">
        <v>2599</v>
      </c>
      <c r="F392" s="6">
        <v>81513</v>
      </c>
      <c r="G392" s="6" t="s">
        <v>2613</v>
      </c>
      <c r="H392" s="6" t="s">
        <v>2617</v>
      </c>
      <c r="I392" s="6" t="s">
        <v>2921</v>
      </c>
      <c r="J392" s="6" t="s">
        <v>3307</v>
      </c>
      <c r="K392" s="6">
        <v>29</v>
      </c>
    </row>
    <row r="393" spans="1:11" x14ac:dyDescent="0.3">
      <c r="A393" s="6" t="s">
        <v>401</v>
      </c>
      <c r="B393" s="6" t="s">
        <v>1697</v>
      </c>
      <c r="C393" s="7">
        <v>35697</v>
      </c>
      <c r="D393" s="8">
        <v>26299</v>
      </c>
      <c r="E393" s="6" t="s">
        <v>2600</v>
      </c>
      <c r="F393" s="6">
        <v>28195</v>
      </c>
      <c r="G393" s="6" t="s">
        <v>2606</v>
      </c>
      <c r="H393" s="6" t="s">
        <v>2617</v>
      </c>
      <c r="I393" s="6" t="s">
        <v>2638</v>
      </c>
      <c r="J393" s="6" t="s">
        <v>3309</v>
      </c>
      <c r="K393" s="6">
        <v>53</v>
      </c>
    </row>
    <row r="394" spans="1:11" x14ac:dyDescent="0.3">
      <c r="A394" s="6" t="s">
        <v>402</v>
      </c>
      <c r="B394" s="6" t="s">
        <v>1698</v>
      </c>
      <c r="C394" s="7">
        <v>31325</v>
      </c>
      <c r="D394" s="8">
        <v>36040</v>
      </c>
      <c r="E394" s="6" t="s">
        <v>2604</v>
      </c>
      <c r="F394" s="6">
        <v>56101</v>
      </c>
      <c r="G394" s="6" t="s">
        <v>2613</v>
      </c>
      <c r="H394" s="6" t="s">
        <v>2617</v>
      </c>
      <c r="I394" s="6" t="s">
        <v>2931</v>
      </c>
      <c r="J394" s="6" t="s">
        <v>3304</v>
      </c>
      <c r="K394" s="6">
        <v>27</v>
      </c>
    </row>
    <row r="395" spans="1:11" x14ac:dyDescent="0.3">
      <c r="A395" s="6" t="s">
        <v>403</v>
      </c>
      <c r="B395" s="6" t="s">
        <v>1699</v>
      </c>
      <c r="C395" s="7">
        <v>28902</v>
      </c>
      <c r="D395" s="8">
        <v>44111</v>
      </c>
      <c r="E395" s="6" t="s">
        <v>2605</v>
      </c>
      <c r="F395" s="6">
        <v>105241</v>
      </c>
      <c r="G395" s="6" t="s">
        <v>2612</v>
      </c>
      <c r="H395" s="6" t="s">
        <v>2616</v>
      </c>
      <c r="I395" s="6" t="s">
        <v>2848</v>
      </c>
      <c r="J395" s="6" t="s">
        <v>3310</v>
      </c>
      <c r="K395" s="6">
        <v>5</v>
      </c>
    </row>
    <row r="396" spans="1:11" x14ac:dyDescent="0.3">
      <c r="A396" s="6" t="s">
        <v>404</v>
      </c>
      <c r="B396" s="6" t="s">
        <v>1700</v>
      </c>
      <c r="C396" s="7">
        <v>32677</v>
      </c>
      <c r="D396" s="8">
        <v>40926</v>
      </c>
      <c r="E396" s="6" t="s">
        <v>2604</v>
      </c>
      <c r="F396" s="6">
        <v>107990</v>
      </c>
      <c r="G396" s="6" t="s">
        <v>2608</v>
      </c>
      <c r="H396" s="6" t="s">
        <v>2616</v>
      </c>
      <c r="I396" s="6" t="s">
        <v>2932</v>
      </c>
      <c r="J396" s="6" t="s">
        <v>3304</v>
      </c>
      <c r="K396" s="6">
        <v>13</v>
      </c>
    </row>
    <row r="397" spans="1:11" x14ac:dyDescent="0.3">
      <c r="A397" s="6" t="s">
        <v>405</v>
      </c>
      <c r="B397" s="6" t="s">
        <v>1701</v>
      </c>
      <c r="C397" s="7">
        <v>22031</v>
      </c>
      <c r="D397" s="8">
        <v>29496</v>
      </c>
      <c r="E397" s="6" t="s">
        <v>2599</v>
      </c>
      <c r="F397" s="6">
        <v>75785</v>
      </c>
      <c r="G397" s="6" t="s">
        <v>2607</v>
      </c>
      <c r="H397" s="6" t="s">
        <v>2617</v>
      </c>
      <c r="I397" s="6" t="s">
        <v>2687</v>
      </c>
      <c r="J397" s="6" t="s">
        <v>3310</v>
      </c>
      <c r="K397" s="6">
        <v>45</v>
      </c>
    </row>
    <row r="398" spans="1:11" x14ac:dyDescent="0.3">
      <c r="A398" s="6" t="s">
        <v>406</v>
      </c>
      <c r="B398" s="6" t="s">
        <v>1702</v>
      </c>
      <c r="C398" s="7">
        <v>27991</v>
      </c>
      <c r="D398" s="8">
        <v>30080</v>
      </c>
      <c r="E398" s="6" t="s">
        <v>2600</v>
      </c>
      <c r="F398" s="6">
        <v>135756</v>
      </c>
      <c r="G398" s="6" t="s">
        <v>2606</v>
      </c>
      <c r="H398" s="6" t="s">
        <v>2617</v>
      </c>
      <c r="I398" s="6" t="s">
        <v>2933</v>
      </c>
      <c r="J398" s="6" t="s">
        <v>3306</v>
      </c>
      <c r="K398" s="6">
        <v>43</v>
      </c>
    </row>
    <row r="399" spans="1:11" x14ac:dyDescent="0.3">
      <c r="A399" s="6" t="s">
        <v>407</v>
      </c>
      <c r="B399" s="6" t="s">
        <v>1703</v>
      </c>
      <c r="C399" s="7">
        <v>29338</v>
      </c>
      <c r="D399" s="8">
        <v>30350</v>
      </c>
      <c r="E399" s="6" t="s">
        <v>2601</v>
      </c>
      <c r="F399" s="6">
        <v>31839</v>
      </c>
      <c r="G399" s="6" t="s">
        <v>2609</v>
      </c>
      <c r="H399" s="6" t="s">
        <v>2617</v>
      </c>
      <c r="I399" s="6" t="s">
        <v>2853</v>
      </c>
      <c r="J399" s="6" t="s">
        <v>3307</v>
      </c>
      <c r="K399" s="6">
        <v>42</v>
      </c>
    </row>
    <row r="400" spans="1:11" x14ac:dyDescent="0.3">
      <c r="A400" s="6" t="s">
        <v>408</v>
      </c>
      <c r="B400" s="6" t="s">
        <v>1704</v>
      </c>
      <c r="C400" s="7">
        <v>24746</v>
      </c>
      <c r="D400" s="8">
        <v>32773</v>
      </c>
      <c r="E400" s="6" t="s">
        <v>2603</v>
      </c>
      <c r="F400" s="6">
        <v>170085</v>
      </c>
      <c r="G400" s="6" t="s">
        <v>2615</v>
      </c>
      <c r="H400" s="6" t="s">
        <v>2616</v>
      </c>
      <c r="I400" s="6" t="s">
        <v>2934</v>
      </c>
      <c r="J400" s="6" t="s">
        <v>3309</v>
      </c>
      <c r="K400" s="6">
        <v>36</v>
      </c>
    </row>
    <row r="401" spans="1:11" x14ac:dyDescent="0.3">
      <c r="A401" s="6" t="s">
        <v>409</v>
      </c>
      <c r="B401" s="6" t="s">
        <v>1705</v>
      </c>
      <c r="C401" s="7">
        <v>22623</v>
      </c>
      <c r="D401" s="8">
        <v>27847</v>
      </c>
      <c r="E401" s="6" t="s">
        <v>2604</v>
      </c>
      <c r="F401" s="6">
        <v>178693</v>
      </c>
      <c r="G401" s="6" t="s">
        <v>2612</v>
      </c>
      <c r="H401" s="6" t="s">
        <v>2617</v>
      </c>
      <c r="I401" s="6" t="s">
        <v>2817</v>
      </c>
      <c r="J401" s="6" t="s">
        <v>3304</v>
      </c>
      <c r="K401" s="6">
        <v>49</v>
      </c>
    </row>
    <row r="402" spans="1:11" x14ac:dyDescent="0.3">
      <c r="A402" s="6" t="s">
        <v>410</v>
      </c>
      <c r="B402" s="6" t="s">
        <v>1706</v>
      </c>
      <c r="C402" s="7">
        <v>33421</v>
      </c>
      <c r="D402" s="8">
        <v>39464</v>
      </c>
      <c r="E402" s="6" t="s">
        <v>2603</v>
      </c>
      <c r="F402" s="6">
        <v>187631</v>
      </c>
      <c r="G402" s="6" t="s">
        <v>2609</v>
      </c>
      <c r="H402" s="6" t="s">
        <v>2617</v>
      </c>
      <c r="I402" s="6" t="s">
        <v>2935</v>
      </c>
      <c r="J402" s="6" t="s">
        <v>3309</v>
      </c>
      <c r="K402" s="6">
        <v>17</v>
      </c>
    </row>
    <row r="403" spans="1:11" x14ac:dyDescent="0.3">
      <c r="A403" s="6" t="s">
        <v>411</v>
      </c>
      <c r="B403" s="6" t="s">
        <v>1707</v>
      </c>
      <c r="C403" s="7">
        <v>23422</v>
      </c>
      <c r="D403" s="8">
        <v>38040</v>
      </c>
      <c r="E403" s="6" t="s">
        <v>2599</v>
      </c>
      <c r="F403" s="6">
        <v>22185</v>
      </c>
      <c r="G403" s="6" t="s">
        <v>2615</v>
      </c>
      <c r="H403" s="6" t="s">
        <v>2617</v>
      </c>
      <c r="I403" s="6" t="s">
        <v>2936</v>
      </c>
      <c r="J403" s="6" t="s">
        <v>3305</v>
      </c>
      <c r="K403" s="6">
        <v>21</v>
      </c>
    </row>
    <row r="404" spans="1:11" x14ac:dyDescent="0.3">
      <c r="A404" s="6" t="s">
        <v>412</v>
      </c>
      <c r="B404" s="6" t="s">
        <v>1708</v>
      </c>
      <c r="C404" s="7">
        <v>35863</v>
      </c>
      <c r="D404" s="8">
        <v>43504</v>
      </c>
      <c r="E404" s="6" t="s">
        <v>2601</v>
      </c>
      <c r="F404" s="6">
        <v>186669</v>
      </c>
      <c r="G404" s="6" t="s">
        <v>2607</v>
      </c>
      <c r="H404" s="6" t="s">
        <v>2617</v>
      </c>
      <c r="I404" s="6" t="s">
        <v>2765</v>
      </c>
      <c r="J404" s="6" t="s">
        <v>3306</v>
      </c>
      <c r="K404" s="6">
        <v>6</v>
      </c>
    </row>
    <row r="405" spans="1:11" x14ac:dyDescent="0.3">
      <c r="A405" s="6" t="s">
        <v>413</v>
      </c>
      <c r="B405" s="6" t="s">
        <v>1709</v>
      </c>
      <c r="C405" s="7">
        <v>32226</v>
      </c>
      <c r="D405" s="8">
        <v>37768</v>
      </c>
      <c r="E405" s="6" t="s">
        <v>2599</v>
      </c>
      <c r="F405" s="6">
        <v>108079</v>
      </c>
      <c r="G405" s="6" t="s">
        <v>2615</v>
      </c>
      <c r="H405" s="6" t="s">
        <v>2616</v>
      </c>
      <c r="I405" s="6" t="s">
        <v>2937</v>
      </c>
      <c r="J405" s="6" t="s">
        <v>3309</v>
      </c>
      <c r="K405" s="6">
        <v>22</v>
      </c>
    </row>
    <row r="406" spans="1:11" x14ac:dyDescent="0.3">
      <c r="A406" s="6" t="s">
        <v>414</v>
      </c>
      <c r="B406" s="6" t="s">
        <v>1710</v>
      </c>
      <c r="C406" s="7">
        <v>30110</v>
      </c>
      <c r="D406" s="8">
        <v>44727</v>
      </c>
      <c r="E406" s="6" t="s">
        <v>2605</v>
      </c>
      <c r="F406" s="6">
        <v>185255</v>
      </c>
      <c r="G406" s="6" t="s">
        <v>2613</v>
      </c>
      <c r="H406" s="6" t="s">
        <v>2617</v>
      </c>
      <c r="I406" s="6" t="s">
        <v>2635</v>
      </c>
      <c r="J406" s="6" t="s">
        <v>3304</v>
      </c>
      <c r="K406" s="6">
        <v>3</v>
      </c>
    </row>
    <row r="407" spans="1:11" x14ac:dyDescent="0.3">
      <c r="A407" s="6" t="s">
        <v>415</v>
      </c>
      <c r="B407" s="6" t="s">
        <v>1711</v>
      </c>
      <c r="C407" s="7">
        <v>33118</v>
      </c>
      <c r="D407" s="8">
        <v>33568</v>
      </c>
      <c r="E407" s="6" t="s">
        <v>2600</v>
      </c>
      <c r="F407" s="6">
        <v>96642</v>
      </c>
      <c r="G407" s="6" t="s">
        <v>2614</v>
      </c>
      <c r="H407" s="6" t="s">
        <v>2617</v>
      </c>
      <c r="I407" s="6" t="s">
        <v>2938</v>
      </c>
      <c r="J407" s="6" t="s">
        <v>3304</v>
      </c>
      <c r="K407" s="6">
        <v>34</v>
      </c>
    </row>
    <row r="408" spans="1:11" x14ac:dyDescent="0.3">
      <c r="A408" s="6" t="s">
        <v>416</v>
      </c>
      <c r="B408" s="6" t="s">
        <v>1712</v>
      </c>
      <c r="C408" s="7">
        <v>34289</v>
      </c>
      <c r="D408" s="8">
        <v>44231</v>
      </c>
      <c r="E408" s="6" t="s">
        <v>2600</v>
      </c>
      <c r="F408" s="6">
        <v>72999</v>
      </c>
      <c r="G408" s="6" t="s">
        <v>2614</v>
      </c>
      <c r="H408" s="6" t="s">
        <v>2617</v>
      </c>
      <c r="I408" s="6" t="s">
        <v>2939</v>
      </c>
      <c r="J408" s="6" t="s">
        <v>3309</v>
      </c>
      <c r="K408" s="6">
        <v>4</v>
      </c>
    </row>
    <row r="409" spans="1:11" x14ac:dyDescent="0.3">
      <c r="A409" s="6" t="s">
        <v>417</v>
      </c>
      <c r="B409" s="6" t="s">
        <v>1713</v>
      </c>
      <c r="C409" s="7">
        <v>24894</v>
      </c>
      <c r="D409" s="8">
        <v>39636</v>
      </c>
      <c r="E409" s="6" t="s">
        <v>2604</v>
      </c>
      <c r="F409" s="6">
        <v>199590</v>
      </c>
      <c r="G409" s="6" t="s">
        <v>2614</v>
      </c>
      <c r="H409" s="6" t="s">
        <v>2617</v>
      </c>
      <c r="I409" s="6" t="s">
        <v>2836</v>
      </c>
      <c r="J409" s="6" t="s">
        <v>3304</v>
      </c>
      <c r="K409" s="6">
        <v>17</v>
      </c>
    </row>
    <row r="410" spans="1:11" x14ac:dyDescent="0.3">
      <c r="A410" s="6" t="s">
        <v>418</v>
      </c>
      <c r="B410" s="6" t="s">
        <v>1714</v>
      </c>
      <c r="C410" s="7">
        <v>27264</v>
      </c>
      <c r="D410" s="8">
        <v>30209</v>
      </c>
      <c r="E410" s="6" t="s">
        <v>2602</v>
      </c>
      <c r="F410" s="6">
        <v>78238</v>
      </c>
      <c r="G410" s="6" t="s">
        <v>2615</v>
      </c>
      <c r="H410" s="6" t="s">
        <v>2617</v>
      </c>
      <c r="I410" s="6" t="s">
        <v>2940</v>
      </c>
      <c r="J410" s="6" t="s">
        <v>3307</v>
      </c>
      <c r="K410" s="6">
        <v>43</v>
      </c>
    </row>
    <row r="411" spans="1:11" x14ac:dyDescent="0.3">
      <c r="A411" s="6" t="s">
        <v>419</v>
      </c>
      <c r="B411" s="6" t="s">
        <v>1715</v>
      </c>
      <c r="C411" s="7">
        <v>22520</v>
      </c>
      <c r="D411" s="8">
        <v>43805</v>
      </c>
      <c r="E411" s="6" t="s">
        <v>2605</v>
      </c>
      <c r="F411" s="6">
        <v>35486</v>
      </c>
      <c r="G411" s="6" t="s">
        <v>2610</v>
      </c>
      <c r="H411" s="6" t="s">
        <v>2617</v>
      </c>
      <c r="I411" s="6" t="s">
        <v>2941</v>
      </c>
      <c r="J411" s="6" t="s">
        <v>3304</v>
      </c>
      <c r="K411" s="6">
        <v>6</v>
      </c>
    </row>
    <row r="412" spans="1:11" x14ac:dyDescent="0.3">
      <c r="A412" s="6" t="s">
        <v>420</v>
      </c>
      <c r="B412" s="6" t="s">
        <v>1716</v>
      </c>
      <c r="C412" s="7">
        <v>34692</v>
      </c>
      <c r="D412" s="8">
        <v>37944</v>
      </c>
      <c r="E412" s="6" t="s">
        <v>2600</v>
      </c>
      <c r="F412" s="6">
        <v>87397</v>
      </c>
      <c r="G412" s="6" t="s">
        <v>2613</v>
      </c>
      <c r="H412" s="6" t="s">
        <v>2617</v>
      </c>
      <c r="I412" s="6" t="s">
        <v>2914</v>
      </c>
      <c r="J412" s="6" t="s">
        <v>3305</v>
      </c>
      <c r="K412" s="6">
        <v>22</v>
      </c>
    </row>
    <row r="413" spans="1:11" x14ac:dyDescent="0.3">
      <c r="A413" s="6" t="s">
        <v>421</v>
      </c>
      <c r="B413" s="6" t="s">
        <v>1717</v>
      </c>
      <c r="C413" s="7">
        <v>23585</v>
      </c>
      <c r="D413" s="8">
        <v>37920</v>
      </c>
      <c r="E413" s="6" t="s">
        <v>2603</v>
      </c>
      <c r="F413" s="6">
        <v>165387</v>
      </c>
      <c r="G413" s="6" t="s">
        <v>2609</v>
      </c>
      <c r="H413" s="6" t="s">
        <v>2616</v>
      </c>
      <c r="I413" s="6" t="s">
        <v>2809</v>
      </c>
      <c r="J413" s="6" t="s">
        <v>3308</v>
      </c>
      <c r="K413" s="6">
        <v>22</v>
      </c>
    </row>
    <row r="414" spans="1:11" x14ac:dyDescent="0.3">
      <c r="A414" s="6" t="s">
        <v>422</v>
      </c>
      <c r="B414" s="6" t="s">
        <v>1718</v>
      </c>
      <c r="C414" s="7">
        <v>36770</v>
      </c>
      <c r="D414" s="8">
        <v>37441</v>
      </c>
      <c r="E414" s="6" t="s">
        <v>2604</v>
      </c>
      <c r="F414" s="6">
        <v>28958</v>
      </c>
      <c r="G414" s="6" t="s">
        <v>2606</v>
      </c>
      <c r="H414" s="6" t="s">
        <v>2617</v>
      </c>
      <c r="I414" s="6" t="s">
        <v>2877</v>
      </c>
      <c r="J414" s="6" t="s">
        <v>3310</v>
      </c>
      <c r="K414" s="6">
        <v>23</v>
      </c>
    </row>
    <row r="415" spans="1:11" x14ac:dyDescent="0.3">
      <c r="A415" s="6" t="s">
        <v>423</v>
      </c>
      <c r="B415" s="6" t="s">
        <v>1719</v>
      </c>
      <c r="C415" s="7">
        <v>26547</v>
      </c>
      <c r="D415" s="8">
        <v>38665</v>
      </c>
      <c r="E415" s="6" t="s">
        <v>2601</v>
      </c>
      <c r="F415" s="6">
        <v>103846</v>
      </c>
      <c r="G415" s="6" t="s">
        <v>2614</v>
      </c>
      <c r="H415" s="6" t="s">
        <v>2617</v>
      </c>
      <c r="I415" s="6" t="s">
        <v>2783</v>
      </c>
      <c r="J415" s="6" t="s">
        <v>3306</v>
      </c>
      <c r="K415" s="6">
        <v>20</v>
      </c>
    </row>
    <row r="416" spans="1:11" x14ac:dyDescent="0.3">
      <c r="A416" s="6" t="s">
        <v>424</v>
      </c>
      <c r="B416" s="6" t="s">
        <v>1720</v>
      </c>
      <c r="C416" s="7">
        <v>35912</v>
      </c>
      <c r="D416" s="8">
        <v>35591</v>
      </c>
      <c r="E416" s="6" t="s">
        <v>2603</v>
      </c>
      <c r="F416" s="6">
        <v>39492</v>
      </c>
      <c r="G416" s="6" t="s">
        <v>2615</v>
      </c>
      <c r="H416" s="6" t="s">
        <v>2616</v>
      </c>
      <c r="I416" s="6" t="s">
        <v>2773</v>
      </c>
      <c r="J416" s="6" t="s">
        <v>3306</v>
      </c>
      <c r="K416" s="6">
        <v>28</v>
      </c>
    </row>
    <row r="417" spans="1:11" x14ac:dyDescent="0.3">
      <c r="A417" s="6" t="s">
        <v>425</v>
      </c>
      <c r="B417" s="6" t="s">
        <v>1721</v>
      </c>
      <c r="C417" s="7">
        <v>31327</v>
      </c>
      <c r="D417" s="8">
        <v>34421</v>
      </c>
      <c r="E417" s="6" t="s">
        <v>2601</v>
      </c>
      <c r="F417" s="6">
        <v>37522</v>
      </c>
      <c r="G417" s="6" t="s">
        <v>2606</v>
      </c>
      <c r="H417" s="6" t="s">
        <v>2616</v>
      </c>
      <c r="I417" s="6" t="s">
        <v>2937</v>
      </c>
      <c r="J417" s="6" t="s">
        <v>3304</v>
      </c>
      <c r="K417" s="6">
        <v>31</v>
      </c>
    </row>
    <row r="418" spans="1:11" x14ac:dyDescent="0.3">
      <c r="A418" s="6" t="s">
        <v>426</v>
      </c>
      <c r="B418" s="6" t="s">
        <v>1722</v>
      </c>
      <c r="C418" s="7">
        <v>35162</v>
      </c>
      <c r="D418" s="8">
        <v>30267</v>
      </c>
      <c r="E418" s="6" t="s">
        <v>2604</v>
      </c>
      <c r="F418" s="6">
        <v>52782</v>
      </c>
      <c r="G418" s="6" t="s">
        <v>2608</v>
      </c>
      <c r="H418" s="6" t="s">
        <v>2616</v>
      </c>
      <c r="I418" s="6" t="s">
        <v>2942</v>
      </c>
      <c r="J418" s="6" t="s">
        <v>3306</v>
      </c>
      <c r="K418" s="6">
        <v>43</v>
      </c>
    </row>
    <row r="419" spans="1:11" x14ac:dyDescent="0.3">
      <c r="A419" s="6" t="s">
        <v>427</v>
      </c>
      <c r="B419" s="6" t="s">
        <v>1723</v>
      </c>
      <c r="C419" s="7">
        <v>24016</v>
      </c>
      <c r="D419" s="8">
        <v>30361</v>
      </c>
      <c r="E419" s="6" t="s">
        <v>2601</v>
      </c>
      <c r="F419" s="6">
        <v>86594</v>
      </c>
      <c r="G419" s="6" t="s">
        <v>2614</v>
      </c>
      <c r="H419" s="6" t="s">
        <v>2617</v>
      </c>
      <c r="I419" s="6" t="s">
        <v>2661</v>
      </c>
      <c r="J419" s="6" t="s">
        <v>3307</v>
      </c>
      <c r="K419" s="6">
        <v>42</v>
      </c>
    </row>
    <row r="420" spans="1:11" x14ac:dyDescent="0.3">
      <c r="A420" s="6" t="s">
        <v>428</v>
      </c>
      <c r="B420" s="6" t="s">
        <v>1724</v>
      </c>
      <c r="C420" s="7">
        <v>30742</v>
      </c>
      <c r="D420" s="8">
        <v>37649</v>
      </c>
      <c r="E420" s="6" t="s">
        <v>2601</v>
      </c>
      <c r="F420" s="6">
        <v>188209</v>
      </c>
      <c r="G420" s="6" t="s">
        <v>2613</v>
      </c>
      <c r="H420" s="6" t="s">
        <v>2616</v>
      </c>
      <c r="I420" s="6" t="s">
        <v>2744</v>
      </c>
      <c r="J420" s="6" t="s">
        <v>3310</v>
      </c>
      <c r="K420" s="6">
        <v>22</v>
      </c>
    </row>
    <row r="421" spans="1:11" x14ac:dyDescent="0.3">
      <c r="A421" s="6" t="s">
        <v>429</v>
      </c>
      <c r="B421" s="6" t="s">
        <v>1725</v>
      </c>
      <c r="C421" s="7">
        <v>31129</v>
      </c>
      <c r="D421" s="8">
        <v>40453</v>
      </c>
      <c r="E421" s="6" t="s">
        <v>2599</v>
      </c>
      <c r="F421" s="6">
        <v>54085</v>
      </c>
      <c r="G421" s="6" t="s">
        <v>2606</v>
      </c>
      <c r="H421" s="6" t="s">
        <v>2616</v>
      </c>
      <c r="I421" s="6" t="s">
        <v>2693</v>
      </c>
      <c r="J421" s="6" t="s">
        <v>3304</v>
      </c>
      <c r="K421" s="6">
        <v>15</v>
      </c>
    </row>
    <row r="422" spans="1:11" x14ac:dyDescent="0.3">
      <c r="A422" s="6" t="s">
        <v>430</v>
      </c>
      <c r="B422" s="6" t="s">
        <v>1726</v>
      </c>
      <c r="C422" s="7">
        <v>36175</v>
      </c>
      <c r="D422" s="8">
        <v>37772</v>
      </c>
      <c r="E422" s="6" t="s">
        <v>2600</v>
      </c>
      <c r="F422" s="6">
        <v>91853</v>
      </c>
      <c r="G422" s="6" t="s">
        <v>2611</v>
      </c>
      <c r="H422" s="6" t="s">
        <v>2617</v>
      </c>
      <c r="I422" s="6" t="s">
        <v>2796</v>
      </c>
      <c r="J422" s="6" t="s">
        <v>3305</v>
      </c>
      <c r="K422" s="6">
        <v>22</v>
      </c>
    </row>
    <row r="423" spans="1:11" x14ac:dyDescent="0.3">
      <c r="A423" s="6" t="s">
        <v>431</v>
      </c>
      <c r="B423" s="6" t="s">
        <v>1727</v>
      </c>
      <c r="C423" s="7">
        <v>23677</v>
      </c>
      <c r="D423" s="8">
        <v>29349</v>
      </c>
      <c r="E423" s="6" t="s">
        <v>2599</v>
      </c>
      <c r="F423" s="6">
        <v>104791</v>
      </c>
      <c r="G423" s="6" t="s">
        <v>2615</v>
      </c>
      <c r="H423" s="6" t="s">
        <v>2616</v>
      </c>
      <c r="I423" s="6" t="s">
        <v>2796</v>
      </c>
      <c r="J423" s="6" t="s">
        <v>3305</v>
      </c>
      <c r="K423" s="6">
        <v>45</v>
      </c>
    </row>
    <row r="424" spans="1:11" x14ac:dyDescent="0.3">
      <c r="A424" s="6" t="s">
        <v>432</v>
      </c>
      <c r="B424" s="6" t="s">
        <v>1728</v>
      </c>
      <c r="C424" s="7">
        <v>33996</v>
      </c>
      <c r="D424" s="8">
        <v>40857</v>
      </c>
      <c r="E424" s="6" t="s">
        <v>2603</v>
      </c>
      <c r="F424" s="6">
        <v>84596</v>
      </c>
      <c r="G424" s="6" t="s">
        <v>2613</v>
      </c>
      <c r="H424" s="6" t="s">
        <v>2616</v>
      </c>
      <c r="I424" s="6" t="s">
        <v>2943</v>
      </c>
      <c r="J424" s="6" t="s">
        <v>3310</v>
      </c>
      <c r="K424" s="6">
        <v>14</v>
      </c>
    </row>
    <row r="425" spans="1:11" x14ac:dyDescent="0.3">
      <c r="A425" s="6" t="s">
        <v>433</v>
      </c>
      <c r="B425" s="6" t="s">
        <v>1729</v>
      </c>
      <c r="C425" s="7">
        <v>29813</v>
      </c>
      <c r="D425" s="8">
        <v>38141</v>
      </c>
      <c r="E425" s="6" t="s">
        <v>2601</v>
      </c>
      <c r="F425" s="6">
        <v>166075</v>
      </c>
      <c r="G425" s="6" t="s">
        <v>2612</v>
      </c>
      <c r="H425" s="6" t="s">
        <v>2616</v>
      </c>
      <c r="I425" s="6" t="s">
        <v>2622</v>
      </c>
      <c r="J425" s="6" t="s">
        <v>3307</v>
      </c>
      <c r="K425" s="6">
        <v>21</v>
      </c>
    </row>
    <row r="426" spans="1:11" x14ac:dyDescent="0.3">
      <c r="A426" s="6" t="s">
        <v>434</v>
      </c>
      <c r="B426" s="6" t="s">
        <v>1730</v>
      </c>
      <c r="C426" s="7">
        <v>28147</v>
      </c>
      <c r="D426" s="8">
        <v>34805</v>
      </c>
      <c r="E426" s="6" t="s">
        <v>2602</v>
      </c>
      <c r="F426" s="6">
        <v>52270</v>
      </c>
      <c r="G426" s="6" t="s">
        <v>2607</v>
      </c>
      <c r="H426" s="6" t="s">
        <v>2616</v>
      </c>
      <c r="I426" s="6" t="s">
        <v>2944</v>
      </c>
      <c r="J426" s="6" t="s">
        <v>3310</v>
      </c>
      <c r="K426" s="6">
        <v>30</v>
      </c>
    </row>
    <row r="427" spans="1:11" x14ac:dyDescent="0.3">
      <c r="A427" s="6" t="s">
        <v>435</v>
      </c>
      <c r="B427" s="6" t="s">
        <v>1731</v>
      </c>
      <c r="C427" s="7">
        <v>28855</v>
      </c>
      <c r="D427" s="8">
        <v>35570</v>
      </c>
      <c r="E427" s="6" t="s">
        <v>2600</v>
      </c>
      <c r="F427" s="6">
        <v>69564</v>
      </c>
      <c r="G427" s="6" t="s">
        <v>2611</v>
      </c>
      <c r="H427" s="6" t="s">
        <v>2616</v>
      </c>
      <c r="I427" s="6" t="s">
        <v>2749</v>
      </c>
      <c r="J427" s="6" t="s">
        <v>3306</v>
      </c>
      <c r="K427" s="6">
        <v>28</v>
      </c>
    </row>
    <row r="428" spans="1:11" x14ac:dyDescent="0.3">
      <c r="A428" s="6" t="s">
        <v>436</v>
      </c>
      <c r="B428" s="6" t="s">
        <v>1732</v>
      </c>
      <c r="C428" s="7">
        <v>36658</v>
      </c>
      <c r="D428" s="8">
        <v>26324</v>
      </c>
      <c r="E428" s="6" t="s">
        <v>2604</v>
      </c>
      <c r="F428" s="6">
        <v>45930</v>
      </c>
      <c r="G428" s="6" t="s">
        <v>2608</v>
      </c>
      <c r="H428" s="6" t="s">
        <v>2616</v>
      </c>
      <c r="I428" s="6" t="s">
        <v>2945</v>
      </c>
      <c r="J428" s="6" t="s">
        <v>3306</v>
      </c>
      <c r="K428" s="6">
        <v>53</v>
      </c>
    </row>
    <row r="429" spans="1:11" x14ac:dyDescent="0.3">
      <c r="A429" s="6" t="s">
        <v>437</v>
      </c>
      <c r="B429" s="6" t="s">
        <v>1733</v>
      </c>
      <c r="C429" s="7">
        <v>23971</v>
      </c>
      <c r="D429" s="8">
        <v>40699</v>
      </c>
      <c r="E429" s="6" t="s">
        <v>2603</v>
      </c>
      <c r="F429" s="6">
        <v>48226</v>
      </c>
      <c r="G429" s="6" t="s">
        <v>2611</v>
      </c>
      <c r="H429" s="6" t="s">
        <v>2616</v>
      </c>
      <c r="I429" s="6" t="s">
        <v>2889</v>
      </c>
      <c r="J429" s="6" t="s">
        <v>3305</v>
      </c>
      <c r="K429" s="6">
        <v>14</v>
      </c>
    </row>
    <row r="430" spans="1:11" x14ac:dyDescent="0.3">
      <c r="A430" s="6" t="s">
        <v>438</v>
      </c>
      <c r="B430" s="6" t="s">
        <v>1734</v>
      </c>
      <c r="C430" s="7">
        <v>25672</v>
      </c>
      <c r="D430" s="8">
        <v>30476</v>
      </c>
      <c r="E430" s="6" t="s">
        <v>2602</v>
      </c>
      <c r="F430" s="6">
        <v>44604</v>
      </c>
      <c r="G430" s="6" t="s">
        <v>2608</v>
      </c>
      <c r="H430" s="6" t="s">
        <v>2617</v>
      </c>
      <c r="I430" s="6" t="s">
        <v>2946</v>
      </c>
      <c r="J430" s="6" t="s">
        <v>3304</v>
      </c>
      <c r="K430" s="6">
        <v>42</v>
      </c>
    </row>
    <row r="431" spans="1:11" x14ac:dyDescent="0.3">
      <c r="A431" s="6" t="s">
        <v>439</v>
      </c>
      <c r="B431" s="6" t="s">
        <v>1735</v>
      </c>
      <c r="C431" s="7">
        <v>22976</v>
      </c>
      <c r="D431" s="8">
        <v>39400</v>
      </c>
      <c r="E431" s="6" t="s">
        <v>2602</v>
      </c>
      <c r="F431" s="6">
        <v>163758</v>
      </c>
      <c r="G431" s="6" t="s">
        <v>2606</v>
      </c>
      <c r="H431" s="6" t="s">
        <v>2617</v>
      </c>
      <c r="I431" s="6" t="s">
        <v>2947</v>
      </c>
      <c r="J431" s="6" t="s">
        <v>3308</v>
      </c>
      <c r="K431" s="6">
        <v>18</v>
      </c>
    </row>
    <row r="432" spans="1:11" x14ac:dyDescent="0.3">
      <c r="A432" s="6" t="s">
        <v>440</v>
      </c>
      <c r="B432" s="6" t="s">
        <v>1736</v>
      </c>
      <c r="C432" s="7">
        <v>33015</v>
      </c>
      <c r="D432" s="8">
        <v>29057</v>
      </c>
      <c r="E432" s="6" t="s">
        <v>2601</v>
      </c>
      <c r="F432" s="6">
        <v>124907</v>
      </c>
      <c r="G432" s="6" t="s">
        <v>2609</v>
      </c>
      <c r="H432" s="6" t="s">
        <v>2616</v>
      </c>
      <c r="I432" s="6" t="s">
        <v>2948</v>
      </c>
      <c r="J432" s="6" t="s">
        <v>3305</v>
      </c>
      <c r="K432" s="6">
        <v>46</v>
      </c>
    </row>
    <row r="433" spans="1:11" x14ac:dyDescent="0.3">
      <c r="A433" s="6" t="s">
        <v>441</v>
      </c>
      <c r="B433" s="6" t="s">
        <v>1737</v>
      </c>
      <c r="C433" s="7">
        <v>22286</v>
      </c>
      <c r="D433" s="8">
        <v>32652</v>
      </c>
      <c r="E433" s="6" t="s">
        <v>2599</v>
      </c>
      <c r="F433" s="6">
        <v>32520</v>
      </c>
      <c r="G433" s="6" t="s">
        <v>2610</v>
      </c>
      <c r="H433" s="6" t="s">
        <v>2617</v>
      </c>
      <c r="I433" s="6" t="s">
        <v>2949</v>
      </c>
      <c r="J433" s="6" t="s">
        <v>3307</v>
      </c>
      <c r="K433" s="6">
        <v>36</v>
      </c>
    </row>
    <row r="434" spans="1:11" x14ac:dyDescent="0.3">
      <c r="A434" s="6" t="s">
        <v>442</v>
      </c>
      <c r="B434" s="6" t="s">
        <v>1738</v>
      </c>
      <c r="C434" s="7">
        <v>36428</v>
      </c>
      <c r="D434" s="8">
        <v>41461</v>
      </c>
      <c r="E434" s="6" t="s">
        <v>2604</v>
      </c>
      <c r="F434" s="6">
        <v>105193</v>
      </c>
      <c r="G434" s="6" t="s">
        <v>2610</v>
      </c>
      <c r="H434" s="6" t="s">
        <v>2616</v>
      </c>
      <c r="I434" s="6" t="s">
        <v>2950</v>
      </c>
      <c r="J434" s="6" t="s">
        <v>3309</v>
      </c>
      <c r="K434" s="6">
        <v>12</v>
      </c>
    </row>
    <row r="435" spans="1:11" x14ac:dyDescent="0.3">
      <c r="A435" s="6" t="s">
        <v>443</v>
      </c>
      <c r="B435" s="6" t="s">
        <v>1739</v>
      </c>
      <c r="C435" s="7">
        <v>31367</v>
      </c>
      <c r="D435" s="8">
        <v>36899</v>
      </c>
      <c r="E435" s="6" t="s">
        <v>2603</v>
      </c>
      <c r="F435" s="6">
        <v>182071</v>
      </c>
      <c r="G435" s="6" t="s">
        <v>2614</v>
      </c>
      <c r="H435" s="6" t="s">
        <v>2616</v>
      </c>
      <c r="I435" s="6" t="s">
        <v>2951</v>
      </c>
      <c r="J435" s="6" t="s">
        <v>3305</v>
      </c>
      <c r="K435" s="6">
        <v>24</v>
      </c>
    </row>
    <row r="436" spans="1:11" x14ac:dyDescent="0.3">
      <c r="A436" s="6" t="s">
        <v>444</v>
      </c>
      <c r="B436" s="6" t="s">
        <v>1740</v>
      </c>
      <c r="C436" s="7">
        <v>32357</v>
      </c>
      <c r="D436" s="8">
        <v>35601</v>
      </c>
      <c r="E436" s="6" t="s">
        <v>2599</v>
      </c>
      <c r="F436" s="6">
        <v>108273</v>
      </c>
      <c r="G436" s="6" t="s">
        <v>2615</v>
      </c>
      <c r="H436" s="6" t="s">
        <v>2616</v>
      </c>
      <c r="I436" s="6" t="s">
        <v>2645</v>
      </c>
      <c r="J436" s="6" t="s">
        <v>3307</v>
      </c>
      <c r="K436" s="6">
        <v>28</v>
      </c>
    </row>
    <row r="437" spans="1:11" x14ac:dyDescent="0.3">
      <c r="A437" s="6" t="s">
        <v>445</v>
      </c>
      <c r="B437" s="6" t="s">
        <v>1741</v>
      </c>
      <c r="C437" s="7">
        <v>33120</v>
      </c>
      <c r="D437" s="8">
        <v>32391</v>
      </c>
      <c r="E437" s="6" t="s">
        <v>2605</v>
      </c>
      <c r="F437" s="6">
        <v>110883</v>
      </c>
      <c r="G437" s="6" t="s">
        <v>2606</v>
      </c>
      <c r="H437" s="6" t="s">
        <v>2616</v>
      </c>
      <c r="I437" s="6" t="s">
        <v>2952</v>
      </c>
      <c r="J437" s="6" t="s">
        <v>3310</v>
      </c>
      <c r="K437" s="6">
        <v>37</v>
      </c>
    </row>
    <row r="438" spans="1:11" x14ac:dyDescent="0.3">
      <c r="A438" s="6" t="s">
        <v>446</v>
      </c>
      <c r="B438" s="6" t="s">
        <v>1742</v>
      </c>
      <c r="C438" s="7">
        <v>31086</v>
      </c>
      <c r="D438" s="8">
        <v>28546</v>
      </c>
      <c r="E438" s="6" t="s">
        <v>2599</v>
      </c>
      <c r="F438" s="6">
        <v>121319</v>
      </c>
      <c r="G438" s="6" t="s">
        <v>2614</v>
      </c>
      <c r="H438" s="6" t="s">
        <v>2617</v>
      </c>
      <c r="I438" s="6" t="s">
        <v>2953</v>
      </c>
      <c r="J438" s="6" t="s">
        <v>3308</v>
      </c>
      <c r="K438" s="6">
        <v>47</v>
      </c>
    </row>
    <row r="439" spans="1:11" x14ac:dyDescent="0.3">
      <c r="A439" s="6" t="s">
        <v>447</v>
      </c>
      <c r="B439" s="6" t="s">
        <v>1743</v>
      </c>
      <c r="C439" s="7">
        <v>33260</v>
      </c>
      <c r="D439" s="8">
        <v>30022</v>
      </c>
      <c r="E439" s="6" t="s">
        <v>2604</v>
      </c>
      <c r="F439" s="6">
        <v>142130</v>
      </c>
      <c r="G439" s="6" t="s">
        <v>2607</v>
      </c>
      <c r="H439" s="6" t="s">
        <v>2617</v>
      </c>
      <c r="I439" s="6" t="s">
        <v>2954</v>
      </c>
      <c r="J439" s="6" t="s">
        <v>3310</v>
      </c>
      <c r="K439" s="6">
        <v>43</v>
      </c>
    </row>
    <row r="440" spans="1:11" x14ac:dyDescent="0.3">
      <c r="A440" s="6" t="s">
        <v>448</v>
      </c>
      <c r="B440" s="6" t="s">
        <v>1744</v>
      </c>
      <c r="C440" s="7">
        <v>37342</v>
      </c>
      <c r="D440" s="8">
        <v>36975</v>
      </c>
      <c r="E440" s="6" t="s">
        <v>2599</v>
      </c>
      <c r="F440" s="6">
        <v>54018</v>
      </c>
      <c r="G440" s="6" t="s">
        <v>2606</v>
      </c>
      <c r="H440" s="6" t="s">
        <v>2616</v>
      </c>
      <c r="I440" s="6" t="s">
        <v>2795</v>
      </c>
      <c r="J440" s="6" t="s">
        <v>3304</v>
      </c>
      <c r="K440" s="6">
        <v>24</v>
      </c>
    </row>
    <row r="441" spans="1:11" x14ac:dyDescent="0.3">
      <c r="A441" s="6" t="s">
        <v>449</v>
      </c>
      <c r="B441" s="6" t="s">
        <v>1745</v>
      </c>
      <c r="C441" s="7">
        <v>27689</v>
      </c>
      <c r="D441" s="8">
        <v>31158</v>
      </c>
      <c r="E441" s="6" t="s">
        <v>2601</v>
      </c>
      <c r="F441" s="6">
        <v>39768</v>
      </c>
      <c r="G441" s="6" t="s">
        <v>2606</v>
      </c>
      <c r="H441" s="6" t="s">
        <v>2616</v>
      </c>
      <c r="I441" s="6" t="s">
        <v>2955</v>
      </c>
      <c r="J441" s="6" t="s">
        <v>3304</v>
      </c>
      <c r="K441" s="6">
        <v>40</v>
      </c>
    </row>
    <row r="442" spans="1:11" x14ac:dyDescent="0.3">
      <c r="A442" s="6" t="s">
        <v>450</v>
      </c>
      <c r="B442" s="6" t="s">
        <v>1746</v>
      </c>
      <c r="C442" s="7">
        <v>35970</v>
      </c>
      <c r="D442" s="8">
        <v>30991</v>
      </c>
      <c r="E442" s="6" t="s">
        <v>2599</v>
      </c>
      <c r="F442" s="6">
        <v>173968</v>
      </c>
      <c r="G442" s="6" t="s">
        <v>2613</v>
      </c>
      <c r="H442" s="6" t="s">
        <v>2617</v>
      </c>
      <c r="I442" s="6" t="s">
        <v>2956</v>
      </c>
      <c r="J442" s="6" t="s">
        <v>3308</v>
      </c>
      <c r="K442" s="6">
        <v>41</v>
      </c>
    </row>
    <row r="443" spans="1:11" x14ac:dyDescent="0.3">
      <c r="A443" s="6" t="s">
        <v>451</v>
      </c>
      <c r="B443" s="6" t="s">
        <v>1747</v>
      </c>
      <c r="C443" s="7">
        <v>29018</v>
      </c>
      <c r="D443" s="8">
        <v>28262</v>
      </c>
      <c r="E443" s="6" t="s">
        <v>2599</v>
      </c>
      <c r="F443" s="6">
        <v>72517</v>
      </c>
      <c r="G443" s="6" t="s">
        <v>2610</v>
      </c>
      <c r="H443" s="6" t="s">
        <v>2617</v>
      </c>
      <c r="I443" s="6" t="s">
        <v>2624</v>
      </c>
      <c r="J443" s="6" t="s">
        <v>3310</v>
      </c>
      <c r="K443" s="6">
        <v>48</v>
      </c>
    </row>
    <row r="444" spans="1:11" x14ac:dyDescent="0.3">
      <c r="A444" s="6" t="s">
        <v>452</v>
      </c>
      <c r="B444" s="6" t="s">
        <v>1748</v>
      </c>
      <c r="C444" s="7">
        <v>31339</v>
      </c>
      <c r="D444" s="8">
        <v>26499</v>
      </c>
      <c r="E444" s="6" t="s">
        <v>2601</v>
      </c>
      <c r="F444" s="6">
        <v>114636</v>
      </c>
      <c r="G444" s="6" t="s">
        <v>2614</v>
      </c>
      <c r="H444" s="6" t="s">
        <v>2617</v>
      </c>
      <c r="I444" s="6" t="s">
        <v>2667</v>
      </c>
      <c r="J444" s="6" t="s">
        <v>3304</v>
      </c>
      <c r="K444" s="6">
        <v>53</v>
      </c>
    </row>
    <row r="445" spans="1:11" x14ac:dyDescent="0.3">
      <c r="A445" s="6" t="s">
        <v>453</v>
      </c>
      <c r="B445" s="6" t="s">
        <v>1749</v>
      </c>
      <c r="C445" s="7">
        <v>31619</v>
      </c>
      <c r="D445" s="8">
        <v>37280</v>
      </c>
      <c r="E445" s="6" t="s">
        <v>2601</v>
      </c>
      <c r="F445" s="6">
        <v>73240</v>
      </c>
      <c r="G445" s="6" t="s">
        <v>2613</v>
      </c>
      <c r="H445" s="6" t="s">
        <v>2617</v>
      </c>
      <c r="I445" s="6" t="s">
        <v>2957</v>
      </c>
      <c r="J445" s="6" t="s">
        <v>3308</v>
      </c>
      <c r="K445" s="6">
        <v>23</v>
      </c>
    </row>
    <row r="446" spans="1:11" x14ac:dyDescent="0.3">
      <c r="A446" s="6" t="s">
        <v>454</v>
      </c>
      <c r="B446" s="6" t="s">
        <v>1750</v>
      </c>
      <c r="C446" s="7">
        <v>24967</v>
      </c>
      <c r="D446" s="8">
        <v>40807</v>
      </c>
      <c r="E446" s="6" t="s">
        <v>2599</v>
      </c>
      <c r="F446" s="6">
        <v>104483</v>
      </c>
      <c r="G446" s="6" t="s">
        <v>2610</v>
      </c>
      <c r="H446" s="6" t="s">
        <v>2616</v>
      </c>
      <c r="I446" s="6" t="s">
        <v>2655</v>
      </c>
      <c r="J446" s="6" t="s">
        <v>3310</v>
      </c>
      <c r="K446" s="6">
        <v>14</v>
      </c>
    </row>
    <row r="447" spans="1:11" x14ac:dyDescent="0.3">
      <c r="A447" s="6" t="s">
        <v>455</v>
      </c>
      <c r="B447" s="6" t="s">
        <v>1751</v>
      </c>
      <c r="C447" s="7">
        <v>23140</v>
      </c>
      <c r="D447" s="8">
        <v>41124</v>
      </c>
      <c r="E447" s="6" t="s">
        <v>2603</v>
      </c>
      <c r="F447" s="6">
        <v>75999</v>
      </c>
      <c r="G447" s="6" t="s">
        <v>2614</v>
      </c>
      <c r="H447" s="6" t="s">
        <v>2617</v>
      </c>
      <c r="I447" s="6" t="s">
        <v>2870</v>
      </c>
      <c r="J447" s="6" t="s">
        <v>3305</v>
      </c>
      <c r="K447" s="6">
        <v>13</v>
      </c>
    </row>
    <row r="448" spans="1:11" x14ac:dyDescent="0.3">
      <c r="A448" s="6" t="s">
        <v>456</v>
      </c>
      <c r="B448" s="6" t="s">
        <v>1752</v>
      </c>
      <c r="C448" s="7">
        <v>25395</v>
      </c>
      <c r="D448" s="8">
        <v>27030</v>
      </c>
      <c r="E448" s="6" t="s">
        <v>2601</v>
      </c>
      <c r="F448" s="6">
        <v>118107</v>
      </c>
      <c r="G448" s="6" t="s">
        <v>2609</v>
      </c>
      <c r="H448" s="6" t="s">
        <v>2617</v>
      </c>
      <c r="I448" s="6" t="s">
        <v>2745</v>
      </c>
      <c r="J448" s="6" t="s">
        <v>3310</v>
      </c>
      <c r="K448" s="6">
        <v>51</v>
      </c>
    </row>
    <row r="449" spans="1:11" x14ac:dyDescent="0.3">
      <c r="A449" s="6" t="s">
        <v>457</v>
      </c>
      <c r="B449" s="6" t="s">
        <v>1753</v>
      </c>
      <c r="C449" s="7">
        <v>22145</v>
      </c>
      <c r="D449" s="8">
        <v>42636</v>
      </c>
      <c r="E449" s="6" t="s">
        <v>2600</v>
      </c>
      <c r="F449" s="6">
        <v>79127</v>
      </c>
      <c r="G449" s="6" t="s">
        <v>2609</v>
      </c>
      <c r="H449" s="6" t="s">
        <v>2616</v>
      </c>
      <c r="I449" s="6" t="s">
        <v>2958</v>
      </c>
      <c r="J449" s="6" t="s">
        <v>3309</v>
      </c>
      <c r="K449" s="6">
        <v>9</v>
      </c>
    </row>
    <row r="450" spans="1:11" x14ac:dyDescent="0.3">
      <c r="A450" s="6" t="s">
        <v>458</v>
      </c>
      <c r="B450" s="6" t="s">
        <v>1754</v>
      </c>
      <c r="C450" s="7">
        <v>23889</v>
      </c>
      <c r="D450" s="8">
        <v>40160</v>
      </c>
      <c r="E450" s="6" t="s">
        <v>2604</v>
      </c>
      <c r="F450" s="6">
        <v>128707</v>
      </c>
      <c r="G450" s="6" t="s">
        <v>2612</v>
      </c>
      <c r="H450" s="6" t="s">
        <v>2616</v>
      </c>
      <c r="I450" s="6" t="s">
        <v>2959</v>
      </c>
      <c r="J450" s="6" t="s">
        <v>3307</v>
      </c>
      <c r="K450" s="6">
        <v>16</v>
      </c>
    </row>
    <row r="451" spans="1:11" x14ac:dyDescent="0.3">
      <c r="A451" s="6" t="s">
        <v>459</v>
      </c>
      <c r="B451" s="6" t="s">
        <v>1755</v>
      </c>
      <c r="C451" s="7">
        <v>33366</v>
      </c>
      <c r="D451" s="8">
        <v>35737</v>
      </c>
      <c r="E451" s="6" t="s">
        <v>2600</v>
      </c>
      <c r="F451" s="6">
        <v>120522</v>
      </c>
      <c r="G451" s="6" t="s">
        <v>2610</v>
      </c>
      <c r="H451" s="6" t="s">
        <v>2616</v>
      </c>
      <c r="I451" s="6" t="s">
        <v>2693</v>
      </c>
      <c r="J451" s="6" t="s">
        <v>3304</v>
      </c>
      <c r="K451" s="6">
        <v>28</v>
      </c>
    </row>
    <row r="452" spans="1:11" x14ac:dyDescent="0.3">
      <c r="A452" s="6" t="s">
        <v>460</v>
      </c>
      <c r="B452" s="6" t="s">
        <v>1756</v>
      </c>
      <c r="C452" s="7">
        <v>35342</v>
      </c>
      <c r="D452" s="8">
        <v>42427</v>
      </c>
      <c r="E452" s="6" t="s">
        <v>2604</v>
      </c>
      <c r="F452" s="6">
        <v>70763</v>
      </c>
      <c r="G452" s="6" t="s">
        <v>2607</v>
      </c>
      <c r="H452" s="6" t="s">
        <v>2616</v>
      </c>
      <c r="I452" s="6" t="s">
        <v>2960</v>
      </c>
      <c r="J452" s="6" t="s">
        <v>3304</v>
      </c>
      <c r="K452" s="6">
        <v>9</v>
      </c>
    </row>
    <row r="453" spans="1:11" x14ac:dyDescent="0.3">
      <c r="A453" s="6" t="s">
        <v>461</v>
      </c>
      <c r="B453" s="6" t="s">
        <v>1757</v>
      </c>
      <c r="C453" s="7">
        <v>24455</v>
      </c>
      <c r="D453" s="8">
        <v>26512</v>
      </c>
      <c r="E453" s="6" t="s">
        <v>2599</v>
      </c>
      <c r="F453" s="6">
        <v>196568</v>
      </c>
      <c r="G453" s="6" t="s">
        <v>2607</v>
      </c>
      <c r="H453" s="6" t="s">
        <v>2617</v>
      </c>
      <c r="I453" s="6" t="s">
        <v>2961</v>
      </c>
      <c r="J453" s="6" t="s">
        <v>3310</v>
      </c>
      <c r="K453" s="6">
        <v>53</v>
      </c>
    </row>
    <row r="454" spans="1:11" x14ac:dyDescent="0.3">
      <c r="A454" s="6" t="s">
        <v>462</v>
      </c>
      <c r="B454" s="6" t="s">
        <v>1758</v>
      </c>
      <c r="C454" s="7">
        <v>28317</v>
      </c>
      <c r="D454" s="8">
        <v>32379</v>
      </c>
      <c r="E454" s="6" t="s">
        <v>2599</v>
      </c>
      <c r="F454" s="6">
        <v>52251</v>
      </c>
      <c r="G454" s="6" t="s">
        <v>2611</v>
      </c>
      <c r="H454" s="6" t="s">
        <v>2616</v>
      </c>
      <c r="I454" s="6" t="s">
        <v>2911</v>
      </c>
      <c r="J454" s="6" t="s">
        <v>3306</v>
      </c>
      <c r="K454" s="6">
        <v>37</v>
      </c>
    </row>
    <row r="455" spans="1:11" x14ac:dyDescent="0.3">
      <c r="A455" s="6" t="s">
        <v>463</v>
      </c>
      <c r="B455" s="6" t="s">
        <v>1759</v>
      </c>
      <c r="C455" s="7">
        <v>25274</v>
      </c>
      <c r="D455" s="8">
        <v>39520</v>
      </c>
      <c r="E455" s="6" t="s">
        <v>2600</v>
      </c>
      <c r="F455" s="6">
        <v>162499</v>
      </c>
      <c r="G455" s="6" t="s">
        <v>2612</v>
      </c>
      <c r="H455" s="6" t="s">
        <v>2616</v>
      </c>
      <c r="I455" s="6" t="s">
        <v>2962</v>
      </c>
      <c r="J455" s="6" t="s">
        <v>3305</v>
      </c>
      <c r="K455" s="6">
        <v>17</v>
      </c>
    </row>
    <row r="456" spans="1:11" x14ac:dyDescent="0.3">
      <c r="A456" s="6" t="s">
        <v>464</v>
      </c>
      <c r="B456" s="6" t="s">
        <v>1760</v>
      </c>
      <c r="C456" s="7">
        <v>33334</v>
      </c>
      <c r="D456" s="8">
        <v>32264</v>
      </c>
      <c r="E456" s="6" t="s">
        <v>2605</v>
      </c>
      <c r="F456" s="6">
        <v>194641</v>
      </c>
      <c r="G456" s="6" t="s">
        <v>2610</v>
      </c>
      <c r="H456" s="6" t="s">
        <v>2616</v>
      </c>
      <c r="I456" s="6" t="s">
        <v>2963</v>
      </c>
      <c r="J456" s="6" t="s">
        <v>3306</v>
      </c>
      <c r="K456" s="6">
        <v>37</v>
      </c>
    </row>
    <row r="457" spans="1:11" x14ac:dyDescent="0.3">
      <c r="A457" s="6" t="s">
        <v>465</v>
      </c>
      <c r="B457" s="6" t="s">
        <v>1761</v>
      </c>
      <c r="C457" s="7">
        <v>35616</v>
      </c>
      <c r="D457" s="8">
        <v>41647</v>
      </c>
      <c r="E457" s="6" t="s">
        <v>2605</v>
      </c>
      <c r="F457" s="6">
        <v>132218</v>
      </c>
      <c r="G457" s="6" t="s">
        <v>2609</v>
      </c>
      <c r="H457" s="6" t="s">
        <v>2617</v>
      </c>
      <c r="I457" s="6" t="s">
        <v>2675</v>
      </c>
      <c r="J457" s="6" t="s">
        <v>3309</v>
      </c>
      <c r="K457" s="6">
        <v>11</v>
      </c>
    </row>
    <row r="458" spans="1:11" x14ac:dyDescent="0.3">
      <c r="A458" s="6" t="s">
        <v>466</v>
      </c>
      <c r="B458" s="6" t="s">
        <v>1762</v>
      </c>
      <c r="C458" s="7">
        <v>33993</v>
      </c>
      <c r="D458" s="8">
        <v>42278</v>
      </c>
      <c r="E458" s="6" t="s">
        <v>2602</v>
      </c>
      <c r="F458" s="6">
        <v>112983</v>
      </c>
      <c r="G458" s="6" t="s">
        <v>2609</v>
      </c>
      <c r="H458" s="6" t="s">
        <v>2617</v>
      </c>
      <c r="I458" s="6" t="s">
        <v>2964</v>
      </c>
      <c r="J458" s="6" t="s">
        <v>3307</v>
      </c>
      <c r="K458" s="6">
        <v>10</v>
      </c>
    </row>
    <row r="459" spans="1:11" x14ac:dyDescent="0.3">
      <c r="A459" s="6" t="s">
        <v>467</v>
      </c>
      <c r="B459" s="6" t="s">
        <v>1763</v>
      </c>
      <c r="C459" s="7">
        <v>28004</v>
      </c>
      <c r="D459" s="8">
        <v>29672</v>
      </c>
      <c r="E459" s="6" t="s">
        <v>2605</v>
      </c>
      <c r="F459" s="6">
        <v>101855</v>
      </c>
      <c r="G459" s="6" t="s">
        <v>2610</v>
      </c>
      <c r="H459" s="6" t="s">
        <v>2617</v>
      </c>
      <c r="I459" s="6" t="s">
        <v>2965</v>
      </c>
      <c r="J459" s="6" t="s">
        <v>3305</v>
      </c>
      <c r="K459" s="6">
        <v>44</v>
      </c>
    </row>
    <row r="460" spans="1:11" x14ac:dyDescent="0.3">
      <c r="A460" s="6" t="s">
        <v>468</v>
      </c>
      <c r="B460" s="6" t="s">
        <v>1764</v>
      </c>
      <c r="C460" s="7">
        <v>28015</v>
      </c>
      <c r="D460" s="8">
        <v>30414</v>
      </c>
      <c r="E460" s="6" t="s">
        <v>2601</v>
      </c>
      <c r="F460" s="6">
        <v>193951</v>
      </c>
      <c r="G460" s="6" t="s">
        <v>2611</v>
      </c>
      <c r="H460" s="6" t="s">
        <v>2616</v>
      </c>
      <c r="I460" s="6" t="s">
        <v>2685</v>
      </c>
      <c r="J460" s="6" t="s">
        <v>3308</v>
      </c>
      <c r="K460" s="6">
        <v>42</v>
      </c>
    </row>
    <row r="461" spans="1:11" x14ac:dyDescent="0.3">
      <c r="A461" s="6" t="s">
        <v>469</v>
      </c>
      <c r="B461" s="6" t="s">
        <v>1765</v>
      </c>
      <c r="C461" s="7">
        <v>28567</v>
      </c>
      <c r="D461" s="8">
        <v>25613</v>
      </c>
      <c r="E461" s="6" t="s">
        <v>2605</v>
      </c>
      <c r="F461" s="6">
        <v>30304</v>
      </c>
      <c r="G461" s="6" t="s">
        <v>2607</v>
      </c>
      <c r="H461" s="6" t="s">
        <v>2616</v>
      </c>
      <c r="I461" s="6" t="s">
        <v>2966</v>
      </c>
      <c r="J461" s="6" t="s">
        <v>3305</v>
      </c>
      <c r="K461" s="6">
        <v>55</v>
      </c>
    </row>
    <row r="462" spans="1:11" x14ac:dyDescent="0.3">
      <c r="A462" s="6" t="s">
        <v>470</v>
      </c>
      <c r="B462" s="6" t="s">
        <v>1766</v>
      </c>
      <c r="C462" s="7">
        <v>31256</v>
      </c>
      <c r="D462" s="8">
        <v>31390</v>
      </c>
      <c r="E462" s="6" t="s">
        <v>2599</v>
      </c>
      <c r="F462" s="6">
        <v>111166</v>
      </c>
      <c r="G462" s="6" t="s">
        <v>2607</v>
      </c>
      <c r="H462" s="6" t="s">
        <v>2617</v>
      </c>
      <c r="I462" s="6" t="s">
        <v>2967</v>
      </c>
      <c r="J462" s="6" t="s">
        <v>3309</v>
      </c>
      <c r="K462" s="6">
        <v>40</v>
      </c>
    </row>
    <row r="463" spans="1:11" x14ac:dyDescent="0.3">
      <c r="A463" s="6" t="s">
        <v>471</v>
      </c>
      <c r="B463" s="6" t="s">
        <v>1767</v>
      </c>
      <c r="C463" s="7">
        <v>28654</v>
      </c>
      <c r="D463" s="8">
        <v>33258</v>
      </c>
      <c r="E463" s="6" t="s">
        <v>2605</v>
      </c>
      <c r="F463" s="6">
        <v>137412</v>
      </c>
      <c r="G463" s="6" t="s">
        <v>2613</v>
      </c>
      <c r="H463" s="6" t="s">
        <v>2617</v>
      </c>
      <c r="I463" s="6" t="s">
        <v>2968</v>
      </c>
      <c r="J463" s="6" t="s">
        <v>3306</v>
      </c>
      <c r="K463" s="6">
        <v>34</v>
      </c>
    </row>
    <row r="464" spans="1:11" x14ac:dyDescent="0.3">
      <c r="A464" s="6" t="s">
        <v>472</v>
      </c>
      <c r="B464" s="6" t="s">
        <v>1768</v>
      </c>
      <c r="C464" s="7">
        <v>37551</v>
      </c>
      <c r="D464" s="8">
        <v>35302</v>
      </c>
      <c r="E464" s="6" t="s">
        <v>2602</v>
      </c>
      <c r="F464" s="6">
        <v>135490</v>
      </c>
      <c r="G464" s="6" t="s">
        <v>2613</v>
      </c>
      <c r="H464" s="6" t="s">
        <v>2617</v>
      </c>
      <c r="I464" s="6" t="s">
        <v>2969</v>
      </c>
      <c r="J464" s="6" t="s">
        <v>3307</v>
      </c>
      <c r="K464" s="6">
        <v>29</v>
      </c>
    </row>
    <row r="465" spans="1:11" x14ac:dyDescent="0.3">
      <c r="A465" s="6" t="s">
        <v>473</v>
      </c>
      <c r="B465" s="6" t="s">
        <v>1769</v>
      </c>
      <c r="C465" s="7">
        <v>25376</v>
      </c>
      <c r="D465" s="8">
        <v>39210</v>
      </c>
      <c r="E465" s="6" t="s">
        <v>2604</v>
      </c>
      <c r="F465" s="6">
        <v>72893</v>
      </c>
      <c r="G465" s="6" t="s">
        <v>2615</v>
      </c>
      <c r="H465" s="6" t="s">
        <v>2617</v>
      </c>
      <c r="I465" s="6" t="s">
        <v>2970</v>
      </c>
      <c r="J465" s="6" t="s">
        <v>3308</v>
      </c>
      <c r="K465" s="6">
        <v>18</v>
      </c>
    </row>
    <row r="466" spans="1:11" x14ac:dyDescent="0.3">
      <c r="A466" s="6" t="s">
        <v>474</v>
      </c>
      <c r="B466" s="6" t="s">
        <v>1770</v>
      </c>
      <c r="C466" s="7">
        <v>34813</v>
      </c>
      <c r="D466" s="8">
        <v>36359</v>
      </c>
      <c r="E466" s="6" t="s">
        <v>2603</v>
      </c>
      <c r="F466" s="6">
        <v>125518</v>
      </c>
      <c r="G466" s="6" t="s">
        <v>2607</v>
      </c>
      <c r="H466" s="6" t="s">
        <v>2616</v>
      </c>
      <c r="I466" s="6" t="s">
        <v>2971</v>
      </c>
      <c r="J466" s="6" t="s">
        <v>3305</v>
      </c>
      <c r="K466" s="6">
        <v>26</v>
      </c>
    </row>
    <row r="467" spans="1:11" x14ac:dyDescent="0.3">
      <c r="A467" s="6" t="s">
        <v>475</v>
      </c>
      <c r="B467" s="6" t="s">
        <v>1771</v>
      </c>
      <c r="C467" s="7">
        <v>29721</v>
      </c>
      <c r="D467" s="8">
        <v>34014</v>
      </c>
      <c r="E467" s="6" t="s">
        <v>2600</v>
      </c>
      <c r="F467" s="6">
        <v>159174</v>
      </c>
      <c r="G467" s="6" t="s">
        <v>2607</v>
      </c>
      <c r="H467" s="6" t="s">
        <v>2617</v>
      </c>
      <c r="I467" s="6" t="s">
        <v>2829</v>
      </c>
      <c r="J467" s="6" t="s">
        <v>3308</v>
      </c>
      <c r="K467" s="6">
        <v>32</v>
      </c>
    </row>
    <row r="468" spans="1:11" x14ac:dyDescent="0.3">
      <c r="A468" s="6" t="s">
        <v>476</v>
      </c>
      <c r="B468" s="6" t="s">
        <v>1772</v>
      </c>
      <c r="C468" s="7">
        <v>23923</v>
      </c>
      <c r="D468" s="8">
        <v>32736</v>
      </c>
      <c r="E468" s="6" t="s">
        <v>2603</v>
      </c>
      <c r="F468" s="6">
        <v>95213</v>
      </c>
      <c r="G468" s="6" t="s">
        <v>2611</v>
      </c>
      <c r="H468" s="6" t="s">
        <v>2616</v>
      </c>
      <c r="I468" s="6" t="s">
        <v>2972</v>
      </c>
      <c r="J468" s="6" t="s">
        <v>3306</v>
      </c>
      <c r="K468" s="6">
        <v>36</v>
      </c>
    </row>
    <row r="469" spans="1:11" x14ac:dyDescent="0.3">
      <c r="A469" s="6" t="s">
        <v>477</v>
      </c>
      <c r="B469" s="6" t="s">
        <v>1773</v>
      </c>
      <c r="C469" s="7">
        <v>26786</v>
      </c>
      <c r="D469" s="8">
        <v>41147</v>
      </c>
      <c r="E469" s="6" t="s">
        <v>2602</v>
      </c>
      <c r="F469" s="6">
        <v>192064</v>
      </c>
      <c r="G469" s="6" t="s">
        <v>2612</v>
      </c>
      <c r="H469" s="6" t="s">
        <v>2616</v>
      </c>
      <c r="I469" s="6" t="s">
        <v>2973</v>
      </c>
      <c r="J469" s="6" t="s">
        <v>3310</v>
      </c>
      <c r="K469" s="6">
        <v>13</v>
      </c>
    </row>
    <row r="470" spans="1:11" x14ac:dyDescent="0.3">
      <c r="A470" s="6" t="s">
        <v>478</v>
      </c>
      <c r="B470" s="6" t="s">
        <v>1774</v>
      </c>
      <c r="C470" s="7">
        <v>26515</v>
      </c>
      <c r="D470" s="8">
        <v>39490</v>
      </c>
      <c r="E470" s="6" t="s">
        <v>2604</v>
      </c>
      <c r="F470" s="6">
        <v>108609</v>
      </c>
      <c r="G470" s="6" t="s">
        <v>2614</v>
      </c>
      <c r="H470" s="6" t="s">
        <v>2617</v>
      </c>
      <c r="I470" s="6" t="s">
        <v>2956</v>
      </c>
      <c r="J470" s="6" t="s">
        <v>3310</v>
      </c>
      <c r="K470" s="6">
        <v>17</v>
      </c>
    </row>
    <row r="471" spans="1:11" x14ac:dyDescent="0.3">
      <c r="A471" s="6" t="s">
        <v>479</v>
      </c>
      <c r="B471" s="6" t="s">
        <v>1775</v>
      </c>
      <c r="C471" s="7">
        <v>33301</v>
      </c>
      <c r="D471" s="8">
        <v>26458</v>
      </c>
      <c r="E471" s="6" t="s">
        <v>2600</v>
      </c>
      <c r="F471" s="6">
        <v>128319</v>
      </c>
      <c r="G471" s="6" t="s">
        <v>2610</v>
      </c>
      <c r="H471" s="6" t="s">
        <v>2616</v>
      </c>
      <c r="I471" s="6" t="s">
        <v>2974</v>
      </c>
      <c r="J471" s="6" t="s">
        <v>3310</v>
      </c>
      <c r="K471" s="6">
        <v>53</v>
      </c>
    </row>
    <row r="472" spans="1:11" x14ac:dyDescent="0.3">
      <c r="A472" s="6" t="s">
        <v>480</v>
      </c>
      <c r="B472" s="6" t="s">
        <v>1776</v>
      </c>
      <c r="C472" s="7">
        <v>30385</v>
      </c>
      <c r="D472" s="8">
        <v>44700</v>
      </c>
      <c r="E472" s="6" t="s">
        <v>2605</v>
      </c>
      <c r="F472" s="6">
        <v>41244</v>
      </c>
      <c r="G472" s="6" t="s">
        <v>2607</v>
      </c>
      <c r="H472" s="6" t="s">
        <v>2617</v>
      </c>
      <c r="I472" s="6" t="s">
        <v>2975</v>
      </c>
      <c r="J472" s="6" t="s">
        <v>3304</v>
      </c>
      <c r="K472" s="6">
        <v>3</v>
      </c>
    </row>
    <row r="473" spans="1:11" x14ac:dyDescent="0.3">
      <c r="A473" s="6" t="s">
        <v>481</v>
      </c>
      <c r="B473" s="6" t="s">
        <v>1777</v>
      </c>
      <c r="C473" s="7">
        <v>24188</v>
      </c>
      <c r="D473" s="8">
        <v>44686</v>
      </c>
      <c r="E473" s="6" t="s">
        <v>2603</v>
      </c>
      <c r="F473" s="6">
        <v>103112</v>
      </c>
      <c r="G473" s="6" t="s">
        <v>2608</v>
      </c>
      <c r="H473" s="6" t="s">
        <v>2616</v>
      </c>
      <c r="I473" s="6" t="s">
        <v>2976</v>
      </c>
      <c r="J473" s="6" t="s">
        <v>3306</v>
      </c>
      <c r="K473" s="6">
        <v>3</v>
      </c>
    </row>
    <row r="474" spans="1:11" x14ac:dyDescent="0.3">
      <c r="A474" s="6" t="s">
        <v>482</v>
      </c>
      <c r="B474" s="6" t="s">
        <v>1778</v>
      </c>
      <c r="C474" s="7">
        <v>26408</v>
      </c>
      <c r="D474" s="8">
        <v>36766</v>
      </c>
      <c r="E474" s="6" t="s">
        <v>2605</v>
      </c>
      <c r="F474" s="6">
        <v>195150</v>
      </c>
      <c r="G474" s="6" t="s">
        <v>2606</v>
      </c>
      <c r="H474" s="6" t="s">
        <v>2617</v>
      </c>
      <c r="I474" s="6" t="s">
        <v>2977</v>
      </c>
      <c r="J474" s="6" t="s">
        <v>3308</v>
      </c>
      <c r="K474" s="6">
        <v>25</v>
      </c>
    </row>
    <row r="475" spans="1:11" x14ac:dyDescent="0.3">
      <c r="A475" s="6" t="s">
        <v>483</v>
      </c>
      <c r="B475" s="6" t="s">
        <v>1779</v>
      </c>
      <c r="C475" s="7">
        <v>26383</v>
      </c>
      <c r="D475" s="8">
        <v>35527</v>
      </c>
      <c r="E475" s="6" t="s">
        <v>2602</v>
      </c>
      <c r="F475" s="6">
        <v>196856</v>
      </c>
      <c r="G475" s="6" t="s">
        <v>2607</v>
      </c>
      <c r="H475" s="6" t="s">
        <v>2616</v>
      </c>
      <c r="I475" s="6" t="s">
        <v>2684</v>
      </c>
      <c r="J475" s="6" t="s">
        <v>3305</v>
      </c>
      <c r="K475" s="6">
        <v>28</v>
      </c>
    </row>
    <row r="476" spans="1:11" x14ac:dyDescent="0.3">
      <c r="A476" s="6" t="s">
        <v>484</v>
      </c>
      <c r="B476" s="6" t="s">
        <v>1780</v>
      </c>
      <c r="C476" s="7">
        <v>36394</v>
      </c>
      <c r="D476" s="8">
        <v>39289</v>
      </c>
      <c r="E476" s="6" t="s">
        <v>2605</v>
      </c>
      <c r="F476" s="6">
        <v>114073</v>
      </c>
      <c r="G476" s="6" t="s">
        <v>2615</v>
      </c>
      <c r="H476" s="6" t="s">
        <v>2617</v>
      </c>
      <c r="I476" s="6" t="s">
        <v>2824</v>
      </c>
      <c r="J476" s="6" t="s">
        <v>3309</v>
      </c>
      <c r="K476" s="6">
        <v>18</v>
      </c>
    </row>
    <row r="477" spans="1:11" x14ac:dyDescent="0.3">
      <c r="A477" s="6" t="s">
        <v>485</v>
      </c>
      <c r="B477" s="6" t="s">
        <v>1781</v>
      </c>
      <c r="C477" s="7">
        <v>29780</v>
      </c>
      <c r="D477" s="8">
        <v>30980</v>
      </c>
      <c r="E477" s="6" t="s">
        <v>2602</v>
      </c>
      <c r="F477" s="6">
        <v>104729</v>
      </c>
      <c r="G477" s="6" t="s">
        <v>2614</v>
      </c>
      <c r="H477" s="6" t="s">
        <v>2616</v>
      </c>
      <c r="I477" s="6" t="s">
        <v>2887</v>
      </c>
      <c r="J477" s="6" t="s">
        <v>3305</v>
      </c>
      <c r="K477" s="6">
        <v>41</v>
      </c>
    </row>
    <row r="478" spans="1:11" x14ac:dyDescent="0.3">
      <c r="A478" s="6" t="s">
        <v>486</v>
      </c>
      <c r="B478" s="6" t="s">
        <v>1782</v>
      </c>
      <c r="C478" s="7">
        <v>26609</v>
      </c>
      <c r="D478" s="8">
        <v>39714</v>
      </c>
      <c r="E478" s="6" t="s">
        <v>2604</v>
      </c>
      <c r="F478" s="6">
        <v>106134</v>
      </c>
      <c r="G478" s="6" t="s">
        <v>2614</v>
      </c>
      <c r="H478" s="6" t="s">
        <v>2617</v>
      </c>
      <c r="I478" s="6" t="s">
        <v>2978</v>
      </c>
      <c r="J478" s="6" t="s">
        <v>3306</v>
      </c>
      <c r="K478" s="6">
        <v>17</v>
      </c>
    </row>
    <row r="479" spans="1:11" x14ac:dyDescent="0.3">
      <c r="A479" s="6" t="s">
        <v>487</v>
      </c>
      <c r="B479" s="6" t="s">
        <v>1783</v>
      </c>
      <c r="C479" s="7">
        <v>25881</v>
      </c>
      <c r="D479" s="8">
        <v>35240</v>
      </c>
      <c r="E479" s="6" t="s">
        <v>2602</v>
      </c>
      <c r="F479" s="6">
        <v>41662</v>
      </c>
      <c r="G479" s="6" t="s">
        <v>2615</v>
      </c>
      <c r="H479" s="6" t="s">
        <v>2616</v>
      </c>
      <c r="I479" s="6" t="s">
        <v>2979</v>
      </c>
      <c r="J479" s="6" t="s">
        <v>3310</v>
      </c>
      <c r="K479" s="6">
        <v>29</v>
      </c>
    </row>
    <row r="480" spans="1:11" x14ac:dyDescent="0.3">
      <c r="A480" s="6" t="s">
        <v>488</v>
      </c>
      <c r="B480" s="6" t="s">
        <v>1784</v>
      </c>
      <c r="C480" s="7">
        <v>26981</v>
      </c>
      <c r="D480" s="8">
        <v>40062</v>
      </c>
      <c r="E480" s="6" t="s">
        <v>2602</v>
      </c>
      <c r="F480" s="6">
        <v>83720</v>
      </c>
      <c r="G480" s="6" t="s">
        <v>2613</v>
      </c>
      <c r="H480" s="6" t="s">
        <v>2616</v>
      </c>
      <c r="I480" s="6" t="s">
        <v>2663</v>
      </c>
      <c r="J480" s="6" t="s">
        <v>3305</v>
      </c>
      <c r="K480" s="6">
        <v>16</v>
      </c>
    </row>
    <row r="481" spans="1:11" x14ac:dyDescent="0.3">
      <c r="A481" s="6" t="s">
        <v>489</v>
      </c>
      <c r="B481" s="6" t="s">
        <v>1785</v>
      </c>
      <c r="C481" s="7">
        <v>37278</v>
      </c>
      <c r="D481" s="8">
        <v>39063</v>
      </c>
      <c r="E481" s="6" t="s">
        <v>2602</v>
      </c>
      <c r="F481" s="6">
        <v>47108</v>
      </c>
      <c r="G481" s="6" t="s">
        <v>2606</v>
      </c>
      <c r="H481" s="6" t="s">
        <v>2617</v>
      </c>
      <c r="I481" s="6" t="s">
        <v>2980</v>
      </c>
      <c r="J481" s="6" t="s">
        <v>3308</v>
      </c>
      <c r="K481" s="6">
        <v>19</v>
      </c>
    </row>
    <row r="482" spans="1:11" x14ac:dyDescent="0.3">
      <c r="A482" s="6" t="s">
        <v>490</v>
      </c>
      <c r="B482" s="6" t="s">
        <v>1786</v>
      </c>
      <c r="C482" s="7">
        <v>23982</v>
      </c>
      <c r="D482" s="8">
        <v>37861</v>
      </c>
      <c r="E482" s="6" t="s">
        <v>2603</v>
      </c>
      <c r="F482" s="6">
        <v>185505</v>
      </c>
      <c r="G482" s="6" t="s">
        <v>2614</v>
      </c>
      <c r="H482" s="6" t="s">
        <v>2616</v>
      </c>
      <c r="I482" s="6" t="s">
        <v>2981</v>
      </c>
      <c r="J482" s="6" t="s">
        <v>3310</v>
      </c>
      <c r="K482" s="6">
        <v>22</v>
      </c>
    </row>
    <row r="483" spans="1:11" x14ac:dyDescent="0.3">
      <c r="A483" s="6" t="s">
        <v>491</v>
      </c>
      <c r="B483" s="6" t="s">
        <v>1787</v>
      </c>
      <c r="C483" s="7">
        <v>26978</v>
      </c>
      <c r="D483" s="8">
        <v>36628</v>
      </c>
      <c r="E483" s="6" t="s">
        <v>2603</v>
      </c>
      <c r="F483" s="6">
        <v>58897</v>
      </c>
      <c r="G483" s="6" t="s">
        <v>2611</v>
      </c>
      <c r="H483" s="6" t="s">
        <v>2617</v>
      </c>
      <c r="I483" s="6" t="s">
        <v>2861</v>
      </c>
      <c r="J483" s="6" t="s">
        <v>3308</v>
      </c>
      <c r="K483" s="6">
        <v>25</v>
      </c>
    </row>
    <row r="484" spans="1:11" x14ac:dyDescent="0.3">
      <c r="A484" s="6" t="s">
        <v>492</v>
      </c>
      <c r="B484" s="6" t="s">
        <v>1788</v>
      </c>
      <c r="C484" s="7">
        <v>25247</v>
      </c>
      <c r="D484" s="8">
        <v>38081</v>
      </c>
      <c r="E484" s="6" t="s">
        <v>2602</v>
      </c>
      <c r="F484" s="6">
        <v>153919</v>
      </c>
      <c r="G484" s="6" t="s">
        <v>2608</v>
      </c>
      <c r="H484" s="6" t="s">
        <v>2617</v>
      </c>
      <c r="I484" s="6" t="s">
        <v>2982</v>
      </c>
      <c r="J484" s="6" t="s">
        <v>3310</v>
      </c>
      <c r="K484" s="6">
        <v>21</v>
      </c>
    </row>
    <row r="485" spans="1:11" x14ac:dyDescent="0.3">
      <c r="A485" s="6" t="s">
        <v>493</v>
      </c>
      <c r="B485" s="6" t="s">
        <v>1789</v>
      </c>
      <c r="C485" s="7">
        <v>22868</v>
      </c>
      <c r="D485" s="8">
        <v>40284</v>
      </c>
      <c r="E485" s="6" t="s">
        <v>2602</v>
      </c>
      <c r="F485" s="6">
        <v>181278</v>
      </c>
      <c r="G485" s="6" t="s">
        <v>2614</v>
      </c>
      <c r="H485" s="6" t="s">
        <v>2617</v>
      </c>
      <c r="I485" s="6" t="s">
        <v>2666</v>
      </c>
      <c r="J485" s="6" t="s">
        <v>3310</v>
      </c>
      <c r="K485" s="6">
        <v>15</v>
      </c>
    </row>
    <row r="486" spans="1:11" x14ac:dyDescent="0.3">
      <c r="A486" s="6" t="s">
        <v>494</v>
      </c>
      <c r="B486" s="6" t="s">
        <v>1790</v>
      </c>
      <c r="C486" s="7">
        <v>24769</v>
      </c>
      <c r="D486" s="8">
        <v>44370</v>
      </c>
      <c r="E486" s="6" t="s">
        <v>2601</v>
      </c>
      <c r="F486" s="6">
        <v>112091</v>
      </c>
      <c r="G486" s="6" t="s">
        <v>2607</v>
      </c>
      <c r="H486" s="6" t="s">
        <v>2617</v>
      </c>
      <c r="I486" s="6" t="s">
        <v>2983</v>
      </c>
      <c r="J486" s="6" t="s">
        <v>3306</v>
      </c>
      <c r="K486" s="6">
        <v>4</v>
      </c>
    </row>
    <row r="487" spans="1:11" x14ac:dyDescent="0.3">
      <c r="A487" s="6" t="s">
        <v>495</v>
      </c>
      <c r="B487" s="6" t="s">
        <v>1791</v>
      </c>
      <c r="C487" s="7">
        <v>36458</v>
      </c>
      <c r="D487" s="8">
        <v>32229</v>
      </c>
      <c r="E487" s="6" t="s">
        <v>2601</v>
      </c>
      <c r="F487" s="6">
        <v>166845</v>
      </c>
      <c r="G487" s="6" t="s">
        <v>2608</v>
      </c>
      <c r="H487" s="6" t="s">
        <v>2616</v>
      </c>
      <c r="I487" s="6" t="s">
        <v>2882</v>
      </c>
      <c r="J487" s="6" t="s">
        <v>3306</v>
      </c>
      <c r="K487" s="6">
        <v>37</v>
      </c>
    </row>
    <row r="488" spans="1:11" x14ac:dyDescent="0.3">
      <c r="A488" s="6" t="s">
        <v>496</v>
      </c>
      <c r="B488" s="6" t="s">
        <v>1792</v>
      </c>
      <c r="C488" s="7">
        <v>26449</v>
      </c>
      <c r="D488" s="8">
        <v>35920</v>
      </c>
      <c r="E488" s="6" t="s">
        <v>2604</v>
      </c>
      <c r="F488" s="6">
        <v>78167</v>
      </c>
      <c r="G488" s="6" t="s">
        <v>2612</v>
      </c>
      <c r="H488" s="6" t="s">
        <v>2617</v>
      </c>
      <c r="I488" s="6" t="s">
        <v>2720</v>
      </c>
      <c r="J488" s="6" t="s">
        <v>3306</v>
      </c>
      <c r="K488" s="6">
        <v>27</v>
      </c>
    </row>
    <row r="489" spans="1:11" x14ac:dyDescent="0.3">
      <c r="A489" s="6" t="s">
        <v>497</v>
      </c>
      <c r="B489" s="6" t="s">
        <v>1793</v>
      </c>
      <c r="C489" s="7">
        <v>35600</v>
      </c>
      <c r="D489" s="8">
        <v>25863</v>
      </c>
      <c r="E489" s="6" t="s">
        <v>2603</v>
      </c>
      <c r="F489" s="6">
        <v>35211</v>
      </c>
      <c r="G489" s="6" t="s">
        <v>2615</v>
      </c>
      <c r="H489" s="6" t="s">
        <v>2616</v>
      </c>
      <c r="I489" s="6" t="s">
        <v>2751</v>
      </c>
      <c r="J489" s="6" t="s">
        <v>3309</v>
      </c>
      <c r="K489" s="6">
        <v>55</v>
      </c>
    </row>
    <row r="490" spans="1:11" x14ac:dyDescent="0.3">
      <c r="A490" s="6" t="s">
        <v>498</v>
      </c>
      <c r="B490" s="6" t="s">
        <v>1794</v>
      </c>
      <c r="C490" s="7">
        <v>37167</v>
      </c>
      <c r="D490" s="8">
        <v>42993</v>
      </c>
      <c r="E490" s="6" t="s">
        <v>2603</v>
      </c>
      <c r="F490" s="6">
        <v>51864</v>
      </c>
      <c r="G490" s="6" t="s">
        <v>2608</v>
      </c>
      <c r="H490" s="6" t="s">
        <v>2617</v>
      </c>
      <c r="I490" s="6" t="s">
        <v>2984</v>
      </c>
      <c r="J490" s="6" t="s">
        <v>3309</v>
      </c>
      <c r="K490" s="6">
        <v>8</v>
      </c>
    </row>
    <row r="491" spans="1:11" x14ac:dyDescent="0.3">
      <c r="A491" s="6" t="s">
        <v>499</v>
      </c>
      <c r="B491" s="6" t="s">
        <v>1795</v>
      </c>
      <c r="C491" s="7">
        <v>36709</v>
      </c>
      <c r="D491" s="8">
        <v>40610</v>
      </c>
      <c r="E491" s="6" t="s">
        <v>2605</v>
      </c>
      <c r="F491" s="6">
        <v>84233</v>
      </c>
      <c r="G491" s="6" t="s">
        <v>2612</v>
      </c>
      <c r="H491" s="6" t="s">
        <v>2616</v>
      </c>
      <c r="I491" s="6" t="s">
        <v>2839</v>
      </c>
      <c r="J491" s="6" t="s">
        <v>3308</v>
      </c>
      <c r="K491" s="6">
        <v>14</v>
      </c>
    </row>
    <row r="492" spans="1:11" x14ac:dyDescent="0.3">
      <c r="A492" s="6" t="s">
        <v>500</v>
      </c>
      <c r="B492" s="6" t="s">
        <v>1796</v>
      </c>
      <c r="C492" s="7">
        <v>30126</v>
      </c>
      <c r="D492" s="8">
        <v>28530</v>
      </c>
      <c r="E492" s="6" t="s">
        <v>2601</v>
      </c>
      <c r="F492" s="6">
        <v>42782</v>
      </c>
      <c r="G492" s="6" t="s">
        <v>2608</v>
      </c>
      <c r="H492" s="6" t="s">
        <v>2617</v>
      </c>
      <c r="I492" s="6" t="s">
        <v>2985</v>
      </c>
      <c r="J492" s="6" t="s">
        <v>3304</v>
      </c>
      <c r="K492" s="6">
        <v>47</v>
      </c>
    </row>
    <row r="493" spans="1:11" x14ac:dyDescent="0.3">
      <c r="A493" s="6" t="s">
        <v>501</v>
      </c>
      <c r="B493" s="6" t="s">
        <v>1797</v>
      </c>
      <c r="C493" s="7">
        <v>29159</v>
      </c>
      <c r="D493" s="8">
        <v>31648</v>
      </c>
      <c r="E493" s="6" t="s">
        <v>2600</v>
      </c>
      <c r="F493" s="6">
        <v>181603</v>
      </c>
      <c r="G493" s="6" t="s">
        <v>2607</v>
      </c>
      <c r="H493" s="6" t="s">
        <v>2616</v>
      </c>
      <c r="I493" s="6" t="s">
        <v>2986</v>
      </c>
      <c r="J493" s="6" t="s">
        <v>3307</v>
      </c>
      <c r="K493" s="6">
        <v>39</v>
      </c>
    </row>
    <row r="494" spans="1:11" x14ac:dyDescent="0.3">
      <c r="A494" s="6" t="s">
        <v>502</v>
      </c>
      <c r="B494" s="6" t="s">
        <v>1798</v>
      </c>
      <c r="C494" s="7">
        <v>31150</v>
      </c>
      <c r="D494" s="8">
        <v>43399</v>
      </c>
      <c r="E494" s="6" t="s">
        <v>2603</v>
      </c>
      <c r="F494" s="6">
        <v>166842</v>
      </c>
      <c r="G494" s="6" t="s">
        <v>2610</v>
      </c>
      <c r="H494" s="6" t="s">
        <v>2617</v>
      </c>
      <c r="I494" s="6" t="s">
        <v>2987</v>
      </c>
      <c r="J494" s="6" t="s">
        <v>3305</v>
      </c>
      <c r="K494" s="6">
        <v>7</v>
      </c>
    </row>
    <row r="495" spans="1:11" x14ac:dyDescent="0.3">
      <c r="A495" s="6" t="s">
        <v>503</v>
      </c>
      <c r="B495" s="6" t="s">
        <v>1799</v>
      </c>
      <c r="C495" s="7">
        <v>31819</v>
      </c>
      <c r="D495" s="8">
        <v>30533</v>
      </c>
      <c r="E495" s="6" t="s">
        <v>2603</v>
      </c>
      <c r="F495" s="6">
        <v>152020</v>
      </c>
      <c r="G495" s="6" t="s">
        <v>2609</v>
      </c>
      <c r="H495" s="6" t="s">
        <v>2616</v>
      </c>
      <c r="I495" s="6" t="s">
        <v>2988</v>
      </c>
      <c r="J495" s="6" t="s">
        <v>3305</v>
      </c>
      <c r="K495" s="6">
        <v>42</v>
      </c>
    </row>
    <row r="496" spans="1:11" x14ac:dyDescent="0.3">
      <c r="A496" s="6" t="s">
        <v>504</v>
      </c>
      <c r="B496" s="6" t="s">
        <v>1800</v>
      </c>
      <c r="C496" s="7">
        <v>27596</v>
      </c>
      <c r="D496" s="8">
        <v>33125</v>
      </c>
      <c r="E496" s="6" t="s">
        <v>2600</v>
      </c>
      <c r="F496" s="6">
        <v>197367</v>
      </c>
      <c r="G496" s="6" t="s">
        <v>2614</v>
      </c>
      <c r="H496" s="6" t="s">
        <v>2617</v>
      </c>
      <c r="I496" s="6" t="s">
        <v>2792</v>
      </c>
      <c r="J496" s="6" t="s">
        <v>3310</v>
      </c>
      <c r="K496" s="6">
        <v>35</v>
      </c>
    </row>
    <row r="497" spans="1:11" x14ac:dyDescent="0.3">
      <c r="A497" s="6" t="s">
        <v>505</v>
      </c>
      <c r="B497" s="6" t="s">
        <v>1801</v>
      </c>
      <c r="C497" s="7">
        <v>23091</v>
      </c>
      <c r="D497" s="8">
        <v>43820</v>
      </c>
      <c r="E497" s="6" t="s">
        <v>2604</v>
      </c>
      <c r="F497" s="6">
        <v>133738</v>
      </c>
      <c r="G497" s="6" t="s">
        <v>2614</v>
      </c>
      <c r="H497" s="6" t="s">
        <v>2617</v>
      </c>
      <c r="I497" s="6" t="s">
        <v>2877</v>
      </c>
      <c r="J497" s="6" t="s">
        <v>3305</v>
      </c>
      <c r="K497" s="6">
        <v>6</v>
      </c>
    </row>
    <row r="498" spans="1:11" x14ac:dyDescent="0.3">
      <c r="A498" s="6" t="s">
        <v>506</v>
      </c>
      <c r="B498" s="6" t="s">
        <v>1802</v>
      </c>
      <c r="C498" s="7">
        <v>27325</v>
      </c>
      <c r="D498" s="8">
        <v>35308</v>
      </c>
      <c r="E498" s="6" t="s">
        <v>2602</v>
      </c>
      <c r="F498" s="6">
        <v>94201</v>
      </c>
      <c r="G498" s="6" t="s">
        <v>2612</v>
      </c>
      <c r="H498" s="6" t="s">
        <v>2616</v>
      </c>
      <c r="I498" s="6" t="s">
        <v>2929</v>
      </c>
      <c r="J498" s="6" t="s">
        <v>3309</v>
      </c>
      <c r="K498" s="6">
        <v>29</v>
      </c>
    </row>
    <row r="499" spans="1:11" x14ac:dyDescent="0.3">
      <c r="A499" s="6" t="s">
        <v>507</v>
      </c>
      <c r="B499" s="6" t="s">
        <v>1803</v>
      </c>
      <c r="C499" s="7">
        <v>34558</v>
      </c>
      <c r="D499" s="8">
        <v>36384</v>
      </c>
      <c r="E499" s="6" t="s">
        <v>2605</v>
      </c>
      <c r="F499" s="6">
        <v>160707</v>
      </c>
      <c r="G499" s="6" t="s">
        <v>2611</v>
      </c>
      <c r="H499" s="6" t="s">
        <v>2617</v>
      </c>
      <c r="I499" s="6" t="s">
        <v>2806</v>
      </c>
      <c r="J499" s="6" t="s">
        <v>3304</v>
      </c>
      <c r="K499" s="6">
        <v>26</v>
      </c>
    </row>
    <row r="500" spans="1:11" x14ac:dyDescent="0.3">
      <c r="A500" s="6" t="s">
        <v>508</v>
      </c>
      <c r="B500" s="6" t="s">
        <v>1804</v>
      </c>
      <c r="C500" s="7">
        <v>25248</v>
      </c>
      <c r="D500" s="8">
        <v>28139</v>
      </c>
      <c r="E500" s="6" t="s">
        <v>2605</v>
      </c>
      <c r="F500" s="6">
        <v>120269</v>
      </c>
      <c r="G500" s="6" t="s">
        <v>2608</v>
      </c>
      <c r="H500" s="6" t="s">
        <v>2616</v>
      </c>
      <c r="I500" s="6" t="s">
        <v>2989</v>
      </c>
      <c r="J500" s="6" t="s">
        <v>3305</v>
      </c>
      <c r="K500" s="6">
        <v>48</v>
      </c>
    </row>
    <row r="501" spans="1:11" x14ac:dyDescent="0.3">
      <c r="A501" s="6" t="s">
        <v>509</v>
      </c>
      <c r="B501" s="6" t="s">
        <v>1605</v>
      </c>
      <c r="C501" s="7">
        <v>24576</v>
      </c>
      <c r="D501" s="8">
        <v>25651</v>
      </c>
      <c r="E501" s="6" t="s">
        <v>2599</v>
      </c>
      <c r="F501" s="6">
        <v>59196</v>
      </c>
      <c r="G501" s="6" t="s">
        <v>2606</v>
      </c>
      <c r="H501" s="6" t="s">
        <v>2616</v>
      </c>
      <c r="I501" s="6" t="s">
        <v>2644</v>
      </c>
      <c r="J501" s="6" t="s">
        <v>3308</v>
      </c>
      <c r="K501" s="6">
        <v>55</v>
      </c>
    </row>
    <row r="502" spans="1:11" x14ac:dyDescent="0.3">
      <c r="A502" s="6" t="s">
        <v>510</v>
      </c>
      <c r="B502" s="6" t="s">
        <v>1805</v>
      </c>
      <c r="C502" s="7">
        <v>22254</v>
      </c>
      <c r="D502" s="8">
        <v>43041</v>
      </c>
      <c r="E502" s="6" t="s">
        <v>2599</v>
      </c>
      <c r="F502" s="6">
        <v>70636</v>
      </c>
      <c r="G502" s="6" t="s">
        <v>2606</v>
      </c>
      <c r="H502" s="6" t="s">
        <v>2616</v>
      </c>
      <c r="I502" s="6" t="s">
        <v>2990</v>
      </c>
      <c r="J502" s="6" t="s">
        <v>3309</v>
      </c>
      <c r="K502" s="6">
        <v>8</v>
      </c>
    </row>
    <row r="503" spans="1:11" x14ac:dyDescent="0.3">
      <c r="A503" s="6" t="s">
        <v>511</v>
      </c>
      <c r="B503" s="6" t="s">
        <v>1806</v>
      </c>
      <c r="C503" s="7">
        <v>23042</v>
      </c>
      <c r="D503" s="8">
        <v>30126</v>
      </c>
      <c r="E503" s="6" t="s">
        <v>2601</v>
      </c>
      <c r="F503" s="6">
        <v>58988</v>
      </c>
      <c r="G503" s="6" t="s">
        <v>2608</v>
      </c>
      <c r="H503" s="6" t="s">
        <v>2617</v>
      </c>
      <c r="I503" s="6" t="s">
        <v>2919</v>
      </c>
      <c r="J503" s="6" t="s">
        <v>3310</v>
      </c>
      <c r="K503" s="6">
        <v>43</v>
      </c>
    </row>
    <row r="504" spans="1:11" x14ac:dyDescent="0.3">
      <c r="A504" s="6" t="s">
        <v>512</v>
      </c>
      <c r="B504" s="6" t="s">
        <v>1807</v>
      </c>
      <c r="C504" s="7">
        <v>31118</v>
      </c>
      <c r="D504" s="8">
        <v>37035</v>
      </c>
      <c r="E504" s="6" t="s">
        <v>2605</v>
      </c>
      <c r="F504" s="6">
        <v>80825</v>
      </c>
      <c r="G504" s="6" t="s">
        <v>2608</v>
      </c>
      <c r="H504" s="6" t="s">
        <v>2617</v>
      </c>
      <c r="I504" s="6" t="s">
        <v>2738</v>
      </c>
      <c r="J504" s="6" t="s">
        <v>3308</v>
      </c>
      <c r="K504" s="6">
        <v>24</v>
      </c>
    </row>
    <row r="505" spans="1:11" x14ac:dyDescent="0.3">
      <c r="A505" s="6" t="s">
        <v>513</v>
      </c>
      <c r="B505" s="6" t="s">
        <v>1808</v>
      </c>
      <c r="C505" s="7">
        <v>24642</v>
      </c>
      <c r="D505" s="8">
        <v>26229</v>
      </c>
      <c r="E505" s="6" t="s">
        <v>2602</v>
      </c>
      <c r="F505" s="6">
        <v>21424</v>
      </c>
      <c r="G505" s="6" t="s">
        <v>2606</v>
      </c>
      <c r="H505" s="6" t="s">
        <v>2617</v>
      </c>
      <c r="I505" s="6" t="s">
        <v>2991</v>
      </c>
      <c r="J505" s="6" t="s">
        <v>3309</v>
      </c>
      <c r="K505" s="6">
        <v>54</v>
      </c>
    </row>
    <row r="506" spans="1:11" x14ac:dyDescent="0.3">
      <c r="A506" s="6" t="s">
        <v>514</v>
      </c>
      <c r="B506" s="6" t="s">
        <v>1809</v>
      </c>
      <c r="C506" s="7">
        <v>31106</v>
      </c>
      <c r="D506" s="8">
        <v>44768</v>
      </c>
      <c r="E506" s="6" t="s">
        <v>2602</v>
      </c>
      <c r="F506" s="6">
        <v>138814</v>
      </c>
      <c r="G506" s="6" t="s">
        <v>2615</v>
      </c>
      <c r="H506" s="6" t="s">
        <v>2617</v>
      </c>
      <c r="I506" s="6" t="s">
        <v>2659</v>
      </c>
      <c r="J506" s="6" t="s">
        <v>3307</v>
      </c>
      <c r="K506" s="6">
        <v>3</v>
      </c>
    </row>
    <row r="507" spans="1:11" x14ac:dyDescent="0.3">
      <c r="A507" s="6" t="s">
        <v>515</v>
      </c>
      <c r="B507" s="6" t="s">
        <v>1810</v>
      </c>
      <c r="C507" s="7">
        <v>25660</v>
      </c>
      <c r="D507" s="8">
        <v>32720</v>
      </c>
      <c r="E507" s="6" t="s">
        <v>2605</v>
      </c>
      <c r="F507" s="6">
        <v>68401</v>
      </c>
      <c r="G507" s="6" t="s">
        <v>2606</v>
      </c>
      <c r="H507" s="6" t="s">
        <v>2616</v>
      </c>
      <c r="I507" s="6" t="s">
        <v>2992</v>
      </c>
      <c r="J507" s="6" t="s">
        <v>3307</v>
      </c>
      <c r="K507" s="6">
        <v>36</v>
      </c>
    </row>
    <row r="508" spans="1:11" x14ac:dyDescent="0.3">
      <c r="A508" s="6" t="s">
        <v>516</v>
      </c>
      <c r="B508" s="6" t="s">
        <v>1811</v>
      </c>
      <c r="C508" s="7">
        <v>22785</v>
      </c>
      <c r="D508" s="8">
        <v>29478</v>
      </c>
      <c r="E508" s="6" t="s">
        <v>2602</v>
      </c>
      <c r="F508" s="6">
        <v>121473</v>
      </c>
      <c r="G508" s="6" t="s">
        <v>2606</v>
      </c>
      <c r="H508" s="6" t="s">
        <v>2617</v>
      </c>
      <c r="I508" s="6" t="s">
        <v>2993</v>
      </c>
      <c r="J508" s="6" t="s">
        <v>3306</v>
      </c>
      <c r="K508" s="6">
        <v>45</v>
      </c>
    </row>
    <row r="509" spans="1:11" x14ac:dyDescent="0.3">
      <c r="A509" s="6" t="s">
        <v>517</v>
      </c>
      <c r="B509" s="6" t="s">
        <v>1812</v>
      </c>
      <c r="C509" s="7">
        <v>35990</v>
      </c>
      <c r="D509" s="8">
        <v>31341</v>
      </c>
      <c r="E509" s="6" t="s">
        <v>2600</v>
      </c>
      <c r="F509" s="6">
        <v>97478</v>
      </c>
      <c r="G509" s="6" t="s">
        <v>2606</v>
      </c>
      <c r="H509" s="6" t="s">
        <v>2617</v>
      </c>
      <c r="I509" s="6" t="s">
        <v>2624</v>
      </c>
      <c r="J509" s="6" t="s">
        <v>3305</v>
      </c>
      <c r="K509" s="6">
        <v>40</v>
      </c>
    </row>
    <row r="510" spans="1:11" x14ac:dyDescent="0.3">
      <c r="A510" s="6" t="s">
        <v>518</v>
      </c>
      <c r="B510" s="6" t="s">
        <v>1813</v>
      </c>
      <c r="C510" s="7">
        <v>26525</v>
      </c>
      <c r="D510" s="8">
        <v>40282</v>
      </c>
      <c r="E510" s="6" t="s">
        <v>2602</v>
      </c>
      <c r="F510" s="6">
        <v>99418</v>
      </c>
      <c r="G510" s="6" t="s">
        <v>2612</v>
      </c>
      <c r="H510" s="6" t="s">
        <v>2617</v>
      </c>
      <c r="I510" s="6" t="s">
        <v>2778</v>
      </c>
      <c r="J510" s="6" t="s">
        <v>3304</v>
      </c>
      <c r="K510" s="6">
        <v>15</v>
      </c>
    </row>
    <row r="511" spans="1:11" x14ac:dyDescent="0.3">
      <c r="A511" s="6" t="s">
        <v>519</v>
      </c>
      <c r="B511" s="6" t="s">
        <v>1814</v>
      </c>
      <c r="C511" s="7">
        <v>26066</v>
      </c>
      <c r="D511" s="8">
        <v>41919</v>
      </c>
      <c r="E511" s="6" t="s">
        <v>2600</v>
      </c>
      <c r="F511" s="6">
        <v>133038</v>
      </c>
      <c r="G511" s="6" t="s">
        <v>2613</v>
      </c>
      <c r="H511" s="6" t="s">
        <v>2616</v>
      </c>
      <c r="I511" s="6" t="s">
        <v>2701</v>
      </c>
      <c r="J511" s="6" t="s">
        <v>3310</v>
      </c>
      <c r="K511" s="6">
        <v>11</v>
      </c>
    </row>
    <row r="512" spans="1:11" x14ac:dyDescent="0.3">
      <c r="A512" s="6" t="s">
        <v>520</v>
      </c>
      <c r="B512" s="6" t="s">
        <v>1815</v>
      </c>
      <c r="C512" s="7">
        <v>26219</v>
      </c>
      <c r="D512" s="8">
        <v>36519</v>
      </c>
      <c r="E512" s="6" t="s">
        <v>2600</v>
      </c>
      <c r="F512" s="6">
        <v>121025</v>
      </c>
      <c r="G512" s="6" t="s">
        <v>2612</v>
      </c>
      <c r="H512" s="6" t="s">
        <v>2617</v>
      </c>
      <c r="I512" s="6" t="s">
        <v>2823</v>
      </c>
      <c r="J512" s="6" t="s">
        <v>3307</v>
      </c>
      <c r="K512" s="6">
        <v>26</v>
      </c>
    </row>
    <row r="513" spans="1:11" x14ac:dyDescent="0.3">
      <c r="A513" s="6" t="s">
        <v>521</v>
      </c>
      <c r="B513" s="6" t="s">
        <v>1816</v>
      </c>
      <c r="C513" s="7">
        <v>26126</v>
      </c>
      <c r="D513" s="8">
        <v>27492</v>
      </c>
      <c r="E513" s="6" t="s">
        <v>2602</v>
      </c>
      <c r="F513" s="6">
        <v>142413</v>
      </c>
      <c r="G513" s="6" t="s">
        <v>2612</v>
      </c>
      <c r="H513" s="6" t="s">
        <v>2617</v>
      </c>
      <c r="I513" s="6" t="s">
        <v>2625</v>
      </c>
      <c r="J513" s="6" t="s">
        <v>3309</v>
      </c>
      <c r="K513" s="6">
        <v>50</v>
      </c>
    </row>
    <row r="514" spans="1:11" x14ac:dyDescent="0.3">
      <c r="A514" s="6" t="s">
        <v>522</v>
      </c>
      <c r="B514" s="6" t="s">
        <v>1817</v>
      </c>
      <c r="C514" s="7">
        <v>24705</v>
      </c>
      <c r="D514" s="8">
        <v>35798</v>
      </c>
      <c r="E514" s="6" t="s">
        <v>2600</v>
      </c>
      <c r="F514" s="6">
        <v>69025</v>
      </c>
      <c r="G514" s="6" t="s">
        <v>2608</v>
      </c>
      <c r="H514" s="6" t="s">
        <v>2617</v>
      </c>
      <c r="I514" s="6" t="s">
        <v>2994</v>
      </c>
      <c r="J514" s="6" t="s">
        <v>3306</v>
      </c>
      <c r="K514" s="6">
        <v>27</v>
      </c>
    </row>
    <row r="515" spans="1:11" x14ac:dyDescent="0.3">
      <c r="A515" s="6" t="s">
        <v>523</v>
      </c>
      <c r="B515" s="6" t="s">
        <v>1818</v>
      </c>
      <c r="C515" s="7">
        <v>24571</v>
      </c>
      <c r="D515" s="8">
        <v>26236</v>
      </c>
      <c r="E515" s="6" t="s">
        <v>2603</v>
      </c>
      <c r="F515" s="6">
        <v>126559</v>
      </c>
      <c r="G515" s="6" t="s">
        <v>2607</v>
      </c>
      <c r="H515" s="6" t="s">
        <v>2617</v>
      </c>
      <c r="I515" s="6" t="s">
        <v>2982</v>
      </c>
      <c r="J515" s="6" t="s">
        <v>3310</v>
      </c>
      <c r="K515" s="6">
        <v>54</v>
      </c>
    </row>
    <row r="516" spans="1:11" x14ac:dyDescent="0.3">
      <c r="A516" s="6" t="s">
        <v>524</v>
      </c>
      <c r="B516" s="6" t="s">
        <v>1819</v>
      </c>
      <c r="C516" s="7">
        <v>26196</v>
      </c>
      <c r="D516" s="8">
        <v>28191</v>
      </c>
      <c r="E516" s="6" t="s">
        <v>2602</v>
      </c>
      <c r="F516" s="6">
        <v>161322</v>
      </c>
      <c r="G516" s="6" t="s">
        <v>2613</v>
      </c>
      <c r="H516" s="6" t="s">
        <v>2616</v>
      </c>
      <c r="I516" s="6" t="s">
        <v>2759</v>
      </c>
      <c r="J516" s="6" t="s">
        <v>3305</v>
      </c>
      <c r="K516" s="6">
        <v>48</v>
      </c>
    </row>
    <row r="517" spans="1:11" x14ac:dyDescent="0.3">
      <c r="A517" s="6" t="s">
        <v>525</v>
      </c>
      <c r="B517" s="6" t="s">
        <v>1820</v>
      </c>
      <c r="C517" s="7">
        <v>33884</v>
      </c>
      <c r="D517" s="8">
        <v>41713</v>
      </c>
      <c r="E517" s="6" t="s">
        <v>2605</v>
      </c>
      <c r="F517" s="6">
        <v>90061</v>
      </c>
      <c r="G517" s="6" t="s">
        <v>2613</v>
      </c>
      <c r="H517" s="6" t="s">
        <v>2617</v>
      </c>
      <c r="I517" s="6" t="s">
        <v>2995</v>
      </c>
      <c r="J517" s="6" t="s">
        <v>3308</v>
      </c>
      <c r="K517" s="6">
        <v>11</v>
      </c>
    </row>
    <row r="518" spans="1:11" x14ac:dyDescent="0.3">
      <c r="A518" s="6" t="s">
        <v>526</v>
      </c>
      <c r="B518" s="6" t="s">
        <v>1821</v>
      </c>
      <c r="C518" s="7">
        <v>28291</v>
      </c>
      <c r="D518" s="8">
        <v>42982</v>
      </c>
      <c r="E518" s="6" t="s">
        <v>2601</v>
      </c>
      <c r="F518" s="6">
        <v>195441</v>
      </c>
      <c r="G518" s="6" t="s">
        <v>2613</v>
      </c>
      <c r="H518" s="6" t="s">
        <v>2617</v>
      </c>
      <c r="I518" s="6" t="s">
        <v>2996</v>
      </c>
      <c r="J518" s="6" t="s">
        <v>3306</v>
      </c>
      <c r="K518" s="6">
        <v>8</v>
      </c>
    </row>
    <row r="519" spans="1:11" x14ac:dyDescent="0.3">
      <c r="A519" s="6" t="s">
        <v>527</v>
      </c>
      <c r="B519" s="6" t="s">
        <v>1822</v>
      </c>
      <c r="C519" s="7">
        <v>21886</v>
      </c>
      <c r="D519" s="8">
        <v>38066</v>
      </c>
      <c r="E519" s="6" t="s">
        <v>2600</v>
      </c>
      <c r="F519" s="6">
        <v>172913</v>
      </c>
      <c r="G519" s="6" t="s">
        <v>2610</v>
      </c>
      <c r="H519" s="6" t="s">
        <v>2617</v>
      </c>
      <c r="I519" s="6" t="s">
        <v>2997</v>
      </c>
      <c r="J519" s="6" t="s">
        <v>3309</v>
      </c>
      <c r="K519" s="6">
        <v>21</v>
      </c>
    </row>
    <row r="520" spans="1:11" x14ac:dyDescent="0.3">
      <c r="A520" s="6" t="s">
        <v>528</v>
      </c>
      <c r="B520" s="6" t="s">
        <v>1823</v>
      </c>
      <c r="C520" s="7">
        <v>30108</v>
      </c>
      <c r="D520" s="8">
        <v>31026</v>
      </c>
      <c r="E520" s="6" t="s">
        <v>2605</v>
      </c>
      <c r="F520" s="6">
        <v>123103</v>
      </c>
      <c r="G520" s="6" t="s">
        <v>2608</v>
      </c>
      <c r="H520" s="6" t="s">
        <v>2617</v>
      </c>
      <c r="I520" s="6" t="s">
        <v>2756</v>
      </c>
      <c r="J520" s="6" t="s">
        <v>3304</v>
      </c>
      <c r="K520" s="6">
        <v>41</v>
      </c>
    </row>
    <row r="521" spans="1:11" x14ac:dyDescent="0.3">
      <c r="A521" s="6" t="s">
        <v>529</v>
      </c>
      <c r="B521" s="6" t="s">
        <v>1824</v>
      </c>
      <c r="C521" s="7">
        <v>37050</v>
      </c>
      <c r="D521" s="8">
        <v>33861</v>
      </c>
      <c r="E521" s="6" t="s">
        <v>2601</v>
      </c>
      <c r="F521" s="6">
        <v>47910</v>
      </c>
      <c r="G521" s="6" t="s">
        <v>2611</v>
      </c>
      <c r="H521" s="6" t="s">
        <v>2617</v>
      </c>
      <c r="I521" s="6" t="s">
        <v>2775</v>
      </c>
      <c r="J521" s="6" t="s">
        <v>3310</v>
      </c>
      <c r="K521" s="6">
        <v>33</v>
      </c>
    </row>
    <row r="522" spans="1:11" x14ac:dyDescent="0.3">
      <c r="A522" s="6" t="s">
        <v>530</v>
      </c>
      <c r="B522" s="6" t="s">
        <v>1825</v>
      </c>
      <c r="C522" s="7">
        <v>22303</v>
      </c>
      <c r="D522" s="8">
        <v>44079</v>
      </c>
      <c r="E522" s="6" t="s">
        <v>2600</v>
      </c>
      <c r="F522" s="6">
        <v>31410</v>
      </c>
      <c r="G522" s="6" t="s">
        <v>2607</v>
      </c>
      <c r="H522" s="6" t="s">
        <v>2617</v>
      </c>
      <c r="I522" s="6" t="s">
        <v>2998</v>
      </c>
      <c r="J522" s="6" t="s">
        <v>3308</v>
      </c>
      <c r="K522" s="6">
        <v>5</v>
      </c>
    </row>
    <row r="523" spans="1:11" x14ac:dyDescent="0.3">
      <c r="A523" s="6" t="s">
        <v>531</v>
      </c>
      <c r="B523" s="6" t="s">
        <v>1826</v>
      </c>
      <c r="C523" s="7">
        <v>32142</v>
      </c>
      <c r="D523" s="8">
        <v>26972</v>
      </c>
      <c r="E523" s="6" t="s">
        <v>2604</v>
      </c>
      <c r="F523" s="6">
        <v>51444</v>
      </c>
      <c r="G523" s="6" t="s">
        <v>2613</v>
      </c>
      <c r="H523" s="6" t="s">
        <v>2616</v>
      </c>
      <c r="I523" s="6" t="s">
        <v>2999</v>
      </c>
      <c r="J523" s="6" t="s">
        <v>3310</v>
      </c>
      <c r="K523" s="6">
        <v>52</v>
      </c>
    </row>
    <row r="524" spans="1:11" x14ac:dyDescent="0.3">
      <c r="A524" s="6" t="s">
        <v>532</v>
      </c>
      <c r="B524" s="6" t="s">
        <v>1827</v>
      </c>
      <c r="C524" s="7">
        <v>23567</v>
      </c>
      <c r="D524" s="8">
        <v>30513</v>
      </c>
      <c r="E524" s="6" t="s">
        <v>2605</v>
      </c>
      <c r="F524" s="6">
        <v>69762</v>
      </c>
      <c r="G524" s="6" t="s">
        <v>2610</v>
      </c>
      <c r="H524" s="6" t="s">
        <v>2616</v>
      </c>
      <c r="I524" s="6" t="s">
        <v>3000</v>
      </c>
      <c r="J524" s="6" t="s">
        <v>3305</v>
      </c>
      <c r="K524" s="6">
        <v>42</v>
      </c>
    </row>
    <row r="525" spans="1:11" x14ac:dyDescent="0.3">
      <c r="A525" s="6" t="s">
        <v>533</v>
      </c>
      <c r="B525" s="6" t="s">
        <v>1828</v>
      </c>
      <c r="C525" s="7">
        <v>36849</v>
      </c>
      <c r="D525" s="8">
        <v>38092</v>
      </c>
      <c r="E525" s="6" t="s">
        <v>2601</v>
      </c>
      <c r="F525" s="6">
        <v>39165</v>
      </c>
      <c r="G525" s="6" t="s">
        <v>2607</v>
      </c>
      <c r="H525" s="6" t="s">
        <v>2616</v>
      </c>
      <c r="I525" s="6" t="s">
        <v>2880</v>
      </c>
      <c r="J525" s="6" t="s">
        <v>3310</v>
      </c>
      <c r="K525" s="6">
        <v>21</v>
      </c>
    </row>
    <row r="526" spans="1:11" x14ac:dyDescent="0.3">
      <c r="A526" s="6" t="s">
        <v>534</v>
      </c>
      <c r="B526" s="6" t="s">
        <v>1829</v>
      </c>
      <c r="C526" s="7">
        <v>29337</v>
      </c>
      <c r="D526" s="8">
        <v>28892</v>
      </c>
      <c r="E526" s="6" t="s">
        <v>2603</v>
      </c>
      <c r="F526" s="6">
        <v>64519</v>
      </c>
      <c r="G526" s="6" t="s">
        <v>2609</v>
      </c>
      <c r="H526" s="6" t="s">
        <v>2617</v>
      </c>
      <c r="I526" s="6" t="s">
        <v>3001</v>
      </c>
      <c r="J526" s="6" t="s">
        <v>3310</v>
      </c>
      <c r="K526" s="6">
        <v>46</v>
      </c>
    </row>
    <row r="527" spans="1:11" x14ac:dyDescent="0.3">
      <c r="A527" s="6" t="s">
        <v>535</v>
      </c>
      <c r="B527" s="6" t="s">
        <v>1830</v>
      </c>
      <c r="C527" s="7">
        <v>31220</v>
      </c>
      <c r="D527" s="8">
        <v>31573</v>
      </c>
      <c r="E527" s="6" t="s">
        <v>2605</v>
      </c>
      <c r="F527" s="6">
        <v>92035</v>
      </c>
      <c r="G527" s="6" t="s">
        <v>2607</v>
      </c>
      <c r="H527" s="6" t="s">
        <v>2617</v>
      </c>
      <c r="I527" s="6" t="s">
        <v>2920</v>
      </c>
      <c r="J527" s="6" t="s">
        <v>3306</v>
      </c>
      <c r="K527" s="6">
        <v>39</v>
      </c>
    </row>
    <row r="528" spans="1:11" x14ac:dyDescent="0.3">
      <c r="A528" s="6" t="s">
        <v>536</v>
      </c>
      <c r="B528" s="6" t="s">
        <v>1831</v>
      </c>
      <c r="C528" s="7">
        <v>22775</v>
      </c>
      <c r="D528" s="8">
        <v>38099</v>
      </c>
      <c r="E528" s="6" t="s">
        <v>2602</v>
      </c>
      <c r="F528" s="6">
        <v>136854</v>
      </c>
      <c r="G528" s="6" t="s">
        <v>2615</v>
      </c>
      <c r="H528" s="6" t="s">
        <v>2616</v>
      </c>
      <c r="I528" s="6" t="s">
        <v>2651</v>
      </c>
      <c r="J528" s="6" t="s">
        <v>3305</v>
      </c>
      <c r="K528" s="6">
        <v>21</v>
      </c>
    </row>
    <row r="529" spans="1:11" x14ac:dyDescent="0.3">
      <c r="A529" s="6" t="s">
        <v>537</v>
      </c>
      <c r="B529" s="6" t="s">
        <v>1832</v>
      </c>
      <c r="C529" s="7">
        <v>34431</v>
      </c>
      <c r="D529" s="8">
        <v>37887</v>
      </c>
      <c r="E529" s="6" t="s">
        <v>2603</v>
      </c>
      <c r="F529" s="6">
        <v>86153</v>
      </c>
      <c r="G529" s="6" t="s">
        <v>2611</v>
      </c>
      <c r="H529" s="6" t="s">
        <v>2616</v>
      </c>
      <c r="I529" s="6" t="s">
        <v>3002</v>
      </c>
      <c r="J529" s="6" t="s">
        <v>3305</v>
      </c>
      <c r="K529" s="6">
        <v>22</v>
      </c>
    </row>
    <row r="530" spans="1:11" x14ac:dyDescent="0.3">
      <c r="A530" s="6" t="s">
        <v>538</v>
      </c>
      <c r="B530" s="6" t="s">
        <v>1833</v>
      </c>
      <c r="C530" s="7">
        <v>23639</v>
      </c>
      <c r="D530" s="8">
        <v>40379</v>
      </c>
      <c r="E530" s="6" t="s">
        <v>2600</v>
      </c>
      <c r="F530" s="6">
        <v>23289</v>
      </c>
      <c r="G530" s="6" t="s">
        <v>2615</v>
      </c>
      <c r="H530" s="6" t="s">
        <v>2617</v>
      </c>
      <c r="I530" s="6" t="s">
        <v>2640</v>
      </c>
      <c r="J530" s="6" t="s">
        <v>3306</v>
      </c>
      <c r="K530" s="6">
        <v>15</v>
      </c>
    </row>
    <row r="531" spans="1:11" x14ac:dyDescent="0.3">
      <c r="A531" s="6" t="s">
        <v>539</v>
      </c>
      <c r="B531" s="6" t="s">
        <v>1834</v>
      </c>
      <c r="C531" s="7">
        <v>32177</v>
      </c>
      <c r="D531" s="8">
        <v>37297</v>
      </c>
      <c r="E531" s="6" t="s">
        <v>2600</v>
      </c>
      <c r="F531" s="6">
        <v>157099</v>
      </c>
      <c r="G531" s="6" t="s">
        <v>2614</v>
      </c>
      <c r="H531" s="6" t="s">
        <v>2616</v>
      </c>
      <c r="I531" s="6" t="s">
        <v>3003</v>
      </c>
      <c r="J531" s="6" t="s">
        <v>3309</v>
      </c>
      <c r="K531" s="6">
        <v>23</v>
      </c>
    </row>
    <row r="532" spans="1:11" x14ac:dyDescent="0.3">
      <c r="A532" s="6" t="s">
        <v>540</v>
      </c>
      <c r="B532" s="6" t="s">
        <v>1835</v>
      </c>
      <c r="C532" s="7">
        <v>29006</v>
      </c>
      <c r="D532" s="8">
        <v>31539</v>
      </c>
      <c r="E532" s="6" t="s">
        <v>2599</v>
      </c>
      <c r="F532" s="6">
        <v>35448</v>
      </c>
      <c r="G532" s="6" t="s">
        <v>2614</v>
      </c>
      <c r="H532" s="6" t="s">
        <v>2616</v>
      </c>
      <c r="I532" s="6" t="s">
        <v>3004</v>
      </c>
      <c r="J532" s="6" t="s">
        <v>3305</v>
      </c>
      <c r="K532" s="6">
        <v>39</v>
      </c>
    </row>
    <row r="533" spans="1:11" x14ac:dyDescent="0.3">
      <c r="A533" s="6" t="s">
        <v>541</v>
      </c>
      <c r="B533" s="6" t="s">
        <v>1836</v>
      </c>
      <c r="C533" s="7">
        <v>37028</v>
      </c>
      <c r="D533" s="8">
        <v>29071</v>
      </c>
      <c r="E533" s="6" t="s">
        <v>2604</v>
      </c>
      <c r="F533" s="6">
        <v>88976</v>
      </c>
      <c r="G533" s="6" t="s">
        <v>2610</v>
      </c>
      <c r="H533" s="6" t="s">
        <v>2616</v>
      </c>
      <c r="I533" s="6" t="s">
        <v>2796</v>
      </c>
      <c r="J533" s="6" t="s">
        <v>3308</v>
      </c>
      <c r="K533" s="6">
        <v>46</v>
      </c>
    </row>
    <row r="534" spans="1:11" x14ac:dyDescent="0.3">
      <c r="A534" s="6" t="s">
        <v>542</v>
      </c>
      <c r="B534" s="6" t="s">
        <v>1837</v>
      </c>
      <c r="C534" s="7">
        <v>33806</v>
      </c>
      <c r="D534" s="8">
        <v>35351</v>
      </c>
      <c r="E534" s="6" t="s">
        <v>2600</v>
      </c>
      <c r="F534" s="6">
        <v>185197</v>
      </c>
      <c r="G534" s="6" t="s">
        <v>2612</v>
      </c>
      <c r="H534" s="6" t="s">
        <v>2616</v>
      </c>
      <c r="I534" s="6" t="s">
        <v>2807</v>
      </c>
      <c r="J534" s="6" t="s">
        <v>3306</v>
      </c>
      <c r="K534" s="6">
        <v>29</v>
      </c>
    </row>
    <row r="535" spans="1:11" x14ac:dyDescent="0.3">
      <c r="A535" s="6" t="s">
        <v>543</v>
      </c>
      <c r="B535" s="6" t="s">
        <v>1838</v>
      </c>
      <c r="C535" s="7">
        <v>32783</v>
      </c>
      <c r="D535" s="8">
        <v>34284</v>
      </c>
      <c r="E535" s="6" t="s">
        <v>2605</v>
      </c>
      <c r="F535" s="6">
        <v>138582</v>
      </c>
      <c r="G535" s="6" t="s">
        <v>2610</v>
      </c>
      <c r="H535" s="6" t="s">
        <v>2616</v>
      </c>
      <c r="I535" s="6" t="s">
        <v>3005</v>
      </c>
      <c r="J535" s="6" t="s">
        <v>3309</v>
      </c>
      <c r="K535" s="6">
        <v>32</v>
      </c>
    </row>
    <row r="536" spans="1:11" x14ac:dyDescent="0.3">
      <c r="A536" s="6" t="s">
        <v>544</v>
      </c>
      <c r="B536" s="6" t="s">
        <v>1839</v>
      </c>
      <c r="C536" s="7">
        <v>27352</v>
      </c>
      <c r="D536" s="8">
        <v>30987</v>
      </c>
      <c r="E536" s="6" t="s">
        <v>2605</v>
      </c>
      <c r="F536" s="6">
        <v>119881</v>
      </c>
      <c r="G536" s="6" t="s">
        <v>2611</v>
      </c>
      <c r="H536" s="6" t="s">
        <v>2616</v>
      </c>
      <c r="I536" s="6" t="s">
        <v>3006</v>
      </c>
      <c r="J536" s="6" t="s">
        <v>3305</v>
      </c>
      <c r="K536" s="6">
        <v>41</v>
      </c>
    </row>
    <row r="537" spans="1:11" x14ac:dyDescent="0.3">
      <c r="A537" s="6" t="s">
        <v>545</v>
      </c>
      <c r="B537" s="6" t="s">
        <v>1840</v>
      </c>
      <c r="C537" s="7">
        <v>37456</v>
      </c>
      <c r="D537" s="8">
        <v>29388</v>
      </c>
      <c r="E537" s="6" t="s">
        <v>2599</v>
      </c>
      <c r="F537" s="6">
        <v>186123</v>
      </c>
      <c r="G537" s="6" t="s">
        <v>2613</v>
      </c>
      <c r="H537" s="6" t="s">
        <v>2617</v>
      </c>
      <c r="I537" s="6" t="s">
        <v>3007</v>
      </c>
      <c r="J537" s="6" t="s">
        <v>3306</v>
      </c>
      <c r="K537" s="6">
        <v>45</v>
      </c>
    </row>
    <row r="538" spans="1:11" x14ac:dyDescent="0.3">
      <c r="A538" s="6" t="s">
        <v>546</v>
      </c>
      <c r="B538" s="6" t="s">
        <v>1841</v>
      </c>
      <c r="C538" s="7">
        <v>24586</v>
      </c>
      <c r="D538" s="8">
        <v>27015</v>
      </c>
      <c r="E538" s="6" t="s">
        <v>2600</v>
      </c>
      <c r="F538" s="6">
        <v>40612</v>
      </c>
      <c r="G538" s="6" t="s">
        <v>2614</v>
      </c>
      <c r="H538" s="6" t="s">
        <v>2616</v>
      </c>
      <c r="I538" s="6" t="s">
        <v>2871</v>
      </c>
      <c r="J538" s="6" t="s">
        <v>3309</v>
      </c>
      <c r="K538" s="6">
        <v>52</v>
      </c>
    </row>
    <row r="539" spans="1:11" x14ac:dyDescent="0.3">
      <c r="A539" s="6" t="s">
        <v>547</v>
      </c>
      <c r="B539" s="6" t="s">
        <v>1842</v>
      </c>
      <c r="C539" s="7">
        <v>35188</v>
      </c>
      <c r="D539" s="8">
        <v>35454</v>
      </c>
      <c r="E539" s="6" t="s">
        <v>2605</v>
      </c>
      <c r="F539" s="6">
        <v>114912</v>
      </c>
      <c r="G539" s="6" t="s">
        <v>2615</v>
      </c>
      <c r="H539" s="6" t="s">
        <v>2617</v>
      </c>
      <c r="I539" s="6" t="s">
        <v>3008</v>
      </c>
      <c r="J539" s="6" t="s">
        <v>3304</v>
      </c>
      <c r="K539" s="6">
        <v>28</v>
      </c>
    </row>
    <row r="540" spans="1:11" x14ac:dyDescent="0.3">
      <c r="A540" s="6" t="s">
        <v>548</v>
      </c>
      <c r="B540" s="6" t="s">
        <v>1843</v>
      </c>
      <c r="C540" s="7">
        <v>29380</v>
      </c>
      <c r="D540" s="8">
        <v>31900</v>
      </c>
      <c r="E540" s="6" t="s">
        <v>2604</v>
      </c>
      <c r="F540" s="6">
        <v>130096</v>
      </c>
      <c r="G540" s="6" t="s">
        <v>2613</v>
      </c>
      <c r="H540" s="6" t="s">
        <v>2617</v>
      </c>
      <c r="I540" s="6" t="s">
        <v>2706</v>
      </c>
      <c r="J540" s="6" t="s">
        <v>3309</v>
      </c>
      <c r="K540" s="6">
        <v>38</v>
      </c>
    </row>
    <row r="541" spans="1:11" x14ac:dyDescent="0.3">
      <c r="A541" s="6" t="s">
        <v>549</v>
      </c>
      <c r="B541" s="6" t="s">
        <v>1844</v>
      </c>
      <c r="C541" s="7">
        <v>34604</v>
      </c>
      <c r="D541" s="8">
        <v>42430</v>
      </c>
      <c r="E541" s="6" t="s">
        <v>2603</v>
      </c>
      <c r="F541" s="6">
        <v>52555</v>
      </c>
      <c r="G541" s="6" t="s">
        <v>2610</v>
      </c>
      <c r="H541" s="6" t="s">
        <v>2616</v>
      </c>
      <c r="I541" s="6" t="s">
        <v>2807</v>
      </c>
      <c r="J541" s="6" t="s">
        <v>3309</v>
      </c>
      <c r="K541" s="6">
        <v>9</v>
      </c>
    </row>
    <row r="542" spans="1:11" x14ac:dyDescent="0.3">
      <c r="A542" s="6" t="s">
        <v>550</v>
      </c>
      <c r="B542" s="6" t="s">
        <v>1845</v>
      </c>
      <c r="C542" s="7">
        <v>25389</v>
      </c>
      <c r="D542" s="8">
        <v>37218</v>
      </c>
      <c r="E542" s="6" t="s">
        <v>2600</v>
      </c>
      <c r="F542" s="6">
        <v>50616</v>
      </c>
      <c r="G542" s="6" t="s">
        <v>2612</v>
      </c>
      <c r="H542" s="6" t="s">
        <v>2616</v>
      </c>
      <c r="I542" s="6" t="s">
        <v>3009</v>
      </c>
      <c r="J542" s="6" t="s">
        <v>3305</v>
      </c>
      <c r="K542" s="6">
        <v>24</v>
      </c>
    </row>
    <row r="543" spans="1:11" x14ac:dyDescent="0.3">
      <c r="A543" s="6" t="s">
        <v>551</v>
      </c>
      <c r="B543" s="6" t="s">
        <v>1846</v>
      </c>
      <c r="C543" s="7">
        <v>26993</v>
      </c>
      <c r="D543" s="8">
        <v>31208</v>
      </c>
      <c r="E543" s="6" t="s">
        <v>2601</v>
      </c>
      <c r="F543" s="6">
        <v>132346</v>
      </c>
      <c r="G543" s="6" t="s">
        <v>2615</v>
      </c>
      <c r="H543" s="6" t="s">
        <v>2616</v>
      </c>
      <c r="I543" s="6" t="s">
        <v>2726</v>
      </c>
      <c r="J543" s="6" t="s">
        <v>3308</v>
      </c>
      <c r="K543" s="6">
        <v>40</v>
      </c>
    </row>
    <row r="544" spans="1:11" x14ac:dyDescent="0.3">
      <c r="A544" s="6" t="s">
        <v>552</v>
      </c>
      <c r="B544" s="6" t="s">
        <v>1847</v>
      </c>
      <c r="C544" s="7">
        <v>22662</v>
      </c>
      <c r="D544" s="8">
        <v>38961</v>
      </c>
      <c r="E544" s="6" t="s">
        <v>2599</v>
      </c>
      <c r="F544" s="6">
        <v>115952</v>
      </c>
      <c r="G544" s="6" t="s">
        <v>2612</v>
      </c>
      <c r="H544" s="6" t="s">
        <v>2616</v>
      </c>
      <c r="I544" s="6" t="s">
        <v>3010</v>
      </c>
      <c r="J544" s="6" t="s">
        <v>3307</v>
      </c>
      <c r="K544" s="6">
        <v>19</v>
      </c>
    </row>
    <row r="545" spans="1:11" x14ac:dyDescent="0.3">
      <c r="A545" s="6" t="s">
        <v>553</v>
      </c>
      <c r="B545" s="6" t="s">
        <v>1848</v>
      </c>
      <c r="C545" s="7">
        <v>30779</v>
      </c>
      <c r="D545" s="8">
        <v>27079</v>
      </c>
      <c r="E545" s="6" t="s">
        <v>2600</v>
      </c>
      <c r="F545" s="6">
        <v>123721</v>
      </c>
      <c r="G545" s="6" t="s">
        <v>2613</v>
      </c>
      <c r="H545" s="6" t="s">
        <v>2617</v>
      </c>
      <c r="I545" s="6" t="s">
        <v>2964</v>
      </c>
      <c r="J545" s="6" t="s">
        <v>3305</v>
      </c>
      <c r="K545" s="6">
        <v>51</v>
      </c>
    </row>
    <row r="546" spans="1:11" x14ac:dyDescent="0.3">
      <c r="A546" s="6" t="s">
        <v>554</v>
      </c>
      <c r="B546" s="6" t="s">
        <v>1849</v>
      </c>
      <c r="C546" s="7">
        <v>36847</v>
      </c>
      <c r="D546" s="8">
        <v>44164</v>
      </c>
      <c r="E546" s="6" t="s">
        <v>2599</v>
      </c>
      <c r="F546" s="6">
        <v>68822</v>
      </c>
      <c r="G546" s="6" t="s">
        <v>2615</v>
      </c>
      <c r="H546" s="6" t="s">
        <v>2617</v>
      </c>
      <c r="I546" s="6" t="s">
        <v>2823</v>
      </c>
      <c r="J546" s="6" t="s">
        <v>3307</v>
      </c>
      <c r="K546" s="6">
        <v>5</v>
      </c>
    </row>
    <row r="547" spans="1:11" x14ac:dyDescent="0.3">
      <c r="A547" s="6" t="s">
        <v>555</v>
      </c>
      <c r="B547" s="6" t="s">
        <v>1850</v>
      </c>
      <c r="C547" s="7">
        <v>31244</v>
      </c>
      <c r="D547" s="8">
        <v>30322</v>
      </c>
      <c r="E547" s="6" t="s">
        <v>2604</v>
      </c>
      <c r="F547" s="6">
        <v>51620</v>
      </c>
      <c r="G547" s="6" t="s">
        <v>2606</v>
      </c>
      <c r="H547" s="6" t="s">
        <v>2616</v>
      </c>
      <c r="I547" s="6" t="s">
        <v>3011</v>
      </c>
      <c r="J547" s="6" t="s">
        <v>3308</v>
      </c>
      <c r="K547" s="6">
        <v>42</v>
      </c>
    </row>
    <row r="548" spans="1:11" x14ac:dyDescent="0.3">
      <c r="A548" s="6" t="s">
        <v>556</v>
      </c>
      <c r="B548" s="6" t="s">
        <v>1851</v>
      </c>
      <c r="C548" s="7">
        <v>37292</v>
      </c>
      <c r="D548" s="8">
        <v>29216</v>
      </c>
      <c r="E548" s="6" t="s">
        <v>2601</v>
      </c>
      <c r="F548" s="6">
        <v>186778</v>
      </c>
      <c r="G548" s="6" t="s">
        <v>2610</v>
      </c>
      <c r="H548" s="6" t="s">
        <v>2616</v>
      </c>
      <c r="I548" s="6" t="s">
        <v>3012</v>
      </c>
      <c r="J548" s="6" t="s">
        <v>3309</v>
      </c>
      <c r="K548" s="6">
        <v>46</v>
      </c>
    </row>
    <row r="549" spans="1:11" x14ac:dyDescent="0.3">
      <c r="A549" s="6" t="s">
        <v>557</v>
      </c>
      <c r="B549" s="6" t="s">
        <v>1852</v>
      </c>
      <c r="C549" s="7">
        <v>26425</v>
      </c>
      <c r="D549" s="8">
        <v>28981</v>
      </c>
      <c r="E549" s="6" t="s">
        <v>2603</v>
      </c>
      <c r="F549" s="6">
        <v>84354</v>
      </c>
      <c r="G549" s="6" t="s">
        <v>2612</v>
      </c>
      <c r="H549" s="6" t="s">
        <v>2616</v>
      </c>
      <c r="I549" s="6" t="s">
        <v>3013</v>
      </c>
      <c r="J549" s="6" t="s">
        <v>3305</v>
      </c>
      <c r="K549" s="6">
        <v>46</v>
      </c>
    </row>
    <row r="550" spans="1:11" x14ac:dyDescent="0.3">
      <c r="A550" s="6" t="s">
        <v>558</v>
      </c>
      <c r="B550" s="6" t="s">
        <v>1853</v>
      </c>
      <c r="C550" s="7">
        <v>37015</v>
      </c>
      <c r="D550" s="8">
        <v>28146</v>
      </c>
      <c r="E550" s="6" t="s">
        <v>2600</v>
      </c>
      <c r="F550" s="6">
        <v>163133</v>
      </c>
      <c r="G550" s="6" t="s">
        <v>2615</v>
      </c>
      <c r="H550" s="6" t="s">
        <v>2616</v>
      </c>
      <c r="I550" s="6" t="s">
        <v>2866</v>
      </c>
      <c r="J550" s="6" t="s">
        <v>3308</v>
      </c>
      <c r="K550" s="6">
        <v>48</v>
      </c>
    </row>
    <row r="551" spans="1:11" x14ac:dyDescent="0.3">
      <c r="A551" s="6" t="s">
        <v>559</v>
      </c>
      <c r="B551" s="6" t="s">
        <v>1854</v>
      </c>
      <c r="C551" s="7">
        <v>23194</v>
      </c>
      <c r="D551" s="8">
        <v>33360</v>
      </c>
      <c r="E551" s="6" t="s">
        <v>2603</v>
      </c>
      <c r="F551" s="6">
        <v>132422</v>
      </c>
      <c r="G551" s="6" t="s">
        <v>2612</v>
      </c>
      <c r="H551" s="6" t="s">
        <v>2617</v>
      </c>
      <c r="I551" s="6" t="s">
        <v>3014</v>
      </c>
      <c r="J551" s="6" t="s">
        <v>3304</v>
      </c>
      <c r="K551" s="6">
        <v>34</v>
      </c>
    </row>
    <row r="552" spans="1:11" x14ac:dyDescent="0.3">
      <c r="A552" s="6" t="s">
        <v>560</v>
      </c>
      <c r="B552" s="6" t="s">
        <v>1855</v>
      </c>
      <c r="C552" s="7">
        <v>36455</v>
      </c>
      <c r="D552" s="8">
        <v>39896</v>
      </c>
      <c r="E552" s="6" t="s">
        <v>2605</v>
      </c>
      <c r="F552" s="6">
        <v>52043</v>
      </c>
      <c r="G552" s="6" t="s">
        <v>2606</v>
      </c>
      <c r="H552" s="6" t="s">
        <v>2616</v>
      </c>
      <c r="I552" s="6" t="s">
        <v>3015</v>
      </c>
      <c r="J552" s="6" t="s">
        <v>3306</v>
      </c>
      <c r="K552" s="6">
        <v>16</v>
      </c>
    </row>
    <row r="553" spans="1:11" x14ac:dyDescent="0.3">
      <c r="A553" s="6" t="s">
        <v>561</v>
      </c>
      <c r="B553" s="6" t="s">
        <v>1856</v>
      </c>
      <c r="C553" s="7">
        <v>21850</v>
      </c>
      <c r="D553" s="8">
        <v>35631</v>
      </c>
      <c r="E553" s="6" t="s">
        <v>2602</v>
      </c>
      <c r="F553" s="6">
        <v>195873</v>
      </c>
      <c r="G553" s="6" t="s">
        <v>2614</v>
      </c>
      <c r="H553" s="6" t="s">
        <v>2616</v>
      </c>
      <c r="I553" s="6" t="s">
        <v>3016</v>
      </c>
      <c r="J553" s="6" t="s">
        <v>3304</v>
      </c>
      <c r="K553" s="6">
        <v>28</v>
      </c>
    </row>
    <row r="554" spans="1:11" x14ac:dyDescent="0.3">
      <c r="A554" s="6" t="s">
        <v>562</v>
      </c>
      <c r="B554" s="6" t="s">
        <v>1857</v>
      </c>
      <c r="C554" s="7">
        <v>27453</v>
      </c>
      <c r="D554" s="8">
        <v>34345</v>
      </c>
      <c r="E554" s="6" t="s">
        <v>2601</v>
      </c>
      <c r="F554" s="6">
        <v>37510</v>
      </c>
      <c r="G554" s="6" t="s">
        <v>2606</v>
      </c>
      <c r="H554" s="6" t="s">
        <v>2616</v>
      </c>
      <c r="I554" s="6" t="s">
        <v>2622</v>
      </c>
      <c r="J554" s="6" t="s">
        <v>3308</v>
      </c>
      <c r="K554" s="6">
        <v>31</v>
      </c>
    </row>
    <row r="555" spans="1:11" x14ac:dyDescent="0.3">
      <c r="A555" s="6" t="s">
        <v>563</v>
      </c>
      <c r="B555" s="6" t="s">
        <v>1858</v>
      </c>
      <c r="C555" s="7">
        <v>28852</v>
      </c>
      <c r="D555" s="8">
        <v>30365</v>
      </c>
      <c r="E555" s="6" t="s">
        <v>2605</v>
      </c>
      <c r="F555" s="6">
        <v>97482</v>
      </c>
      <c r="G555" s="6" t="s">
        <v>2606</v>
      </c>
      <c r="H555" s="6" t="s">
        <v>2616</v>
      </c>
      <c r="I555" s="6" t="s">
        <v>2867</v>
      </c>
      <c r="J555" s="6" t="s">
        <v>3310</v>
      </c>
      <c r="K555" s="6">
        <v>42</v>
      </c>
    </row>
    <row r="556" spans="1:11" x14ac:dyDescent="0.3">
      <c r="A556" s="6" t="s">
        <v>564</v>
      </c>
      <c r="B556" s="6" t="s">
        <v>1859</v>
      </c>
      <c r="C556" s="7">
        <v>36639</v>
      </c>
      <c r="D556" s="8">
        <v>26156</v>
      </c>
      <c r="E556" s="6" t="s">
        <v>2605</v>
      </c>
      <c r="F556" s="6">
        <v>54002</v>
      </c>
      <c r="G556" s="6" t="s">
        <v>2607</v>
      </c>
      <c r="H556" s="6" t="s">
        <v>2617</v>
      </c>
      <c r="I556" s="6" t="s">
        <v>3017</v>
      </c>
      <c r="J556" s="6" t="s">
        <v>3305</v>
      </c>
      <c r="K556" s="6">
        <v>54</v>
      </c>
    </row>
    <row r="557" spans="1:11" x14ac:dyDescent="0.3">
      <c r="A557" s="6" t="s">
        <v>565</v>
      </c>
      <c r="B557" s="6" t="s">
        <v>1860</v>
      </c>
      <c r="C557" s="7">
        <v>28646</v>
      </c>
      <c r="D557" s="8">
        <v>38577</v>
      </c>
      <c r="E557" s="6" t="s">
        <v>2601</v>
      </c>
      <c r="F557" s="6">
        <v>191945</v>
      </c>
      <c r="G557" s="6" t="s">
        <v>2607</v>
      </c>
      <c r="H557" s="6" t="s">
        <v>2617</v>
      </c>
      <c r="I557" s="6" t="s">
        <v>2867</v>
      </c>
      <c r="J557" s="6" t="s">
        <v>3310</v>
      </c>
      <c r="K557" s="6">
        <v>20</v>
      </c>
    </row>
    <row r="558" spans="1:11" x14ac:dyDescent="0.3">
      <c r="A558" s="6" t="s">
        <v>566</v>
      </c>
      <c r="B558" s="6" t="s">
        <v>1861</v>
      </c>
      <c r="C558" s="7">
        <v>33727</v>
      </c>
      <c r="D558" s="8">
        <v>32328</v>
      </c>
      <c r="E558" s="6" t="s">
        <v>2601</v>
      </c>
      <c r="F558" s="6">
        <v>101915</v>
      </c>
      <c r="G558" s="6" t="s">
        <v>2612</v>
      </c>
      <c r="H558" s="6" t="s">
        <v>2616</v>
      </c>
      <c r="I558" s="6" t="s">
        <v>3018</v>
      </c>
      <c r="J558" s="6" t="s">
        <v>3309</v>
      </c>
      <c r="K558" s="6">
        <v>37</v>
      </c>
    </row>
    <row r="559" spans="1:11" x14ac:dyDescent="0.3">
      <c r="A559" s="6" t="s">
        <v>567</v>
      </c>
      <c r="B559" s="6" t="s">
        <v>1862</v>
      </c>
      <c r="C559" s="7">
        <v>26254</v>
      </c>
      <c r="D559" s="8">
        <v>31109</v>
      </c>
      <c r="E559" s="6" t="s">
        <v>2604</v>
      </c>
      <c r="F559" s="6">
        <v>62389</v>
      </c>
      <c r="G559" s="6" t="s">
        <v>2613</v>
      </c>
      <c r="H559" s="6" t="s">
        <v>2617</v>
      </c>
      <c r="I559" s="6" t="s">
        <v>3019</v>
      </c>
      <c r="J559" s="6" t="s">
        <v>3305</v>
      </c>
      <c r="K559" s="6">
        <v>40</v>
      </c>
    </row>
    <row r="560" spans="1:11" x14ac:dyDescent="0.3">
      <c r="A560" s="6" t="s">
        <v>568</v>
      </c>
      <c r="B560" s="6" t="s">
        <v>1863</v>
      </c>
      <c r="C560" s="7">
        <v>24006</v>
      </c>
      <c r="D560" s="8">
        <v>26852</v>
      </c>
      <c r="E560" s="6" t="s">
        <v>2599</v>
      </c>
      <c r="F560" s="6">
        <v>197650</v>
      </c>
      <c r="G560" s="6" t="s">
        <v>2610</v>
      </c>
      <c r="H560" s="6" t="s">
        <v>2616</v>
      </c>
      <c r="I560" s="6" t="s">
        <v>3020</v>
      </c>
      <c r="J560" s="6" t="s">
        <v>3308</v>
      </c>
      <c r="K560" s="6">
        <v>52</v>
      </c>
    </row>
    <row r="561" spans="1:11" x14ac:dyDescent="0.3">
      <c r="A561" s="6" t="s">
        <v>569</v>
      </c>
      <c r="B561" s="6" t="s">
        <v>1864</v>
      </c>
      <c r="C561" s="7">
        <v>36151</v>
      </c>
      <c r="D561" s="8">
        <v>28724</v>
      </c>
      <c r="E561" s="6" t="s">
        <v>2601</v>
      </c>
      <c r="F561" s="6">
        <v>125615</v>
      </c>
      <c r="G561" s="6" t="s">
        <v>2615</v>
      </c>
      <c r="H561" s="6" t="s">
        <v>2616</v>
      </c>
      <c r="I561" s="6" t="s">
        <v>2895</v>
      </c>
      <c r="J561" s="6" t="s">
        <v>3306</v>
      </c>
      <c r="K561" s="6">
        <v>47</v>
      </c>
    </row>
    <row r="562" spans="1:11" x14ac:dyDescent="0.3">
      <c r="A562" s="6" t="s">
        <v>570</v>
      </c>
      <c r="B562" s="6" t="s">
        <v>1865</v>
      </c>
      <c r="C562" s="7">
        <v>31956</v>
      </c>
      <c r="D562" s="8">
        <v>42892</v>
      </c>
      <c r="E562" s="6" t="s">
        <v>2600</v>
      </c>
      <c r="F562" s="6">
        <v>197181</v>
      </c>
      <c r="G562" s="6" t="s">
        <v>2612</v>
      </c>
      <c r="H562" s="6" t="s">
        <v>2616</v>
      </c>
      <c r="I562" s="6" t="s">
        <v>3021</v>
      </c>
      <c r="J562" s="6" t="s">
        <v>3308</v>
      </c>
      <c r="K562" s="6">
        <v>8</v>
      </c>
    </row>
    <row r="563" spans="1:11" x14ac:dyDescent="0.3">
      <c r="A563" s="6" t="s">
        <v>571</v>
      </c>
      <c r="B563" s="6" t="s">
        <v>1866</v>
      </c>
      <c r="C563" s="7">
        <v>27536</v>
      </c>
      <c r="D563" s="8">
        <v>43522</v>
      </c>
      <c r="E563" s="6" t="s">
        <v>2604</v>
      </c>
      <c r="F563" s="6">
        <v>142897</v>
      </c>
      <c r="G563" s="6" t="s">
        <v>2608</v>
      </c>
      <c r="H563" s="6" t="s">
        <v>2616</v>
      </c>
      <c r="I563" s="6" t="s">
        <v>2981</v>
      </c>
      <c r="J563" s="6" t="s">
        <v>3309</v>
      </c>
      <c r="K563" s="6">
        <v>6</v>
      </c>
    </row>
    <row r="564" spans="1:11" x14ac:dyDescent="0.3">
      <c r="A564" s="6" t="s">
        <v>572</v>
      </c>
      <c r="B564" s="6" t="s">
        <v>1867</v>
      </c>
      <c r="C564" s="7">
        <v>22265</v>
      </c>
      <c r="D564" s="8">
        <v>38271</v>
      </c>
      <c r="E564" s="6" t="s">
        <v>2604</v>
      </c>
      <c r="F564" s="6">
        <v>33623</v>
      </c>
      <c r="G564" s="6" t="s">
        <v>2615</v>
      </c>
      <c r="H564" s="6" t="s">
        <v>2617</v>
      </c>
      <c r="I564" s="6" t="s">
        <v>3022</v>
      </c>
      <c r="J564" s="6" t="s">
        <v>3310</v>
      </c>
      <c r="K564" s="6">
        <v>21</v>
      </c>
    </row>
    <row r="565" spans="1:11" x14ac:dyDescent="0.3">
      <c r="A565" s="6" t="s">
        <v>573</v>
      </c>
      <c r="B565" s="6" t="s">
        <v>1868</v>
      </c>
      <c r="C565" s="7">
        <v>30236</v>
      </c>
      <c r="D565" s="8">
        <v>33999</v>
      </c>
      <c r="E565" s="6" t="s">
        <v>2604</v>
      </c>
      <c r="F565" s="6">
        <v>78618</v>
      </c>
      <c r="G565" s="6" t="s">
        <v>2609</v>
      </c>
      <c r="H565" s="6" t="s">
        <v>2616</v>
      </c>
      <c r="I565" s="6" t="s">
        <v>2848</v>
      </c>
      <c r="J565" s="6" t="s">
        <v>3309</v>
      </c>
      <c r="K565" s="6">
        <v>32</v>
      </c>
    </row>
    <row r="566" spans="1:11" x14ac:dyDescent="0.3">
      <c r="A566" s="6" t="s">
        <v>574</v>
      </c>
      <c r="B566" s="6" t="s">
        <v>1869</v>
      </c>
      <c r="C566" s="7">
        <v>34781</v>
      </c>
      <c r="D566" s="8">
        <v>42737</v>
      </c>
      <c r="E566" s="6" t="s">
        <v>2601</v>
      </c>
      <c r="F566" s="6">
        <v>95761</v>
      </c>
      <c r="G566" s="6" t="s">
        <v>2611</v>
      </c>
      <c r="H566" s="6" t="s">
        <v>2617</v>
      </c>
      <c r="I566" s="6" t="s">
        <v>3023</v>
      </c>
      <c r="J566" s="6" t="s">
        <v>3309</v>
      </c>
      <c r="K566" s="6">
        <v>8</v>
      </c>
    </row>
    <row r="567" spans="1:11" x14ac:dyDescent="0.3">
      <c r="A567" s="6" t="s">
        <v>575</v>
      </c>
      <c r="B567" s="6" t="s">
        <v>1870</v>
      </c>
      <c r="C567" s="7">
        <v>30435</v>
      </c>
      <c r="D567" s="8">
        <v>27156</v>
      </c>
      <c r="E567" s="6" t="s">
        <v>2605</v>
      </c>
      <c r="F567" s="6">
        <v>25484</v>
      </c>
      <c r="G567" s="6" t="s">
        <v>2606</v>
      </c>
      <c r="H567" s="6" t="s">
        <v>2616</v>
      </c>
      <c r="I567" s="6" t="s">
        <v>3024</v>
      </c>
      <c r="J567" s="6" t="s">
        <v>3306</v>
      </c>
      <c r="K567" s="6">
        <v>51</v>
      </c>
    </row>
    <row r="568" spans="1:11" x14ac:dyDescent="0.3">
      <c r="A568" s="6" t="s">
        <v>576</v>
      </c>
      <c r="B568" s="6" t="s">
        <v>1871</v>
      </c>
      <c r="C568" s="7">
        <v>30014</v>
      </c>
      <c r="D568" s="8">
        <v>37671</v>
      </c>
      <c r="E568" s="6" t="s">
        <v>2605</v>
      </c>
      <c r="F568" s="6">
        <v>62666</v>
      </c>
      <c r="G568" s="6" t="s">
        <v>2608</v>
      </c>
      <c r="H568" s="6" t="s">
        <v>2617</v>
      </c>
      <c r="I568" s="6" t="s">
        <v>3025</v>
      </c>
      <c r="J568" s="6" t="s">
        <v>3308</v>
      </c>
      <c r="K568" s="6">
        <v>22</v>
      </c>
    </row>
    <row r="569" spans="1:11" x14ac:dyDescent="0.3">
      <c r="A569" s="6" t="s">
        <v>577</v>
      </c>
      <c r="B569" s="6" t="s">
        <v>1872</v>
      </c>
      <c r="C569" s="7">
        <v>30036</v>
      </c>
      <c r="D569" s="8">
        <v>38975</v>
      </c>
      <c r="E569" s="6" t="s">
        <v>2600</v>
      </c>
      <c r="F569" s="6">
        <v>130000</v>
      </c>
      <c r="G569" s="6" t="s">
        <v>2610</v>
      </c>
      <c r="H569" s="6" t="s">
        <v>2616</v>
      </c>
      <c r="I569" s="6" t="s">
        <v>2812</v>
      </c>
      <c r="J569" s="6" t="s">
        <v>3306</v>
      </c>
      <c r="K569" s="6">
        <v>19</v>
      </c>
    </row>
    <row r="570" spans="1:11" x14ac:dyDescent="0.3">
      <c r="A570" s="6" t="s">
        <v>578</v>
      </c>
      <c r="B570" s="6" t="s">
        <v>1873</v>
      </c>
      <c r="C570" s="7">
        <v>30909</v>
      </c>
      <c r="D570" s="8">
        <v>31947</v>
      </c>
      <c r="E570" s="6" t="s">
        <v>2599</v>
      </c>
      <c r="F570" s="6">
        <v>97396</v>
      </c>
      <c r="G570" s="6" t="s">
        <v>2608</v>
      </c>
      <c r="H570" s="6" t="s">
        <v>2617</v>
      </c>
      <c r="I570" s="6" t="s">
        <v>3026</v>
      </c>
      <c r="J570" s="6" t="s">
        <v>3310</v>
      </c>
      <c r="K570" s="6">
        <v>38</v>
      </c>
    </row>
    <row r="571" spans="1:11" x14ac:dyDescent="0.3">
      <c r="A571" s="6" t="s">
        <v>579</v>
      </c>
      <c r="B571" s="6" t="s">
        <v>1874</v>
      </c>
      <c r="C571" s="7">
        <v>23277</v>
      </c>
      <c r="D571" s="8">
        <v>30682</v>
      </c>
      <c r="E571" s="6" t="s">
        <v>2602</v>
      </c>
      <c r="F571" s="6">
        <v>130625</v>
      </c>
      <c r="G571" s="6" t="s">
        <v>2611</v>
      </c>
      <c r="H571" s="6" t="s">
        <v>2617</v>
      </c>
      <c r="I571" s="6" t="s">
        <v>3027</v>
      </c>
      <c r="J571" s="6" t="s">
        <v>3306</v>
      </c>
      <c r="K571" s="6">
        <v>41</v>
      </c>
    </row>
    <row r="572" spans="1:11" x14ac:dyDescent="0.3">
      <c r="A572" s="6" t="s">
        <v>580</v>
      </c>
      <c r="B572" s="6" t="s">
        <v>1875</v>
      </c>
      <c r="C572" s="7">
        <v>24353</v>
      </c>
      <c r="D572" s="8">
        <v>36172</v>
      </c>
      <c r="E572" s="6" t="s">
        <v>2600</v>
      </c>
      <c r="F572" s="6">
        <v>82670</v>
      </c>
      <c r="G572" s="6" t="s">
        <v>2609</v>
      </c>
      <c r="H572" s="6" t="s">
        <v>2617</v>
      </c>
      <c r="I572" s="6" t="s">
        <v>3028</v>
      </c>
      <c r="J572" s="6" t="s">
        <v>3304</v>
      </c>
      <c r="K572" s="6">
        <v>26</v>
      </c>
    </row>
    <row r="573" spans="1:11" x14ac:dyDescent="0.3">
      <c r="A573" s="6" t="s">
        <v>581</v>
      </c>
      <c r="B573" s="6" t="s">
        <v>1876</v>
      </c>
      <c r="C573" s="7">
        <v>24750</v>
      </c>
      <c r="D573" s="8">
        <v>43879</v>
      </c>
      <c r="E573" s="6" t="s">
        <v>2604</v>
      </c>
      <c r="F573" s="6">
        <v>148055</v>
      </c>
      <c r="G573" s="6" t="s">
        <v>2612</v>
      </c>
      <c r="H573" s="6" t="s">
        <v>2616</v>
      </c>
      <c r="I573" s="6" t="s">
        <v>2648</v>
      </c>
      <c r="J573" s="6" t="s">
        <v>3306</v>
      </c>
      <c r="K573" s="6">
        <v>5</v>
      </c>
    </row>
    <row r="574" spans="1:11" x14ac:dyDescent="0.3">
      <c r="A574" s="6" t="s">
        <v>582</v>
      </c>
      <c r="B574" s="6" t="s">
        <v>1877</v>
      </c>
      <c r="C574" s="7">
        <v>29153</v>
      </c>
      <c r="D574" s="8">
        <v>41793</v>
      </c>
      <c r="E574" s="6" t="s">
        <v>2604</v>
      </c>
      <c r="F574" s="6">
        <v>98930</v>
      </c>
      <c r="G574" s="6" t="s">
        <v>2608</v>
      </c>
      <c r="H574" s="6" t="s">
        <v>2617</v>
      </c>
      <c r="I574" s="6" t="s">
        <v>3029</v>
      </c>
      <c r="J574" s="6" t="s">
        <v>3308</v>
      </c>
      <c r="K574" s="6">
        <v>11</v>
      </c>
    </row>
    <row r="575" spans="1:11" x14ac:dyDescent="0.3">
      <c r="A575" s="6" t="s">
        <v>583</v>
      </c>
      <c r="B575" s="6" t="s">
        <v>1878</v>
      </c>
      <c r="C575" s="7">
        <v>28814</v>
      </c>
      <c r="D575" s="8">
        <v>36940</v>
      </c>
      <c r="E575" s="6" t="s">
        <v>2601</v>
      </c>
      <c r="F575" s="6">
        <v>42711</v>
      </c>
      <c r="G575" s="6" t="s">
        <v>2609</v>
      </c>
      <c r="H575" s="6" t="s">
        <v>2617</v>
      </c>
      <c r="I575" s="6" t="s">
        <v>3030</v>
      </c>
      <c r="J575" s="6" t="s">
        <v>3305</v>
      </c>
      <c r="K575" s="6">
        <v>24</v>
      </c>
    </row>
    <row r="576" spans="1:11" x14ac:dyDescent="0.3">
      <c r="A576" s="6" t="s">
        <v>584</v>
      </c>
      <c r="B576" s="6" t="s">
        <v>1879</v>
      </c>
      <c r="C576" s="7">
        <v>32392</v>
      </c>
      <c r="D576" s="8">
        <v>32415</v>
      </c>
      <c r="E576" s="6" t="s">
        <v>2601</v>
      </c>
      <c r="F576" s="6">
        <v>105208</v>
      </c>
      <c r="G576" s="6" t="s">
        <v>2607</v>
      </c>
      <c r="H576" s="6" t="s">
        <v>2617</v>
      </c>
      <c r="I576" s="6" t="s">
        <v>3031</v>
      </c>
      <c r="J576" s="6" t="s">
        <v>3309</v>
      </c>
      <c r="K576" s="6">
        <v>37</v>
      </c>
    </row>
    <row r="577" spans="1:11" x14ac:dyDescent="0.3">
      <c r="A577" s="6" t="s">
        <v>585</v>
      </c>
      <c r="B577" s="6" t="s">
        <v>1880</v>
      </c>
      <c r="C577" s="7">
        <v>28128</v>
      </c>
      <c r="D577" s="8">
        <v>34149</v>
      </c>
      <c r="E577" s="6" t="s">
        <v>2601</v>
      </c>
      <c r="F577" s="6">
        <v>52823</v>
      </c>
      <c r="G577" s="6" t="s">
        <v>2608</v>
      </c>
      <c r="H577" s="6" t="s">
        <v>2616</v>
      </c>
      <c r="I577" s="6" t="s">
        <v>2647</v>
      </c>
      <c r="J577" s="6" t="s">
        <v>3305</v>
      </c>
      <c r="K577" s="6">
        <v>32</v>
      </c>
    </row>
    <row r="578" spans="1:11" x14ac:dyDescent="0.3">
      <c r="A578" s="6" t="s">
        <v>586</v>
      </c>
      <c r="B578" s="6" t="s">
        <v>1881</v>
      </c>
      <c r="C578" s="7">
        <v>31486</v>
      </c>
      <c r="D578" s="8">
        <v>33205</v>
      </c>
      <c r="E578" s="6" t="s">
        <v>2604</v>
      </c>
      <c r="F578" s="6">
        <v>78660</v>
      </c>
      <c r="G578" s="6" t="s">
        <v>2608</v>
      </c>
      <c r="H578" s="6" t="s">
        <v>2617</v>
      </c>
      <c r="I578" s="6" t="s">
        <v>3015</v>
      </c>
      <c r="J578" s="6" t="s">
        <v>3305</v>
      </c>
      <c r="K578" s="6">
        <v>35</v>
      </c>
    </row>
    <row r="579" spans="1:11" x14ac:dyDescent="0.3">
      <c r="A579" s="6" t="s">
        <v>587</v>
      </c>
      <c r="B579" s="6" t="s">
        <v>1882</v>
      </c>
      <c r="C579" s="7">
        <v>22930</v>
      </c>
      <c r="D579" s="8">
        <v>32150</v>
      </c>
      <c r="E579" s="6" t="s">
        <v>2603</v>
      </c>
      <c r="F579" s="6">
        <v>181777</v>
      </c>
      <c r="G579" s="6" t="s">
        <v>2614</v>
      </c>
      <c r="H579" s="6" t="s">
        <v>2616</v>
      </c>
      <c r="I579" s="6" t="s">
        <v>3032</v>
      </c>
      <c r="J579" s="6" t="s">
        <v>3304</v>
      </c>
      <c r="K579" s="6">
        <v>37</v>
      </c>
    </row>
    <row r="580" spans="1:11" x14ac:dyDescent="0.3">
      <c r="A580" s="6" t="s">
        <v>588</v>
      </c>
      <c r="B580" s="6" t="s">
        <v>1883</v>
      </c>
      <c r="C580" s="7">
        <v>26031</v>
      </c>
      <c r="D580" s="8">
        <v>31310</v>
      </c>
      <c r="E580" s="6" t="s">
        <v>2605</v>
      </c>
      <c r="F580" s="6">
        <v>180253</v>
      </c>
      <c r="G580" s="6" t="s">
        <v>2615</v>
      </c>
      <c r="H580" s="6" t="s">
        <v>2616</v>
      </c>
      <c r="I580" s="6" t="s">
        <v>3033</v>
      </c>
      <c r="J580" s="6" t="s">
        <v>3310</v>
      </c>
      <c r="K580" s="6">
        <v>40</v>
      </c>
    </row>
    <row r="581" spans="1:11" x14ac:dyDescent="0.3">
      <c r="A581" s="6" t="s">
        <v>589</v>
      </c>
      <c r="B581" s="6" t="s">
        <v>1884</v>
      </c>
      <c r="C581" s="7">
        <v>31860</v>
      </c>
      <c r="D581" s="8">
        <v>27494</v>
      </c>
      <c r="E581" s="6" t="s">
        <v>2599</v>
      </c>
      <c r="F581" s="6">
        <v>39335</v>
      </c>
      <c r="G581" s="6" t="s">
        <v>2607</v>
      </c>
      <c r="H581" s="6" t="s">
        <v>2617</v>
      </c>
      <c r="I581" s="6" t="s">
        <v>2694</v>
      </c>
      <c r="J581" s="6" t="s">
        <v>3307</v>
      </c>
      <c r="K581" s="6">
        <v>50</v>
      </c>
    </row>
    <row r="582" spans="1:11" x14ac:dyDescent="0.3">
      <c r="A582" s="6" t="s">
        <v>590</v>
      </c>
      <c r="B582" s="6" t="s">
        <v>1885</v>
      </c>
      <c r="C582" s="7">
        <v>36967</v>
      </c>
      <c r="D582" s="8">
        <v>40087</v>
      </c>
      <c r="E582" s="6" t="s">
        <v>2604</v>
      </c>
      <c r="F582" s="6">
        <v>105827</v>
      </c>
      <c r="G582" s="6" t="s">
        <v>2607</v>
      </c>
      <c r="H582" s="6" t="s">
        <v>2617</v>
      </c>
      <c r="I582" s="6" t="s">
        <v>3034</v>
      </c>
      <c r="J582" s="6" t="s">
        <v>3306</v>
      </c>
      <c r="K582" s="6">
        <v>16</v>
      </c>
    </row>
    <row r="583" spans="1:11" x14ac:dyDescent="0.3">
      <c r="A583" s="6" t="s">
        <v>591</v>
      </c>
      <c r="B583" s="6" t="s">
        <v>1886</v>
      </c>
      <c r="C583" s="7">
        <v>35382</v>
      </c>
      <c r="D583" s="8">
        <v>43294</v>
      </c>
      <c r="E583" s="6" t="s">
        <v>2604</v>
      </c>
      <c r="F583" s="6">
        <v>89446</v>
      </c>
      <c r="G583" s="6" t="s">
        <v>2606</v>
      </c>
      <c r="H583" s="6" t="s">
        <v>2617</v>
      </c>
      <c r="I583" s="6" t="s">
        <v>2683</v>
      </c>
      <c r="J583" s="6" t="s">
        <v>3306</v>
      </c>
      <c r="K583" s="6">
        <v>7</v>
      </c>
    </row>
    <row r="584" spans="1:11" x14ac:dyDescent="0.3">
      <c r="A584" s="6" t="s">
        <v>592</v>
      </c>
      <c r="B584" s="6" t="s">
        <v>1887</v>
      </c>
      <c r="C584" s="7">
        <v>29778</v>
      </c>
      <c r="D584" s="8">
        <v>30706</v>
      </c>
      <c r="E584" s="6" t="s">
        <v>2603</v>
      </c>
      <c r="F584" s="6">
        <v>114903</v>
      </c>
      <c r="G584" s="6" t="s">
        <v>2614</v>
      </c>
      <c r="H584" s="6" t="s">
        <v>2616</v>
      </c>
      <c r="I584" s="6" t="s">
        <v>3035</v>
      </c>
      <c r="J584" s="6" t="s">
        <v>3308</v>
      </c>
      <c r="K584" s="6">
        <v>41</v>
      </c>
    </row>
    <row r="585" spans="1:11" x14ac:dyDescent="0.3">
      <c r="A585" s="6" t="s">
        <v>593</v>
      </c>
      <c r="B585" s="6" t="s">
        <v>1888</v>
      </c>
      <c r="C585" s="7">
        <v>25823</v>
      </c>
      <c r="D585" s="8">
        <v>31796</v>
      </c>
      <c r="E585" s="6" t="s">
        <v>2604</v>
      </c>
      <c r="F585" s="6">
        <v>44600</v>
      </c>
      <c r="G585" s="6" t="s">
        <v>2613</v>
      </c>
      <c r="H585" s="6" t="s">
        <v>2616</v>
      </c>
      <c r="I585" s="6" t="s">
        <v>2683</v>
      </c>
      <c r="J585" s="6" t="s">
        <v>3305</v>
      </c>
      <c r="K585" s="6">
        <v>38</v>
      </c>
    </row>
    <row r="586" spans="1:11" x14ac:dyDescent="0.3">
      <c r="A586" s="6" t="s">
        <v>594</v>
      </c>
      <c r="B586" s="6" t="s">
        <v>1889</v>
      </c>
      <c r="C586" s="7">
        <v>22780</v>
      </c>
      <c r="D586" s="8">
        <v>37686</v>
      </c>
      <c r="E586" s="6" t="s">
        <v>2603</v>
      </c>
      <c r="F586" s="6">
        <v>87375</v>
      </c>
      <c r="G586" s="6" t="s">
        <v>2608</v>
      </c>
      <c r="H586" s="6" t="s">
        <v>2617</v>
      </c>
      <c r="I586" s="6" t="s">
        <v>3036</v>
      </c>
      <c r="J586" s="6" t="s">
        <v>3310</v>
      </c>
      <c r="K586" s="6">
        <v>22</v>
      </c>
    </row>
    <row r="587" spans="1:11" x14ac:dyDescent="0.3">
      <c r="A587" s="6" t="s">
        <v>595</v>
      </c>
      <c r="B587" s="6" t="s">
        <v>1890</v>
      </c>
      <c r="C587" s="7">
        <v>27741</v>
      </c>
      <c r="D587" s="8">
        <v>42967</v>
      </c>
      <c r="E587" s="6" t="s">
        <v>2600</v>
      </c>
      <c r="F587" s="6">
        <v>30800</v>
      </c>
      <c r="G587" s="6" t="s">
        <v>2613</v>
      </c>
      <c r="H587" s="6" t="s">
        <v>2617</v>
      </c>
      <c r="I587" s="6" t="s">
        <v>3037</v>
      </c>
      <c r="J587" s="6" t="s">
        <v>3306</v>
      </c>
      <c r="K587" s="6">
        <v>8</v>
      </c>
    </row>
    <row r="588" spans="1:11" x14ac:dyDescent="0.3">
      <c r="A588" s="6" t="s">
        <v>596</v>
      </c>
      <c r="B588" s="6" t="s">
        <v>1891</v>
      </c>
      <c r="C588" s="7">
        <v>24275</v>
      </c>
      <c r="D588" s="8">
        <v>34690</v>
      </c>
      <c r="E588" s="6" t="s">
        <v>2602</v>
      </c>
      <c r="F588" s="6">
        <v>56236</v>
      </c>
      <c r="G588" s="6" t="s">
        <v>2610</v>
      </c>
      <c r="H588" s="6" t="s">
        <v>2616</v>
      </c>
      <c r="I588" s="6" t="s">
        <v>3038</v>
      </c>
      <c r="J588" s="6" t="s">
        <v>3308</v>
      </c>
      <c r="K588" s="6">
        <v>31</v>
      </c>
    </row>
    <row r="589" spans="1:11" x14ac:dyDescent="0.3">
      <c r="A589" s="6" t="s">
        <v>597</v>
      </c>
      <c r="B589" s="6" t="s">
        <v>1892</v>
      </c>
      <c r="C589" s="7">
        <v>30584</v>
      </c>
      <c r="D589" s="8">
        <v>41539</v>
      </c>
      <c r="E589" s="6" t="s">
        <v>2604</v>
      </c>
      <c r="F589" s="6">
        <v>143100</v>
      </c>
      <c r="G589" s="6" t="s">
        <v>2610</v>
      </c>
      <c r="H589" s="6" t="s">
        <v>2616</v>
      </c>
      <c r="I589" s="6" t="s">
        <v>3039</v>
      </c>
      <c r="J589" s="6" t="s">
        <v>3310</v>
      </c>
      <c r="K589" s="6">
        <v>12</v>
      </c>
    </row>
    <row r="590" spans="1:11" x14ac:dyDescent="0.3">
      <c r="A590" s="6" t="s">
        <v>598</v>
      </c>
      <c r="B590" s="6" t="s">
        <v>1893</v>
      </c>
      <c r="C590" s="7">
        <v>36587</v>
      </c>
      <c r="D590" s="8">
        <v>30469</v>
      </c>
      <c r="E590" s="6" t="s">
        <v>2604</v>
      </c>
      <c r="F590" s="6">
        <v>110746</v>
      </c>
      <c r="G590" s="6" t="s">
        <v>2611</v>
      </c>
      <c r="H590" s="6" t="s">
        <v>2616</v>
      </c>
      <c r="I590" s="6" t="s">
        <v>3040</v>
      </c>
      <c r="J590" s="6" t="s">
        <v>3305</v>
      </c>
      <c r="K590" s="6">
        <v>42</v>
      </c>
    </row>
    <row r="591" spans="1:11" x14ac:dyDescent="0.3">
      <c r="A591" s="6" t="s">
        <v>599</v>
      </c>
      <c r="B591" s="6" t="s">
        <v>1894</v>
      </c>
      <c r="C591" s="7">
        <v>32569</v>
      </c>
      <c r="D591" s="8">
        <v>28446</v>
      </c>
      <c r="E591" s="6" t="s">
        <v>2604</v>
      </c>
      <c r="F591" s="6">
        <v>186509</v>
      </c>
      <c r="G591" s="6" t="s">
        <v>2608</v>
      </c>
      <c r="H591" s="6" t="s">
        <v>2616</v>
      </c>
      <c r="I591" s="6" t="s">
        <v>2820</v>
      </c>
      <c r="J591" s="6" t="s">
        <v>3305</v>
      </c>
      <c r="K591" s="6">
        <v>48</v>
      </c>
    </row>
    <row r="592" spans="1:11" x14ac:dyDescent="0.3">
      <c r="A592" s="6" t="s">
        <v>600</v>
      </c>
      <c r="B592" s="6" t="s">
        <v>1895</v>
      </c>
      <c r="C592" s="7">
        <v>32864</v>
      </c>
      <c r="D592" s="8">
        <v>42151</v>
      </c>
      <c r="E592" s="6" t="s">
        <v>2604</v>
      </c>
      <c r="F592" s="6">
        <v>160985</v>
      </c>
      <c r="G592" s="6" t="s">
        <v>2609</v>
      </c>
      <c r="H592" s="6" t="s">
        <v>2616</v>
      </c>
      <c r="I592" s="6" t="s">
        <v>3041</v>
      </c>
      <c r="J592" s="6" t="s">
        <v>3308</v>
      </c>
      <c r="K592" s="6">
        <v>10</v>
      </c>
    </row>
    <row r="593" spans="1:11" x14ac:dyDescent="0.3">
      <c r="A593" s="6" t="s">
        <v>601</v>
      </c>
      <c r="B593" s="6" t="s">
        <v>1896</v>
      </c>
      <c r="C593" s="7">
        <v>32989</v>
      </c>
      <c r="D593" s="8">
        <v>41208</v>
      </c>
      <c r="E593" s="6" t="s">
        <v>2603</v>
      </c>
      <c r="F593" s="6">
        <v>63819</v>
      </c>
      <c r="G593" s="6" t="s">
        <v>2606</v>
      </c>
      <c r="H593" s="6" t="s">
        <v>2616</v>
      </c>
      <c r="I593" s="6" t="s">
        <v>3003</v>
      </c>
      <c r="J593" s="6" t="s">
        <v>3307</v>
      </c>
      <c r="K593" s="6">
        <v>13</v>
      </c>
    </row>
    <row r="594" spans="1:11" x14ac:dyDescent="0.3">
      <c r="A594" s="6" t="s">
        <v>602</v>
      </c>
      <c r="B594" s="6" t="s">
        <v>1897</v>
      </c>
      <c r="C594" s="7">
        <v>26488</v>
      </c>
      <c r="D594" s="8">
        <v>44231</v>
      </c>
      <c r="E594" s="6" t="s">
        <v>2603</v>
      </c>
      <c r="F594" s="6">
        <v>40364</v>
      </c>
      <c r="G594" s="6" t="s">
        <v>2610</v>
      </c>
      <c r="H594" s="6" t="s">
        <v>2616</v>
      </c>
      <c r="I594" s="6" t="s">
        <v>3042</v>
      </c>
      <c r="J594" s="6" t="s">
        <v>3305</v>
      </c>
      <c r="K594" s="6">
        <v>4</v>
      </c>
    </row>
    <row r="595" spans="1:11" x14ac:dyDescent="0.3">
      <c r="A595" s="6" t="s">
        <v>603</v>
      </c>
      <c r="B595" s="6" t="s">
        <v>1898</v>
      </c>
      <c r="C595" s="7">
        <v>22064</v>
      </c>
      <c r="D595" s="8">
        <v>31139</v>
      </c>
      <c r="E595" s="6" t="s">
        <v>2604</v>
      </c>
      <c r="F595" s="6">
        <v>105685</v>
      </c>
      <c r="G595" s="6" t="s">
        <v>2607</v>
      </c>
      <c r="H595" s="6" t="s">
        <v>2617</v>
      </c>
      <c r="I595" s="6" t="s">
        <v>3043</v>
      </c>
      <c r="J595" s="6" t="s">
        <v>3305</v>
      </c>
      <c r="K595" s="6">
        <v>40</v>
      </c>
    </row>
    <row r="596" spans="1:11" x14ac:dyDescent="0.3">
      <c r="A596" s="6" t="s">
        <v>604</v>
      </c>
      <c r="B596" s="6" t="s">
        <v>1899</v>
      </c>
      <c r="C596" s="7">
        <v>26181</v>
      </c>
      <c r="D596" s="8">
        <v>38092</v>
      </c>
      <c r="E596" s="6" t="s">
        <v>2604</v>
      </c>
      <c r="F596" s="6">
        <v>154692</v>
      </c>
      <c r="G596" s="6" t="s">
        <v>2607</v>
      </c>
      <c r="H596" s="6" t="s">
        <v>2616</v>
      </c>
      <c r="I596" s="6" t="s">
        <v>2870</v>
      </c>
      <c r="J596" s="6" t="s">
        <v>3305</v>
      </c>
      <c r="K596" s="6">
        <v>21</v>
      </c>
    </row>
    <row r="597" spans="1:11" x14ac:dyDescent="0.3">
      <c r="A597" s="6" t="s">
        <v>605</v>
      </c>
      <c r="B597" s="6" t="s">
        <v>1900</v>
      </c>
      <c r="C597" s="7">
        <v>28376</v>
      </c>
      <c r="D597" s="8">
        <v>35570</v>
      </c>
      <c r="E597" s="6" t="s">
        <v>2599</v>
      </c>
      <c r="F597" s="6">
        <v>181717</v>
      </c>
      <c r="G597" s="6" t="s">
        <v>2606</v>
      </c>
      <c r="H597" s="6" t="s">
        <v>2616</v>
      </c>
      <c r="I597" s="6" t="s">
        <v>3044</v>
      </c>
      <c r="J597" s="6" t="s">
        <v>3305</v>
      </c>
      <c r="K597" s="6">
        <v>28</v>
      </c>
    </row>
    <row r="598" spans="1:11" x14ac:dyDescent="0.3">
      <c r="A598" s="6" t="s">
        <v>606</v>
      </c>
      <c r="B598" s="6" t="s">
        <v>1901</v>
      </c>
      <c r="C598" s="7">
        <v>23541</v>
      </c>
      <c r="D598" s="8">
        <v>44031</v>
      </c>
      <c r="E598" s="6" t="s">
        <v>2603</v>
      </c>
      <c r="F598" s="6">
        <v>103358</v>
      </c>
      <c r="G598" s="6" t="s">
        <v>2615</v>
      </c>
      <c r="H598" s="6" t="s">
        <v>2617</v>
      </c>
      <c r="I598" s="6" t="s">
        <v>2664</v>
      </c>
      <c r="J598" s="6" t="s">
        <v>3309</v>
      </c>
      <c r="K598" s="6">
        <v>5</v>
      </c>
    </row>
    <row r="599" spans="1:11" x14ac:dyDescent="0.3">
      <c r="A599" s="6" t="s">
        <v>607</v>
      </c>
      <c r="B599" s="6" t="s">
        <v>1902</v>
      </c>
      <c r="C599" s="7">
        <v>34403</v>
      </c>
      <c r="D599" s="8">
        <v>40978</v>
      </c>
      <c r="E599" s="6" t="s">
        <v>2600</v>
      </c>
      <c r="F599" s="6">
        <v>189751</v>
      </c>
      <c r="G599" s="6" t="s">
        <v>2611</v>
      </c>
      <c r="H599" s="6" t="s">
        <v>2617</v>
      </c>
      <c r="I599" s="6" t="s">
        <v>3045</v>
      </c>
      <c r="J599" s="6" t="s">
        <v>3308</v>
      </c>
      <c r="K599" s="6">
        <v>13</v>
      </c>
    </row>
    <row r="600" spans="1:11" x14ac:dyDescent="0.3">
      <c r="A600" s="6" t="s">
        <v>608</v>
      </c>
      <c r="B600" s="6" t="s">
        <v>1903</v>
      </c>
      <c r="C600" s="7">
        <v>36859</v>
      </c>
      <c r="D600" s="8">
        <v>29015</v>
      </c>
      <c r="E600" s="6" t="s">
        <v>2604</v>
      </c>
      <c r="F600" s="6">
        <v>147734</v>
      </c>
      <c r="G600" s="6" t="s">
        <v>2610</v>
      </c>
      <c r="H600" s="6" t="s">
        <v>2616</v>
      </c>
      <c r="I600" s="6" t="s">
        <v>3046</v>
      </c>
      <c r="J600" s="6" t="s">
        <v>3309</v>
      </c>
      <c r="K600" s="6">
        <v>46</v>
      </c>
    </row>
    <row r="601" spans="1:11" x14ac:dyDescent="0.3">
      <c r="A601" s="6" t="s">
        <v>609</v>
      </c>
      <c r="B601" s="6" t="s">
        <v>1904</v>
      </c>
      <c r="C601" s="7">
        <v>36730</v>
      </c>
      <c r="D601" s="8">
        <v>43815</v>
      </c>
      <c r="E601" s="6" t="s">
        <v>2599</v>
      </c>
      <c r="F601" s="6">
        <v>189774</v>
      </c>
      <c r="G601" s="6" t="s">
        <v>2610</v>
      </c>
      <c r="H601" s="6" t="s">
        <v>2616</v>
      </c>
      <c r="I601" s="6" t="s">
        <v>3047</v>
      </c>
      <c r="J601" s="6" t="s">
        <v>3305</v>
      </c>
      <c r="K601" s="6">
        <v>6</v>
      </c>
    </row>
    <row r="602" spans="1:11" x14ac:dyDescent="0.3">
      <c r="A602" s="6" t="s">
        <v>610</v>
      </c>
      <c r="B602" s="6" t="s">
        <v>1905</v>
      </c>
      <c r="C602" s="7">
        <v>31537</v>
      </c>
      <c r="D602" s="8">
        <v>27049</v>
      </c>
      <c r="E602" s="6" t="s">
        <v>2603</v>
      </c>
      <c r="F602" s="6">
        <v>56132</v>
      </c>
      <c r="G602" s="6" t="s">
        <v>2615</v>
      </c>
      <c r="H602" s="6" t="s">
        <v>2617</v>
      </c>
      <c r="I602" s="6" t="s">
        <v>3048</v>
      </c>
      <c r="J602" s="6" t="s">
        <v>3309</v>
      </c>
      <c r="K602" s="6">
        <v>51</v>
      </c>
    </row>
    <row r="603" spans="1:11" x14ac:dyDescent="0.3">
      <c r="A603" s="6" t="s">
        <v>611</v>
      </c>
      <c r="B603" s="6" t="s">
        <v>1906</v>
      </c>
      <c r="C603" s="7">
        <v>27284</v>
      </c>
      <c r="D603" s="8">
        <v>37589</v>
      </c>
      <c r="E603" s="6" t="s">
        <v>2603</v>
      </c>
      <c r="F603" s="6">
        <v>182348</v>
      </c>
      <c r="G603" s="6" t="s">
        <v>2609</v>
      </c>
      <c r="H603" s="6" t="s">
        <v>2617</v>
      </c>
      <c r="I603" s="6" t="s">
        <v>3049</v>
      </c>
      <c r="J603" s="6" t="s">
        <v>3305</v>
      </c>
      <c r="K603" s="6">
        <v>23</v>
      </c>
    </row>
    <row r="604" spans="1:11" x14ac:dyDescent="0.3">
      <c r="A604" s="6" t="s">
        <v>612</v>
      </c>
      <c r="B604" s="6" t="s">
        <v>1907</v>
      </c>
      <c r="C604" s="7">
        <v>23849</v>
      </c>
      <c r="D604" s="8">
        <v>40834</v>
      </c>
      <c r="E604" s="6" t="s">
        <v>2600</v>
      </c>
      <c r="F604" s="6">
        <v>169655</v>
      </c>
      <c r="G604" s="6" t="s">
        <v>2609</v>
      </c>
      <c r="H604" s="6" t="s">
        <v>2617</v>
      </c>
      <c r="I604" s="6" t="s">
        <v>2875</v>
      </c>
      <c r="J604" s="6" t="s">
        <v>3304</v>
      </c>
      <c r="K604" s="6">
        <v>14</v>
      </c>
    </row>
    <row r="605" spans="1:11" x14ac:dyDescent="0.3">
      <c r="A605" s="6" t="s">
        <v>613</v>
      </c>
      <c r="B605" s="6" t="s">
        <v>1908</v>
      </c>
      <c r="C605" s="7">
        <v>36151</v>
      </c>
      <c r="D605" s="8">
        <v>44233</v>
      </c>
      <c r="E605" s="6" t="s">
        <v>2602</v>
      </c>
      <c r="F605" s="6">
        <v>111068</v>
      </c>
      <c r="G605" s="6" t="s">
        <v>2613</v>
      </c>
      <c r="H605" s="6" t="s">
        <v>2616</v>
      </c>
      <c r="I605" s="6" t="s">
        <v>3050</v>
      </c>
      <c r="J605" s="6" t="s">
        <v>3304</v>
      </c>
      <c r="K605" s="6">
        <v>4</v>
      </c>
    </row>
    <row r="606" spans="1:11" x14ac:dyDescent="0.3">
      <c r="A606" s="6" t="s">
        <v>614</v>
      </c>
      <c r="B606" s="6" t="s">
        <v>1909</v>
      </c>
      <c r="C606" s="7">
        <v>30129</v>
      </c>
      <c r="D606" s="8">
        <v>26981</v>
      </c>
      <c r="E606" s="6" t="s">
        <v>2602</v>
      </c>
      <c r="F606" s="6">
        <v>89391</v>
      </c>
      <c r="G606" s="6" t="s">
        <v>2612</v>
      </c>
      <c r="H606" s="6" t="s">
        <v>2616</v>
      </c>
      <c r="I606" s="6" t="s">
        <v>2946</v>
      </c>
      <c r="J606" s="6" t="s">
        <v>3308</v>
      </c>
      <c r="K606" s="6">
        <v>52</v>
      </c>
    </row>
    <row r="607" spans="1:11" x14ac:dyDescent="0.3">
      <c r="A607" s="6" t="s">
        <v>615</v>
      </c>
      <c r="B607" s="6" t="s">
        <v>1910</v>
      </c>
      <c r="C607" s="7">
        <v>21596</v>
      </c>
      <c r="D607" s="8">
        <v>44518</v>
      </c>
      <c r="E607" s="6" t="s">
        <v>2605</v>
      </c>
      <c r="F607" s="6">
        <v>80432</v>
      </c>
      <c r="G607" s="6" t="s">
        <v>2607</v>
      </c>
      <c r="H607" s="6" t="s">
        <v>2616</v>
      </c>
      <c r="I607" s="6" t="s">
        <v>3051</v>
      </c>
      <c r="J607" s="6" t="s">
        <v>3308</v>
      </c>
      <c r="K607" s="6">
        <v>4</v>
      </c>
    </row>
    <row r="608" spans="1:11" x14ac:dyDescent="0.3">
      <c r="A608" s="6" t="s">
        <v>616</v>
      </c>
      <c r="B608" s="6" t="s">
        <v>1911</v>
      </c>
      <c r="C608" s="7">
        <v>23912</v>
      </c>
      <c r="D608" s="8">
        <v>27996</v>
      </c>
      <c r="E608" s="6" t="s">
        <v>2603</v>
      </c>
      <c r="F608" s="6">
        <v>111300</v>
      </c>
      <c r="G608" s="6" t="s">
        <v>2607</v>
      </c>
      <c r="H608" s="6" t="s">
        <v>2617</v>
      </c>
      <c r="I608" s="6" t="s">
        <v>2790</v>
      </c>
      <c r="J608" s="6" t="s">
        <v>3307</v>
      </c>
      <c r="K608" s="6">
        <v>49</v>
      </c>
    </row>
    <row r="609" spans="1:11" x14ac:dyDescent="0.3">
      <c r="A609" s="6" t="s">
        <v>617</v>
      </c>
      <c r="B609" s="6" t="s">
        <v>1912</v>
      </c>
      <c r="C609" s="7">
        <v>25077</v>
      </c>
      <c r="D609" s="8">
        <v>41294</v>
      </c>
      <c r="E609" s="6" t="s">
        <v>2602</v>
      </c>
      <c r="F609" s="6">
        <v>198229</v>
      </c>
      <c r="G609" s="6" t="s">
        <v>2614</v>
      </c>
      <c r="H609" s="6" t="s">
        <v>2616</v>
      </c>
      <c r="I609" s="6" t="s">
        <v>3052</v>
      </c>
      <c r="J609" s="6" t="s">
        <v>3307</v>
      </c>
      <c r="K609" s="6">
        <v>12</v>
      </c>
    </row>
    <row r="610" spans="1:11" x14ac:dyDescent="0.3">
      <c r="A610" s="6" t="s">
        <v>618</v>
      </c>
      <c r="B610" s="6" t="s">
        <v>1913</v>
      </c>
      <c r="C610" s="7">
        <v>25537</v>
      </c>
      <c r="D610" s="8">
        <v>30815</v>
      </c>
      <c r="E610" s="6" t="s">
        <v>2601</v>
      </c>
      <c r="F610" s="6">
        <v>159837</v>
      </c>
      <c r="G610" s="6" t="s">
        <v>2607</v>
      </c>
      <c r="H610" s="6" t="s">
        <v>2617</v>
      </c>
      <c r="I610" s="6" t="s">
        <v>2697</v>
      </c>
      <c r="J610" s="6" t="s">
        <v>3309</v>
      </c>
      <c r="K610" s="6">
        <v>41</v>
      </c>
    </row>
    <row r="611" spans="1:11" x14ac:dyDescent="0.3">
      <c r="A611" s="6" t="s">
        <v>619</v>
      </c>
      <c r="B611" s="6" t="s">
        <v>1914</v>
      </c>
      <c r="C611" s="7">
        <v>21611</v>
      </c>
      <c r="D611" s="8">
        <v>36673</v>
      </c>
      <c r="E611" s="6" t="s">
        <v>2600</v>
      </c>
      <c r="F611" s="6">
        <v>95176</v>
      </c>
      <c r="G611" s="6" t="s">
        <v>2615</v>
      </c>
      <c r="H611" s="6" t="s">
        <v>2616</v>
      </c>
      <c r="I611" s="6" t="s">
        <v>2977</v>
      </c>
      <c r="J611" s="6" t="s">
        <v>3308</v>
      </c>
      <c r="K611" s="6">
        <v>25</v>
      </c>
    </row>
    <row r="612" spans="1:11" x14ac:dyDescent="0.3">
      <c r="A612" s="6" t="s">
        <v>620</v>
      </c>
      <c r="B612" s="6" t="s">
        <v>1915</v>
      </c>
      <c r="C612" s="7">
        <v>35224</v>
      </c>
      <c r="D612" s="8">
        <v>32603</v>
      </c>
      <c r="E612" s="6" t="s">
        <v>2599</v>
      </c>
      <c r="F612" s="6">
        <v>67904</v>
      </c>
      <c r="G612" s="6" t="s">
        <v>2612</v>
      </c>
      <c r="H612" s="6" t="s">
        <v>2616</v>
      </c>
      <c r="I612" s="6" t="s">
        <v>3053</v>
      </c>
      <c r="J612" s="6" t="s">
        <v>3306</v>
      </c>
      <c r="K612" s="6">
        <v>36</v>
      </c>
    </row>
    <row r="613" spans="1:11" x14ac:dyDescent="0.3">
      <c r="A613" s="6" t="s">
        <v>621</v>
      </c>
      <c r="B613" s="6" t="s">
        <v>1821</v>
      </c>
      <c r="C613" s="7">
        <v>37302</v>
      </c>
      <c r="D613" s="8">
        <v>32063</v>
      </c>
      <c r="E613" s="6" t="s">
        <v>2599</v>
      </c>
      <c r="F613" s="6">
        <v>162014</v>
      </c>
      <c r="G613" s="6" t="s">
        <v>2611</v>
      </c>
      <c r="H613" s="6" t="s">
        <v>2617</v>
      </c>
      <c r="I613" s="6" t="s">
        <v>2715</v>
      </c>
      <c r="J613" s="6" t="s">
        <v>3307</v>
      </c>
      <c r="K613" s="6">
        <v>38</v>
      </c>
    </row>
    <row r="614" spans="1:11" x14ac:dyDescent="0.3">
      <c r="A614" s="6" t="s">
        <v>622</v>
      </c>
      <c r="B614" s="6" t="s">
        <v>1916</v>
      </c>
      <c r="C614" s="7">
        <v>34582</v>
      </c>
      <c r="D614" s="8">
        <v>41710</v>
      </c>
      <c r="E614" s="6" t="s">
        <v>2603</v>
      </c>
      <c r="F614" s="6">
        <v>162038</v>
      </c>
      <c r="G614" s="6" t="s">
        <v>2610</v>
      </c>
      <c r="H614" s="6" t="s">
        <v>2616</v>
      </c>
      <c r="I614" s="6" t="s">
        <v>3054</v>
      </c>
      <c r="J614" s="6" t="s">
        <v>3304</v>
      </c>
      <c r="K614" s="6">
        <v>11</v>
      </c>
    </row>
    <row r="615" spans="1:11" x14ac:dyDescent="0.3">
      <c r="A615" s="6" t="s">
        <v>623</v>
      </c>
      <c r="B615" s="6" t="s">
        <v>1917</v>
      </c>
      <c r="C615" s="7">
        <v>30712</v>
      </c>
      <c r="D615" s="8">
        <v>37939</v>
      </c>
      <c r="E615" s="6" t="s">
        <v>2601</v>
      </c>
      <c r="F615" s="6">
        <v>88481</v>
      </c>
      <c r="G615" s="6" t="s">
        <v>2608</v>
      </c>
      <c r="H615" s="6" t="s">
        <v>2617</v>
      </c>
      <c r="I615" s="6" t="s">
        <v>3055</v>
      </c>
      <c r="J615" s="6" t="s">
        <v>3309</v>
      </c>
      <c r="K615" s="6">
        <v>22</v>
      </c>
    </row>
    <row r="616" spans="1:11" x14ac:dyDescent="0.3">
      <c r="A616" s="6" t="s">
        <v>624</v>
      </c>
      <c r="B616" s="6" t="s">
        <v>1918</v>
      </c>
      <c r="C616" s="7">
        <v>36527</v>
      </c>
      <c r="D616" s="8">
        <v>28297</v>
      </c>
      <c r="E616" s="6" t="s">
        <v>2600</v>
      </c>
      <c r="F616" s="6">
        <v>152665</v>
      </c>
      <c r="G616" s="6" t="s">
        <v>2606</v>
      </c>
      <c r="H616" s="6" t="s">
        <v>2617</v>
      </c>
      <c r="I616" s="6" t="s">
        <v>3056</v>
      </c>
      <c r="J616" s="6" t="s">
        <v>3305</v>
      </c>
      <c r="K616" s="6">
        <v>48</v>
      </c>
    </row>
    <row r="617" spans="1:11" x14ac:dyDescent="0.3">
      <c r="A617" s="6" t="s">
        <v>625</v>
      </c>
      <c r="B617" s="6" t="s">
        <v>1919</v>
      </c>
      <c r="C617" s="7">
        <v>23300</v>
      </c>
      <c r="D617" s="8">
        <v>34624</v>
      </c>
      <c r="E617" s="6" t="s">
        <v>2599</v>
      </c>
      <c r="F617" s="6">
        <v>107742</v>
      </c>
      <c r="G617" s="6" t="s">
        <v>2612</v>
      </c>
      <c r="H617" s="6" t="s">
        <v>2617</v>
      </c>
      <c r="I617" s="6" t="s">
        <v>3057</v>
      </c>
      <c r="J617" s="6" t="s">
        <v>3309</v>
      </c>
      <c r="K617" s="6">
        <v>31</v>
      </c>
    </row>
    <row r="618" spans="1:11" x14ac:dyDescent="0.3">
      <c r="A618" s="6" t="s">
        <v>626</v>
      </c>
      <c r="B618" s="6" t="s">
        <v>1920</v>
      </c>
      <c r="C618" s="7">
        <v>37148</v>
      </c>
      <c r="D618" s="8">
        <v>27006</v>
      </c>
      <c r="E618" s="6" t="s">
        <v>2604</v>
      </c>
      <c r="F618" s="6">
        <v>30849</v>
      </c>
      <c r="G618" s="6" t="s">
        <v>2612</v>
      </c>
      <c r="H618" s="6" t="s">
        <v>2617</v>
      </c>
      <c r="I618" s="6" t="s">
        <v>2761</v>
      </c>
      <c r="J618" s="6" t="s">
        <v>3307</v>
      </c>
      <c r="K618" s="6">
        <v>52</v>
      </c>
    </row>
    <row r="619" spans="1:11" x14ac:dyDescent="0.3">
      <c r="A619" s="6" t="s">
        <v>627</v>
      </c>
      <c r="B619" s="6" t="s">
        <v>1921</v>
      </c>
      <c r="C619" s="7">
        <v>29593</v>
      </c>
      <c r="D619" s="8">
        <v>35896</v>
      </c>
      <c r="E619" s="6" t="s">
        <v>2600</v>
      </c>
      <c r="F619" s="6">
        <v>163991</v>
      </c>
      <c r="G619" s="6" t="s">
        <v>2612</v>
      </c>
      <c r="H619" s="6" t="s">
        <v>2617</v>
      </c>
      <c r="I619" s="6" t="s">
        <v>3058</v>
      </c>
      <c r="J619" s="6" t="s">
        <v>3305</v>
      </c>
      <c r="K619" s="6">
        <v>27</v>
      </c>
    </row>
    <row r="620" spans="1:11" x14ac:dyDescent="0.3">
      <c r="A620" s="6" t="s">
        <v>628</v>
      </c>
      <c r="B620" s="6" t="s">
        <v>1922</v>
      </c>
      <c r="C620" s="7">
        <v>30982</v>
      </c>
      <c r="D620" s="8">
        <v>42230</v>
      </c>
      <c r="E620" s="6" t="s">
        <v>2600</v>
      </c>
      <c r="F620" s="6">
        <v>173148</v>
      </c>
      <c r="G620" s="6" t="s">
        <v>2614</v>
      </c>
      <c r="H620" s="6" t="s">
        <v>2616</v>
      </c>
      <c r="I620" s="6" t="s">
        <v>3059</v>
      </c>
      <c r="J620" s="6" t="s">
        <v>3306</v>
      </c>
      <c r="K620" s="6">
        <v>10</v>
      </c>
    </row>
    <row r="621" spans="1:11" x14ac:dyDescent="0.3">
      <c r="A621" s="6" t="s">
        <v>629</v>
      </c>
      <c r="B621" s="6" t="s">
        <v>1923</v>
      </c>
      <c r="C621" s="7">
        <v>26754</v>
      </c>
      <c r="D621" s="8">
        <v>43537</v>
      </c>
      <c r="E621" s="6" t="s">
        <v>2605</v>
      </c>
      <c r="F621" s="6">
        <v>85099</v>
      </c>
      <c r="G621" s="6" t="s">
        <v>2614</v>
      </c>
      <c r="H621" s="6" t="s">
        <v>2616</v>
      </c>
      <c r="I621" s="6" t="s">
        <v>2910</v>
      </c>
      <c r="J621" s="6" t="s">
        <v>3310</v>
      </c>
      <c r="K621" s="6">
        <v>6</v>
      </c>
    </row>
    <row r="622" spans="1:11" x14ac:dyDescent="0.3">
      <c r="A622" s="6" t="s">
        <v>630</v>
      </c>
      <c r="B622" s="6" t="s">
        <v>1924</v>
      </c>
      <c r="C622" s="7">
        <v>26547</v>
      </c>
      <c r="D622" s="8">
        <v>41406</v>
      </c>
      <c r="E622" s="6" t="s">
        <v>2602</v>
      </c>
      <c r="F622" s="6">
        <v>70739</v>
      </c>
      <c r="G622" s="6" t="s">
        <v>2609</v>
      </c>
      <c r="H622" s="6" t="s">
        <v>2616</v>
      </c>
      <c r="I622" s="6" t="s">
        <v>3060</v>
      </c>
      <c r="J622" s="6" t="s">
        <v>3309</v>
      </c>
      <c r="K622" s="6">
        <v>12</v>
      </c>
    </row>
    <row r="623" spans="1:11" x14ac:dyDescent="0.3">
      <c r="A623" s="6" t="s">
        <v>631</v>
      </c>
      <c r="B623" s="6" t="s">
        <v>1925</v>
      </c>
      <c r="C623" s="7">
        <v>25009</v>
      </c>
      <c r="D623" s="8">
        <v>29774</v>
      </c>
      <c r="E623" s="6" t="s">
        <v>2601</v>
      </c>
      <c r="F623" s="6">
        <v>140368</v>
      </c>
      <c r="G623" s="6" t="s">
        <v>2609</v>
      </c>
      <c r="H623" s="6" t="s">
        <v>2616</v>
      </c>
      <c r="I623" s="6" t="s">
        <v>3061</v>
      </c>
      <c r="J623" s="6" t="s">
        <v>3308</v>
      </c>
      <c r="K623" s="6">
        <v>44</v>
      </c>
    </row>
    <row r="624" spans="1:11" x14ac:dyDescent="0.3">
      <c r="A624" s="6" t="s">
        <v>632</v>
      </c>
      <c r="B624" s="6" t="s">
        <v>1926</v>
      </c>
      <c r="C624" s="7">
        <v>25168</v>
      </c>
      <c r="D624" s="8">
        <v>38941</v>
      </c>
      <c r="E624" s="6" t="s">
        <v>2605</v>
      </c>
      <c r="F624" s="6">
        <v>79001</v>
      </c>
      <c r="G624" s="6" t="s">
        <v>2606</v>
      </c>
      <c r="H624" s="6" t="s">
        <v>2617</v>
      </c>
      <c r="I624" s="6" t="s">
        <v>2702</v>
      </c>
      <c r="J624" s="6" t="s">
        <v>3308</v>
      </c>
      <c r="K624" s="6">
        <v>19</v>
      </c>
    </row>
    <row r="625" spans="1:11" x14ac:dyDescent="0.3">
      <c r="A625" s="6" t="s">
        <v>633</v>
      </c>
      <c r="B625" s="6" t="s">
        <v>1927</v>
      </c>
      <c r="C625" s="7">
        <v>28142</v>
      </c>
      <c r="D625" s="8">
        <v>39852</v>
      </c>
      <c r="E625" s="6" t="s">
        <v>2600</v>
      </c>
      <c r="F625" s="6">
        <v>180537</v>
      </c>
      <c r="G625" s="6" t="s">
        <v>2609</v>
      </c>
      <c r="H625" s="6" t="s">
        <v>2616</v>
      </c>
      <c r="I625" s="6" t="s">
        <v>3062</v>
      </c>
      <c r="J625" s="6" t="s">
        <v>3305</v>
      </c>
      <c r="K625" s="6">
        <v>16</v>
      </c>
    </row>
    <row r="626" spans="1:11" x14ac:dyDescent="0.3">
      <c r="A626" s="6" t="s">
        <v>634</v>
      </c>
      <c r="B626" s="6" t="s">
        <v>1928</v>
      </c>
      <c r="C626" s="7">
        <v>23519</v>
      </c>
      <c r="D626" s="8">
        <v>27199</v>
      </c>
      <c r="E626" s="6" t="s">
        <v>2602</v>
      </c>
      <c r="F626" s="6">
        <v>24082</v>
      </c>
      <c r="G626" s="6" t="s">
        <v>2609</v>
      </c>
      <c r="H626" s="6" t="s">
        <v>2617</v>
      </c>
      <c r="I626" s="6" t="s">
        <v>3044</v>
      </c>
      <c r="J626" s="6" t="s">
        <v>3304</v>
      </c>
      <c r="K626" s="6">
        <v>51</v>
      </c>
    </row>
    <row r="627" spans="1:11" x14ac:dyDescent="0.3">
      <c r="A627" s="6" t="s">
        <v>635</v>
      </c>
      <c r="B627" s="6" t="s">
        <v>1929</v>
      </c>
      <c r="C627" s="7">
        <v>27672</v>
      </c>
      <c r="D627" s="8">
        <v>35165</v>
      </c>
      <c r="E627" s="6" t="s">
        <v>2599</v>
      </c>
      <c r="F627" s="6">
        <v>56982</v>
      </c>
      <c r="G627" s="6" t="s">
        <v>2606</v>
      </c>
      <c r="H627" s="6" t="s">
        <v>2617</v>
      </c>
      <c r="I627" s="6" t="s">
        <v>2802</v>
      </c>
      <c r="J627" s="6" t="s">
        <v>3309</v>
      </c>
      <c r="K627" s="6">
        <v>29</v>
      </c>
    </row>
    <row r="628" spans="1:11" x14ac:dyDescent="0.3">
      <c r="A628" s="6" t="s">
        <v>636</v>
      </c>
      <c r="B628" s="6" t="s">
        <v>1930</v>
      </c>
      <c r="C628" s="7">
        <v>29540</v>
      </c>
      <c r="D628" s="8">
        <v>39913</v>
      </c>
      <c r="E628" s="6" t="s">
        <v>2604</v>
      </c>
      <c r="F628" s="6">
        <v>130860</v>
      </c>
      <c r="G628" s="6" t="s">
        <v>2609</v>
      </c>
      <c r="H628" s="6" t="s">
        <v>2617</v>
      </c>
      <c r="I628" s="6" t="s">
        <v>3063</v>
      </c>
      <c r="J628" s="6" t="s">
        <v>3307</v>
      </c>
      <c r="K628" s="6">
        <v>16</v>
      </c>
    </row>
    <row r="629" spans="1:11" x14ac:dyDescent="0.3">
      <c r="A629" s="6" t="s">
        <v>637</v>
      </c>
      <c r="B629" s="6" t="s">
        <v>1931</v>
      </c>
      <c r="C629" s="7">
        <v>30780</v>
      </c>
      <c r="D629" s="8">
        <v>42901</v>
      </c>
      <c r="E629" s="6" t="s">
        <v>2605</v>
      </c>
      <c r="F629" s="6">
        <v>173392</v>
      </c>
      <c r="G629" s="6" t="s">
        <v>2607</v>
      </c>
      <c r="H629" s="6" t="s">
        <v>2616</v>
      </c>
      <c r="I629" s="6" t="s">
        <v>2749</v>
      </c>
      <c r="J629" s="6" t="s">
        <v>3305</v>
      </c>
      <c r="K629" s="6">
        <v>8</v>
      </c>
    </row>
    <row r="630" spans="1:11" x14ac:dyDescent="0.3">
      <c r="A630" s="6" t="s">
        <v>638</v>
      </c>
      <c r="B630" s="6" t="s">
        <v>1932</v>
      </c>
      <c r="C630" s="7">
        <v>26883</v>
      </c>
      <c r="D630" s="8">
        <v>43252</v>
      </c>
      <c r="E630" s="6" t="s">
        <v>2601</v>
      </c>
      <c r="F630" s="6">
        <v>126735</v>
      </c>
      <c r="G630" s="6" t="s">
        <v>2606</v>
      </c>
      <c r="H630" s="6" t="s">
        <v>2616</v>
      </c>
      <c r="I630" s="6" t="s">
        <v>3064</v>
      </c>
      <c r="J630" s="6" t="s">
        <v>3305</v>
      </c>
      <c r="K630" s="6">
        <v>7</v>
      </c>
    </row>
    <row r="631" spans="1:11" x14ac:dyDescent="0.3">
      <c r="A631" s="6" t="s">
        <v>639</v>
      </c>
      <c r="B631" s="6" t="s">
        <v>1933</v>
      </c>
      <c r="C631" s="7">
        <v>24581</v>
      </c>
      <c r="D631" s="8">
        <v>30943</v>
      </c>
      <c r="E631" s="6" t="s">
        <v>2600</v>
      </c>
      <c r="F631" s="6">
        <v>62737</v>
      </c>
      <c r="G631" s="6" t="s">
        <v>2606</v>
      </c>
      <c r="H631" s="6" t="s">
        <v>2617</v>
      </c>
      <c r="I631" s="6" t="s">
        <v>3065</v>
      </c>
      <c r="J631" s="6" t="s">
        <v>3309</v>
      </c>
      <c r="K631" s="6">
        <v>41</v>
      </c>
    </row>
    <row r="632" spans="1:11" x14ac:dyDescent="0.3">
      <c r="A632" s="6" t="s">
        <v>640</v>
      </c>
      <c r="B632" s="6" t="s">
        <v>1934</v>
      </c>
      <c r="C632" s="7">
        <v>31118</v>
      </c>
      <c r="D632" s="8">
        <v>41400</v>
      </c>
      <c r="E632" s="6" t="s">
        <v>2599</v>
      </c>
      <c r="F632" s="6">
        <v>140320</v>
      </c>
      <c r="G632" s="6" t="s">
        <v>2612</v>
      </c>
      <c r="H632" s="6" t="s">
        <v>2617</v>
      </c>
      <c r="I632" s="6" t="s">
        <v>2802</v>
      </c>
      <c r="J632" s="6" t="s">
        <v>3306</v>
      </c>
      <c r="K632" s="6">
        <v>12</v>
      </c>
    </row>
    <row r="633" spans="1:11" x14ac:dyDescent="0.3">
      <c r="A633" s="6" t="s">
        <v>641</v>
      </c>
      <c r="B633" s="6" t="s">
        <v>1935</v>
      </c>
      <c r="C633" s="7">
        <v>31135</v>
      </c>
      <c r="D633" s="8">
        <v>32325</v>
      </c>
      <c r="E633" s="6" t="s">
        <v>2604</v>
      </c>
      <c r="F633" s="6">
        <v>175614</v>
      </c>
      <c r="G633" s="6" t="s">
        <v>2608</v>
      </c>
      <c r="H633" s="6" t="s">
        <v>2616</v>
      </c>
      <c r="I633" s="6" t="s">
        <v>3066</v>
      </c>
      <c r="J633" s="6" t="s">
        <v>3306</v>
      </c>
      <c r="K633" s="6">
        <v>37</v>
      </c>
    </row>
    <row r="634" spans="1:11" x14ac:dyDescent="0.3">
      <c r="A634" s="6" t="s">
        <v>642</v>
      </c>
      <c r="B634" s="6" t="s">
        <v>1936</v>
      </c>
      <c r="C634" s="7">
        <v>27556</v>
      </c>
      <c r="D634" s="8">
        <v>28159</v>
      </c>
      <c r="E634" s="6" t="s">
        <v>2605</v>
      </c>
      <c r="F634" s="6">
        <v>26204</v>
      </c>
      <c r="G634" s="6" t="s">
        <v>2610</v>
      </c>
      <c r="H634" s="6" t="s">
        <v>2617</v>
      </c>
      <c r="I634" s="6" t="s">
        <v>3067</v>
      </c>
      <c r="J634" s="6" t="s">
        <v>3305</v>
      </c>
      <c r="K634" s="6">
        <v>48</v>
      </c>
    </row>
    <row r="635" spans="1:11" x14ac:dyDescent="0.3">
      <c r="A635" s="6" t="s">
        <v>643</v>
      </c>
      <c r="B635" s="6" t="s">
        <v>1937</v>
      </c>
      <c r="C635" s="7">
        <v>23106</v>
      </c>
      <c r="D635" s="8">
        <v>34132</v>
      </c>
      <c r="E635" s="6" t="s">
        <v>2602</v>
      </c>
      <c r="F635" s="6">
        <v>71197</v>
      </c>
      <c r="G635" s="6" t="s">
        <v>2613</v>
      </c>
      <c r="H635" s="6" t="s">
        <v>2617</v>
      </c>
      <c r="I635" s="6" t="s">
        <v>2878</v>
      </c>
      <c r="J635" s="6" t="s">
        <v>3308</v>
      </c>
      <c r="K635" s="6">
        <v>32</v>
      </c>
    </row>
    <row r="636" spans="1:11" x14ac:dyDescent="0.3">
      <c r="A636" s="6" t="s">
        <v>644</v>
      </c>
      <c r="B636" s="6" t="s">
        <v>1938</v>
      </c>
      <c r="C636" s="7">
        <v>36208</v>
      </c>
      <c r="D636" s="8">
        <v>39537</v>
      </c>
      <c r="E636" s="6" t="s">
        <v>2605</v>
      </c>
      <c r="F636" s="6">
        <v>175266</v>
      </c>
      <c r="G636" s="6" t="s">
        <v>2613</v>
      </c>
      <c r="H636" s="6" t="s">
        <v>2617</v>
      </c>
      <c r="I636" s="6" t="s">
        <v>3068</v>
      </c>
      <c r="J636" s="6" t="s">
        <v>3307</v>
      </c>
      <c r="K636" s="6">
        <v>17</v>
      </c>
    </row>
    <row r="637" spans="1:11" x14ac:dyDescent="0.3">
      <c r="A637" s="6" t="s">
        <v>645</v>
      </c>
      <c r="B637" s="6" t="s">
        <v>1939</v>
      </c>
      <c r="C637" s="7">
        <v>30506</v>
      </c>
      <c r="D637" s="8">
        <v>37045</v>
      </c>
      <c r="E637" s="6" t="s">
        <v>2601</v>
      </c>
      <c r="F637" s="6">
        <v>144230</v>
      </c>
      <c r="G637" s="6" t="s">
        <v>2611</v>
      </c>
      <c r="H637" s="6" t="s">
        <v>2617</v>
      </c>
      <c r="I637" s="6" t="s">
        <v>2828</v>
      </c>
      <c r="J637" s="6" t="s">
        <v>3307</v>
      </c>
      <c r="K637" s="6">
        <v>24</v>
      </c>
    </row>
    <row r="638" spans="1:11" x14ac:dyDescent="0.3">
      <c r="A638" s="6" t="s">
        <v>646</v>
      </c>
      <c r="B638" s="6" t="s">
        <v>1940</v>
      </c>
      <c r="C638" s="7">
        <v>37613</v>
      </c>
      <c r="D638" s="8">
        <v>27124</v>
      </c>
      <c r="E638" s="6" t="s">
        <v>2604</v>
      </c>
      <c r="F638" s="6">
        <v>139540</v>
      </c>
      <c r="G638" s="6" t="s">
        <v>2612</v>
      </c>
      <c r="H638" s="6" t="s">
        <v>2616</v>
      </c>
      <c r="I638" s="6" t="s">
        <v>3069</v>
      </c>
      <c r="J638" s="6" t="s">
        <v>3307</v>
      </c>
      <c r="K638" s="6">
        <v>51</v>
      </c>
    </row>
    <row r="639" spans="1:11" x14ac:dyDescent="0.3">
      <c r="A639" s="6" t="s">
        <v>647</v>
      </c>
      <c r="B639" s="6" t="s">
        <v>1941</v>
      </c>
      <c r="C639" s="7">
        <v>35167</v>
      </c>
      <c r="D639" s="8">
        <v>27082</v>
      </c>
      <c r="E639" s="6" t="s">
        <v>2604</v>
      </c>
      <c r="F639" s="6">
        <v>50363</v>
      </c>
      <c r="G639" s="6" t="s">
        <v>2607</v>
      </c>
      <c r="H639" s="6" t="s">
        <v>2617</v>
      </c>
      <c r="I639" s="6" t="s">
        <v>3070</v>
      </c>
      <c r="J639" s="6" t="s">
        <v>3304</v>
      </c>
      <c r="K639" s="6">
        <v>51</v>
      </c>
    </row>
    <row r="640" spans="1:11" x14ac:dyDescent="0.3">
      <c r="A640" s="6" t="s">
        <v>648</v>
      </c>
      <c r="B640" s="6" t="s">
        <v>1942</v>
      </c>
      <c r="C640" s="7">
        <v>23266</v>
      </c>
      <c r="D640" s="8">
        <v>39920</v>
      </c>
      <c r="E640" s="6" t="s">
        <v>2604</v>
      </c>
      <c r="F640" s="6">
        <v>110143</v>
      </c>
      <c r="G640" s="6" t="s">
        <v>2615</v>
      </c>
      <c r="H640" s="6" t="s">
        <v>2616</v>
      </c>
      <c r="I640" s="6" t="s">
        <v>2727</v>
      </c>
      <c r="J640" s="6" t="s">
        <v>3304</v>
      </c>
      <c r="K640" s="6">
        <v>16</v>
      </c>
    </row>
    <row r="641" spans="1:11" x14ac:dyDescent="0.3">
      <c r="A641" s="6" t="s">
        <v>649</v>
      </c>
      <c r="B641" s="6" t="s">
        <v>1943</v>
      </c>
      <c r="C641" s="7">
        <v>35838</v>
      </c>
      <c r="D641" s="8">
        <v>27210</v>
      </c>
      <c r="E641" s="6" t="s">
        <v>2603</v>
      </c>
      <c r="F641" s="6">
        <v>67339</v>
      </c>
      <c r="G641" s="6" t="s">
        <v>2607</v>
      </c>
      <c r="H641" s="6" t="s">
        <v>2616</v>
      </c>
      <c r="I641" s="6" t="s">
        <v>2765</v>
      </c>
      <c r="J641" s="6" t="s">
        <v>3307</v>
      </c>
      <c r="K641" s="6">
        <v>51</v>
      </c>
    </row>
    <row r="642" spans="1:11" x14ac:dyDescent="0.3">
      <c r="A642" s="6" t="s">
        <v>650</v>
      </c>
      <c r="B642" s="6" t="s">
        <v>1944</v>
      </c>
      <c r="C642" s="7">
        <v>22088</v>
      </c>
      <c r="D642" s="8">
        <v>36047</v>
      </c>
      <c r="E642" s="6" t="s">
        <v>2602</v>
      </c>
      <c r="F642" s="6">
        <v>87440</v>
      </c>
      <c r="G642" s="6" t="s">
        <v>2614</v>
      </c>
      <c r="H642" s="6" t="s">
        <v>2616</v>
      </c>
      <c r="I642" s="6" t="s">
        <v>3049</v>
      </c>
      <c r="J642" s="6" t="s">
        <v>3309</v>
      </c>
      <c r="K642" s="6">
        <v>27</v>
      </c>
    </row>
    <row r="643" spans="1:11" x14ac:dyDescent="0.3">
      <c r="A643" s="6" t="s">
        <v>651</v>
      </c>
      <c r="B643" s="6" t="s">
        <v>1945</v>
      </c>
      <c r="C643" s="7">
        <v>24713</v>
      </c>
      <c r="D643" s="8">
        <v>42272</v>
      </c>
      <c r="E643" s="6" t="s">
        <v>2600</v>
      </c>
      <c r="F643" s="6">
        <v>197647</v>
      </c>
      <c r="G643" s="6" t="s">
        <v>2606</v>
      </c>
      <c r="H643" s="6" t="s">
        <v>2617</v>
      </c>
      <c r="I643" s="6" t="s">
        <v>2794</v>
      </c>
      <c r="J643" s="6" t="s">
        <v>3305</v>
      </c>
      <c r="K643" s="6">
        <v>10</v>
      </c>
    </row>
    <row r="644" spans="1:11" x14ac:dyDescent="0.3">
      <c r="A644" s="6" t="s">
        <v>652</v>
      </c>
      <c r="B644" s="6" t="s">
        <v>1946</v>
      </c>
      <c r="C644" s="7">
        <v>33147</v>
      </c>
      <c r="D644" s="8">
        <v>32081</v>
      </c>
      <c r="E644" s="6" t="s">
        <v>2603</v>
      </c>
      <c r="F644" s="6">
        <v>184823</v>
      </c>
      <c r="G644" s="6" t="s">
        <v>2610</v>
      </c>
      <c r="H644" s="6" t="s">
        <v>2617</v>
      </c>
      <c r="I644" s="6" t="s">
        <v>3071</v>
      </c>
      <c r="J644" s="6" t="s">
        <v>3309</v>
      </c>
      <c r="K644" s="6">
        <v>38</v>
      </c>
    </row>
    <row r="645" spans="1:11" x14ac:dyDescent="0.3">
      <c r="A645" s="6" t="s">
        <v>653</v>
      </c>
      <c r="B645" s="6" t="s">
        <v>1947</v>
      </c>
      <c r="C645" s="7">
        <v>26572</v>
      </c>
      <c r="D645" s="8">
        <v>25948</v>
      </c>
      <c r="E645" s="6" t="s">
        <v>2599</v>
      </c>
      <c r="F645" s="6">
        <v>175061</v>
      </c>
      <c r="G645" s="6" t="s">
        <v>2613</v>
      </c>
      <c r="H645" s="6" t="s">
        <v>2616</v>
      </c>
      <c r="I645" s="6" t="s">
        <v>3072</v>
      </c>
      <c r="J645" s="6" t="s">
        <v>3304</v>
      </c>
      <c r="K645" s="6">
        <v>54</v>
      </c>
    </row>
    <row r="646" spans="1:11" x14ac:dyDescent="0.3">
      <c r="A646" s="6" t="s">
        <v>654</v>
      </c>
      <c r="B646" s="6" t="s">
        <v>1948</v>
      </c>
      <c r="C646" s="7">
        <v>33195</v>
      </c>
      <c r="D646" s="8">
        <v>32660</v>
      </c>
      <c r="E646" s="6" t="s">
        <v>2603</v>
      </c>
      <c r="F646" s="6">
        <v>114459</v>
      </c>
      <c r="G646" s="6" t="s">
        <v>2610</v>
      </c>
      <c r="H646" s="6" t="s">
        <v>2616</v>
      </c>
      <c r="I646" s="6" t="s">
        <v>2747</v>
      </c>
      <c r="J646" s="6" t="s">
        <v>3309</v>
      </c>
      <c r="K646" s="6">
        <v>36</v>
      </c>
    </row>
    <row r="647" spans="1:11" x14ac:dyDescent="0.3">
      <c r="A647" s="6" t="s">
        <v>655</v>
      </c>
      <c r="B647" s="6" t="s">
        <v>1949</v>
      </c>
      <c r="C647" s="7">
        <v>36493</v>
      </c>
      <c r="D647" s="8">
        <v>36373</v>
      </c>
      <c r="E647" s="6" t="s">
        <v>2599</v>
      </c>
      <c r="F647" s="6">
        <v>167988</v>
      </c>
      <c r="G647" s="6" t="s">
        <v>2615</v>
      </c>
      <c r="H647" s="6" t="s">
        <v>2617</v>
      </c>
      <c r="I647" s="6" t="s">
        <v>2765</v>
      </c>
      <c r="J647" s="6" t="s">
        <v>3307</v>
      </c>
      <c r="K647" s="6">
        <v>26</v>
      </c>
    </row>
    <row r="648" spans="1:11" x14ac:dyDescent="0.3">
      <c r="A648" s="6" t="s">
        <v>656</v>
      </c>
      <c r="B648" s="6" t="s">
        <v>1950</v>
      </c>
      <c r="C648" s="7">
        <v>37309</v>
      </c>
      <c r="D648" s="8">
        <v>42179</v>
      </c>
      <c r="E648" s="6" t="s">
        <v>2599</v>
      </c>
      <c r="F648" s="6">
        <v>196967</v>
      </c>
      <c r="G648" s="6" t="s">
        <v>2612</v>
      </c>
      <c r="H648" s="6" t="s">
        <v>2617</v>
      </c>
      <c r="I648" s="6" t="s">
        <v>3073</v>
      </c>
      <c r="J648" s="6" t="s">
        <v>3307</v>
      </c>
      <c r="K648" s="6">
        <v>10</v>
      </c>
    </row>
    <row r="649" spans="1:11" x14ac:dyDescent="0.3">
      <c r="A649" s="6" t="s">
        <v>657</v>
      </c>
      <c r="B649" s="6" t="s">
        <v>1951</v>
      </c>
      <c r="C649" s="7">
        <v>31807</v>
      </c>
      <c r="D649" s="8">
        <v>40655</v>
      </c>
      <c r="E649" s="6" t="s">
        <v>2605</v>
      </c>
      <c r="F649" s="6">
        <v>81630</v>
      </c>
      <c r="G649" s="6" t="s">
        <v>2610</v>
      </c>
      <c r="H649" s="6" t="s">
        <v>2617</v>
      </c>
      <c r="I649" s="6" t="s">
        <v>3074</v>
      </c>
      <c r="J649" s="6" t="s">
        <v>3309</v>
      </c>
      <c r="K649" s="6">
        <v>14</v>
      </c>
    </row>
    <row r="650" spans="1:11" x14ac:dyDescent="0.3">
      <c r="A650" s="6" t="s">
        <v>658</v>
      </c>
      <c r="B650" s="6" t="s">
        <v>1952</v>
      </c>
      <c r="C650" s="7">
        <v>36311</v>
      </c>
      <c r="D650" s="8">
        <v>42478</v>
      </c>
      <c r="E650" s="6" t="s">
        <v>2599</v>
      </c>
      <c r="F650" s="6">
        <v>157596</v>
      </c>
      <c r="G650" s="6" t="s">
        <v>2613</v>
      </c>
      <c r="H650" s="6" t="s">
        <v>2616</v>
      </c>
      <c r="I650" s="6" t="s">
        <v>3073</v>
      </c>
      <c r="J650" s="6" t="s">
        <v>3307</v>
      </c>
      <c r="K650" s="6">
        <v>9</v>
      </c>
    </row>
    <row r="651" spans="1:11" x14ac:dyDescent="0.3">
      <c r="A651" s="6" t="s">
        <v>659</v>
      </c>
      <c r="B651" s="6" t="s">
        <v>1953</v>
      </c>
      <c r="C651" s="7">
        <v>27625</v>
      </c>
      <c r="D651" s="8">
        <v>42472</v>
      </c>
      <c r="E651" s="6" t="s">
        <v>2602</v>
      </c>
      <c r="F651" s="6">
        <v>126669</v>
      </c>
      <c r="G651" s="6" t="s">
        <v>2607</v>
      </c>
      <c r="H651" s="6" t="s">
        <v>2616</v>
      </c>
      <c r="I651" s="6" t="s">
        <v>2701</v>
      </c>
      <c r="J651" s="6" t="s">
        <v>3306</v>
      </c>
      <c r="K651" s="6">
        <v>9</v>
      </c>
    </row>
    <row r="652" spans="1:11" x14ac:dyDescent="0.3">
      <c r="A652" s="6" t="s">
        <v>660</v>
      </c>
      <c r="B652" s="6" t="s">
        <v>1954</v>
      </c>
      <c r="C652" s="7">
        <v>26852</v>
      </c>
      <c r="D652" s="8">
        <v>27600</v>
      </c>
      <c r="E652" s="6" t="s">
        <v>2600</v>
      </c>
      <c r="F652" s="6">
        <v>31476</v>
      </c>
      <c r="G652" s="6" t="s">
        <v>2610</v>
      </c>
      <c r="H652" s="6" t="s">
        <v>2616</v>
      </c>
      <c r="I652" s="6" t="s">
        <v>2631</v>
      </c>
      <c r="J652" s="6" t="s">
        <v>3305</v>
      </c>
      <c r="K652" s="6">
        <v>50</v>
      </c>
    </row>
    <row r="653" spans="1:11" x14ac:dyDescent="0.3">
      <c r="A653" s="6" t="s">
        <v>661</v>
      </c>
      <c r="B653" s="6" t="s">
        <v>1955</v>
      </c>
      <c r="C653" s="7">
        <v>32585</v>
      </c>
      <c r="D653" s="8">
        <v>38175</v>
      </c>
      <c r="E653" s="6" t="s">
        <v>2601</v>
      </c>
      <c r="F653" s="6">
        <v>146871</v>
      </c>
      <c r="G653" s="6" t="s">
        <v>2606</v>
      </c>
      <c r="H653" s="6" t="s">
        <v>2616</v>
      </c>
      <c r="I653" s="6" t="s">
        <v>3075</v>
      </c>
      <c r="J653" s="6" t="s">
        <v>3304</v>
      </c>
      <c r="K653" s="6">
        <v>21</v>
      </c>
    </row>
    <row r="654" spans="1:11" x14ac:dyDescent="0.3">
      <c r="A654" s="6" t="s">
        <v>662</v>
      </c>
      <c r="B654" s="6" t="s">
        <v>1956</v>
      </c>
      <c r="C654" s="7">
        <v>32181</v>
      </c>
      <c r="D654" s="8">
        <v>33154</v>
      </c>
      <c r="E654" s="6" t="s">
        <v>2601</v>
      </c>
      <c r="F654" s="6">
        <v>136024</v>
      </c>
      <c r="G654" s="6" t="s">
        <v>2609</v>
      </c>
      <c r="H654" s="6" t="s">
        <v>2616</v>
      </c>
      <c r="I654" s="6" t="s">
        <v>2805</v>
      </c>
      <c r="J654" s="6" t="s">
        <v>3307</v>
      </c>
      <c r="K654" s="6">
        <v>35</v>
      </c>
    </row>
    <row r="655" spans="1:11" x14ac:dyDescent="0.3">
      <c r="A655" s="6" t="s">
        <v>663</v>
      </c>
      <c r="B655" s="6" t="s">
        <v>1957</v>
      </c>
      <c r="C655" s="7">
        <v>33861</v>
      </c>
      <c r="D655" s="8">
        <v>39457</v>
      </c>
      <c r="E655" s="6" t="s">
        <v>2600</v>
      </c>
      <c r="F655" s="6">
        <v>108135</v>
      </c>
      <c r="G655" s="6" t="s">
        <v>2610</v>
      </c>
      <c r="H655" s="6" t="s">
        <v>2617</v>
      </c>
      <c r="I655" s="6" t="s">
        <v>3076</v>
      </c>
      <c r="J655" s="6" t="s">
        <v>3304</v>
      </c>
      <c r="K655" s="6">
        <v>17</v>
      </c>
    </row>
    <row r="656" spans="1:11" x14ac:dyDescent="0.3">
      <c r="A656" s="6" t="s">
        <v>664</v>
      </c>
      <c r="B656" s="6" t="s">
        <v>1958</v>
      </c>
      <c r="C656" s="7">
        <v>25596</v>
      </c>
      <c r="D656" s="8">
        <v>29696</v>
      </c>
      <c r="E656" s="6" t="s">
        <v>2604</v>
      </c>
      <c r="F656" s="6">
        <v>131250</v>
      </c>
      <c r="G656" s="6" t="s">
        <v>2614</v>
      </c>
      <c r="H656" s="6" t="s">
        <v>2616</v>
      </c>
      <c r="I656" s="6" t="s">
        <v>2637</v>
      </c>
      <c r="J656" s="6" t="s">
        <v>3309</v>
      </c>
      <c r="K656" s="6">
        <v>44</v>
      </c>
    </row>
    <row r="657" spans="1:11" x14ac:dyDescent="0.3">
      <c r="A657" s="6" t="s">
        <v>665</v>
      </c>
      <c r="B657" s="6" t="s">
        <v>1959</v>
      </c>
      <c r="C657" s="7">
        <v>32428</v>
      </c>
      <c r="D657" s="8">
        <v>38724</v>
      </c>
      <c r="E657" s="6" t="s">
        <v>2604</v>
      </c>
      <c r="F657" s="6">
        <v>166056</v>
      </c>
      <c r="G657" s="6" t="s">
        <v>2610</v>
      </c>
      <c r="H657" s="6" t="s">
        <v>2617</v>
      </c>
      <c r="I657" s="6" t="s">
        <v>3052</v>
      </c>
      <c r="J657" s="6" t="s">
        <v>3305</v>
      </c>
      <c r="K657" s="6">
        <v>19</v>
      </c>
    </row>
    <row r="658" spans="1:11" x14ac:dyDescent="0.3">
      <c r="A658" s="6" t="s">
        <v>666</v>
      </c>
      <c r="B658" s="6" t="s">
        <v>1960</v>
      </c>
      <c r="C658" s="7">
        <v>24000</v>
      </c>
      <c r="D658" s="8">
        <v>44197</v>
      </c>
      <c r="E658" s="6" t="s">
        <v>2600</v>
      </c>
      <c r="F658" s="6">
        <v>191701</v>
      </c>
      <c r="G658" s="6" t="s">
        <v>2607</v>
      </c>
      <c r="H658" s="6" t="s">
        <v>2617</v>
      </c>
      <c r="I658" s="6" t="s">
        <v>2657</v>
      </c>
      <c r="J658" s="6" t="s">
        <v>3305</v>
      </c>
      <c r="K658" s="6">
        <v>4</v>
      </c>
    </row>
    <row r="659" spans="1:11" x14ac:dyDescent="0.3">
      <c r="A659" s="6" t="s">
        <v>667</v>
      </c>
      <c r="B659" s="6" t="s">
        <v>1961</v>
      </c>
      <c r="C659" s="7">
        <v>30973</v>
      </c>
      <c r="D659" s="8">
        <v>43677</v>
      </c>
      <c r="E659" s="6" t="s">
        <v>2605</v>
      </c>
      <c r="F659" s="6">
        <v>91347</v>
      </c>
      <c r="G659" s="6" t="s">
        <v>2611</v>
      </c>
      <c r="H659" s="6" t="s">
        <v>2617</v>
      </c>
      <c r="I659" s="6" t="s">
        <v>3077</v>
      </c>
      <c r="J659" s="6" t="s">
        <v>3310</v>
      </c>
      <c r="K659" s="6">
        <v>6</v>
      </c>
    </row>
    <row r="660" spans="1:11" x14ac:dyDescent="0.3">
      <c r="A660" s="6" t="s">
        <v>668</v>
      </c>
      <c r="B660" s="6" t="s">
        <v>1962</v>
      </c>
      <c r="C660" s="7">
        <v>37566</v>
      </c>
      <c r="D660" s="8">
        <v>34870</v>
      </c>
      <c r="E660" s="6" t="s">
        <v>2603</v>
      </c>
      <c r="F660" s="6">
        <v>59445</v>
      </c>
      <c r="G660" s="6" t="s">
        <v>2607</v>
      </c>
      <c r="H660" s="6" t="s">
        <v>2616</v>
      </c>
      <c r="I660" s="6" t="s">
        <v>2664</v>
      </c>
      <c r="J660" s="6" t="s">
        <v>3308</v>
      </c>
      <c r="K660" s="6">
        <v>30</v>
      </c>
    </row>
    <row r="661" spans="1:11" x14ac:dyDescent="0.3">
      <c r="A661" s="6" t="s">
        <v>669</v>
      </c>
      <c r="B661" s="6" t="s">
        <v>1963</v>
      </c>
      <c r="C661" s="7">
        <v>23977</v>
      </c>
      <c r="D661" s="8">
        <v>28664</v>
      </c>
      <c r="E661" s="6" t="s">
        <v>2601</v>
      </c>
      <c r="F661" s="6">
        <v>44660</v>
      </c>
      <c r="G661" s="6" t="s">
        <v>2608</v>
      </c>
      <c r="H661" s="6" t="s">
        <v>2617</v>
      </c>
      <c r="I661" s="6" t="s">
        <v>2906</v>
      </c>
      <c r="J661" s="6" t="s">
        <v>3310</v>
      </c>
      <c r="K661" s="6">
        <v>47</v>
      </c>
    </row>
    <row r="662" spans="1:11" x14ac:dyDescent="0.3">
      <c r="A662" s="6" t="s">
        <v>670</v>
      </c>
      <c r="B662" s="6" t="s">
        <v>1964</v>
      </c>
      <c r="C662" s="7">
        <v>25473</v>
      </c>
      <c r="D662" s="8">
        <v>32604</v>
      </c>
      <c r="E662" s="6" t="s">
        <v>2604</v>
      </c>
      <c r="F662" s="6">
        <v>190280</v>
      </c>
      <c r="G662" s="6" t="s">
        <v>2615</v>
      </c>
      <c r="H662" s="6" t="s">
        <v>2616</v>
      </c>
      <c r="I662" s="6" t="s">
        <v>2876</v>
      </c>
      <c r="J662" s="6" t="s">
        <v>3310</v>
      </c>
      <c r="K662" s="6">
        <v>36</v>
      </c>
    </row>
    <row r="663" spans="1:11" x14ac:dyDescent="0.3">
      <c r="A663" s="6" t="s">
        <v>671</v>
      </c>
      <c r="B663" s="6" t="s">
        <v>1965</v>
      </c>
      <c r="C663" s="7">
        <v>27997</v>
      </c>
      <c r="D663" s="8">
        <v>40472</v>
      </c>
      <c r="E663" s="6" t="s">
        <v>2603</v>
      </c>
      <c r="F663" s="6">
        <v>164348</v>
      </c>
      <c r="G663" s="6" t="s">
        <v>2614</v>
      </c>
      <c r="H663" s="6" t="s">
        <v>2616</v>
      </c>
      <c r="I663" s="6" t="s">
        <v>3078</v>
      </c>
      <c r="J663" s="6" t="s">
        <v>3310</v>
      </c>
      <c r="K663" s="6">
        <v>15</v>
      </c>
    </row>
    <row r="664" spans="1:11" x14ac:dyDescent="0.3">
      <c r="A664" s="6" t="s">
        <v>672</v>
      </c>
      <c r="B664" s="6" t="s">
        <v>1966</v>
      </c>
      <c r="C664" s="7">
        <v>22272</v>
      </c>
      <c r="D664" s="8">
        <v>44160</v>
      </c>
      <c r="E664" s="6" t="s">
        <v>2600</v>
      </c>
      <c r="F664" s="6">
        <v>155208</v>
      </c>
      <c r="G664" s="6" t="s">
        <v>2614</v>
      </c>
      <c r="H664" s="6" t="s">
        <v>2617</v>
      </c>
      <c r="I664" s="6" t="s">
        <v>2927</v>
      </c>
      <c r="J664" s="6" t="s">
        <v>3304</v>
      </c>
      <c r="K664" s="6">
        <v>5</v>
      </c>
    </row>
    <row r="665" spans="1:11" x14ac:dyDescent="0.3">
      <c r="A665" s="6" t="s">
        <v>673</v>
      </c>
      <c r="B665" s="6" t="s">
        <v>1967</v>
      </c>
      <c r="C665" s="7">
        <v>35080</v>
      </c>
      <c r="D665" s="8">
        <v>32543</v>
      </c>
      <c r="E665" s="6" t="s">
        <v>2601</v>
      </c>
      <c r="F665" s="6">
        <v>24766</v>
      </c>
      <c r="G665" s="6" t="s">
        <v>2612</v>
      </c>
      <c r="H665" s="6" t="s">
        <v>2616</v>
      </c>
      <c r="I665" s="6" t="s">
        <v>3079</v>
      </c>
      <c r="J665" s="6" t="s">
        <v>3308</v>
      </c>
      <c r="K665" s="6">
        <v>36</v>
      </c>
    </row>
    <row r="666" spans="1:11" x14ac:dyDescent="0.3">
      <c r="A666" s="6" t="s">
        <v>674</v>
      </c>
      <c r="B666" s="6" t="s">
        <v>1968</v>
      </c>
      <c r="C666" s="7">
        <v>31100</v>
      </c>
      <c r="D666" s="8">
        <v>30609</v>
      </c>
      <c r="E666" s="6" t="s">
        <v>2604</v>
      </c>
      <c r="F666" s="6">
        <v>21391</v>
      </c>
      <c r="G666" s="6" t="s">
        <v>2606</v>
      </c>
      <c r="H666" s="6" t="s">
        <v>2617</v>
      </c>
      <c r="I666" s="6" t="s">
        <v>2953</v>
      </c>
      <c r="J666" s="6" t="s">
        <v>3305</v>
      </c>
      <c r="K666" s="6">
        <v>42</v>
      </c>
    </row>
    <row r="667" spans="1:11" x14ac:dyDescent="0.3">
      <c r="A667" s="6" t="s">
        <v>675</v>
      </c>
      <c r="B667" s="6" t="s">
        <v>1969</v>
      </c>
      <c r="C667" s="7">
        <v>32045</v>
      </c>
      <c r="D667" s="8">
        <v>30022</v>
      </c>
      <c r="E667" s="6" t="s">
        <v>2605</v>
      </c>
      <c r="F667" s="6">
        <v>28194</v>
      </c>
      <c r="G667" s="6" t="s">
        <v>2609</v>
      </c>
      <c r="H667" s="6" t="s">
        <v>2617</v>
      </c>
      <c r="I667" s="6" t="s">
        <v>2690</v>
      </c>
      <c r="J667" s="6" t="s">
        <v>3309</v>
      </c>
      <c r="K667" s="6">
        <v>43</v>
      </c>
    </row>
    <row r="668" spans="1:11" x14ac:dyDescent="0.3">
      <c r="A668" s="6" t="s">
        <v>676</v>
      </c>
      <c r="B668" s="6" t="s">
        <v>1970</v>
      </c>
      <c r="C668" s="7">
        <v>34507</v>
      </c>
      <c r="D668" s="8">
        <v>35009</v>
      </c>
      <c r="E668" s="6" t="s">
        <v>2599</v>
      </c>
      <c r="F668" s="6">
        <v>41829</v>
      </c>
      <c r="G668" s="6" t="s">
        <v>2607</v>
      </c>
      <c r="H668" s="6" t="s">
        <v>2617</v>
      </c>
      <c r="I668" s="6" t="s">
        <v>3080</v>
      </c>
      <c r="J668" s="6" t="s">
        <v>3308</v>
      </c>
      <c r="K668" s="6">
        <v>30</v>
      </c>
    </row>
    <row r="669" spans="1:11" x14ac:dyDescent="0.3">
      <c r="A669" s="6" t="s">
        <v>677</v>
      </c>
      <c r="B669" s="6" t="s">
        <v>1971</v>
      </c>
      <c r="C669" s="7">
        <v>32993</v>
      </c>
      <c r="D669" s="8">
        <v>43731</v>
      </c>
      <c r="E669" s="6" t="s">
        <v>2604</v>
      </c>
      <c r="F669" s="6">
        <v>57851</v>
      </c>
      <c r="G669" s="6" t="s">
        <v>2607</v>
      </c>
      <c r="H669" s="6" t="s">
        <v>2617</v>
      </c>
      <c r="I669" s="6" t="s">
        <v>3081</v>
      </c>
      <c r="J669" s="6" t="s">
        <v>3308</v>
      </c>
      <c r="K669" s="6">
        <v>6</v>
      </c>
    </row>
    <row r="670" spans="1:11" x14ac:dyDescent="0.3">
      <c r="A670" s="6" t="s">
        <v>678</v>
      </c>
      <c r="B670" s="6" t="s">
        <v>1972</v>
      </c>
      <c r="C670" s="7">
        <v>36480</v>
      </c>
      <c r="D670" s="8">
        <v>34845</v>
      </c>
      <c r="E670" s="6" t="s">
        <v>2605</v>
      </c>
      <c r="F670" s="6">
        <v>194247</v>
      </c>
      <c r="G670" s="6" t="s">
        <v>2610</v>
      </c>
      <c r="H670" s="6" t="s">
        <v>2616</v>
      </c>
      <c r="I670" s="6" t="s">
        <v>2925</v>
      </c>
      <c r="J670" s="6" t="s">
        <v>3310</v>
      </c>
      <c r="K670" s="6">
        <v>30</v>
      </c>
    </row>
    <row r="671" spans="1:11" x14ac:dyDescent="0.3">
      <c r="A671" s="6" t="s">
        <v>679</v>
      </c>
      <c r="B671" s="6" t="s">
        <v>1973</v>
      </c>
      <c r="C671" s="7">
        <v>28319</v>
      </c>
      <c r="D671" s="8">
        <v>42990</v>
      </c>
      <c r="E671" s="6" t="s">
        <v>2605</v>
      </c>
      <c r="F671" s="6">
        <v>158948</v>
      </c>
      <c r="G671" s="6" t="s">
        <v>2606</v>
      </c>
      <c r="H671" s="6" t="s">
        <v>2616</v>
      </c>
      <c r="I671" s="6" t="s">
        <v>2710</v>
      </c>
      <c r="J671" s="6" t="s">
        <v>3308</v>
      </c>
      <c r="K671" s="6">
        <v>8</v>
      </c>
    </row>
    <row r="672" spans="1:11" x14ac:dyDescent="0.3">
      <c r="A672" s="6" t="s">
        <v>680</v>
      </c>
      <c r="B672" s="6" t="s">
        <v>1974</v>
      </c>
      <c r="C672" s="7">
        <v>35591</v>
      </c>
      <c r="D672" s="8">
        <v>26963</v>
      </c>
      <c r="E672" s="6" t="s">
        <v>2602</v>
      </c>
      <c r="F672" s="6">
        <v>181689</v>
      </c>
      <c r="G672" s="6" t="s">
        <v>2608</v>
      </c>
      <c r="H672" s="6" t="s">
        <v>2616</v>
      </c>
      <c r="I672" s="6" t="s">
        <v>2839</v>
      </c>
      <c r="J672" s="6" t="s">
        <v>3306</v>
      </c>
      <c r="K672" s="6">
        <v>52</v>
      </c>
    </row>
    <row r="673" spans="1:11" x14ac:dyDescent="0.3">
      <c r="A673" s="6" t="s">
        <v>681</v>
      </c>
      <c r="B673" s="6" t="s">
        <v>1975</v>
      </c>
      <c r="C673" s="7">
        <v>31480</v>
      </c>
      <c r="D673" s="8">
        <v>30121</v>
      </c>
      <c r="E673" s="6" t="s">
        <v>2605</v>
      </c>
      <c r="F673" s="6">
        <v>27472</v>
      </c>
      <c r="G673" s="6" t="s">
        <v>2609</v>
      </c>
      <c r="H673" s="6" t="s">
        <v>2616</v>
      </c>
      <c r="I673" s="6" t="s">
        <v>3082</v>
      </c>
      <c r="J673" s="6" t="s">
        <v>3307</v>
      </c>
      <c r="K673" s="6">
        <v>43</v>
      </c>
    </row>
    <row r="674" spans="1:11" x14ac:dyDescent="0.3">
      <c r="A674" s="6" t="s">
        <v>682</v>
      </c>
      <c r="B674" s="6" t="s">
        <v>1976</v>
      </c>
      <c r="C674" s="7">
        <v>31086</v>
      </c>
      <c r="D674" s="8">
        <v>32440</v>
      </c>
      <c r="E674" s="6" t="s">
        <v>2602</v>
      </c>
      <c r="F674" s="6">
        <v>156192</v>
      </c>
      <c r="G674" s="6" t="s">
        <v>2615</v>
      </c>
      <c r="H674" s="6" t="s">
        <v>2617</v>
      </c>
      <c r="I674" s="6" t="s">
        <v>2627</v>
      </c>
      <c r="J674" s="6" t="s">
        <v>3309</v>
      </c>
      <c r="K674" s="6">
        <v>37</v>
      </c>
    </row>
    <row r="675" spans="1:11" x14ac:dyDescent="0.3">
      <c r="A675" s="6" t="s">
        <v>683</v>
      </c>
      <c r="B675" s="6" t="s">
        <v>1977</v>
      </c>
      <c r="C675" s="7">
        <v>28473</v>
      </c>
      <c r="D675" s="8">
        <v>27431</v>
      </c>
      <c r="E675" s="6" t="s">
        <v>2602</v>
      </c>
      <c r="F675" s="6">
        <v>153147</v>
      </c>
      <c r="G675" s="6" t="s">
        <v>2608</v>
      </c>
      <c r="H675" s="6" t="s">
        <v>2616</v>
      </c>
      <c r="I675" s="6" t="s">
        <v>3083</v>
      </c>
      <c r="J675" s="6" t="s">
        <v>3310</v>
      </c>
      <c r="K675" s="6">
        <v>50</v>
      </c>
    </row>
    <row r="676" spans="1:11" x14ac:dyDescent="0.3">
      <c r="A676" s="6" t="s">
        <v>684</v>
      </c>
      <c r="B676" s="6" t="s">
        <v>1978</v>
      </c>
      <c r="C676" s="7">
        <v>35304</v>
      </c>
      <c r="D676" s="8">
        <v>41220</v>
      </c>
      <c r="E676" s="6" t="s">
        <v>2605</v>
      </c>
      <c r="F676" s="6">
        <v>58070</v>
      </c>
      <c r="G676" s="6" t="s">
        <v>2612</v>
      </c>
      <c r="H676" s="6" t="s">
        <v>2616</v>
      </c>
      <c r="I676" s="6" t="s">
        <v>3084</v>
      </c>
      <c r="J676" s="6" t="s">
        <v>3304</v>
      </c>
      <c r="K676" s="6">
        <v>13</v>
      </c>
    </row>
    <row r="677" spans="1:11" x14ac:dyDescent="0.3">
      <c r="A677" s="6" t="s">
        <v>685</v>
      </c>
      <c r="B677" s="6" t="s">
        <v>1979</v>
      </c>
      <c r="C677" s="7">
        <v>25944</v>
      </c>
      <c r="D677" s="8">
        <v>31681</v>
      </c>
      <c r="E677" s="6" t="s">
        <v>2600</v>
      </c>
      <c r="F677" s="6">
        <v>192542</v>
      </c>
      <c r="G677" s="6" t="s">
        <v>2611</v>
      </c>
      <c r="H677" s="6" t="s">
        <v>2616</v>
      </c>
      <c r="I677" s="6" t="s">
        <v>3085</v>
      </c>
      <c r="J677" s="6" t="s">
        <v>3305</v>
      </c>
      <c r="K677" s="6">
        <v>39</v>
      </c>
    </row>
    <row r="678" spans="1:11" x14ac:dyDescent="0.3">
      <c r="A678" s="6" t="s">
        <v>686</v>
      </c>
      <c r="B678" s="6" t="s">
        <v>1980</v>
      </c>
      <c r="C678" s="7">
        <v>27325</v>
      </c>
      <c r="D678" s="8">
        <v>42816</v>
      </c>
      <c r="E678" s="6" t="s">
        <v>2601</v>
      </c>
      <c r="F678" s="6">
        <v>187789</v>
      </c>
      <c r="G678" s="6" t="s">
        <v>2607</v>
      </c>
      <c r="H678" s="6" t="s">
        <v>2617</v>
      </c>
      <c r="I678" s="6" t="s">
        <v>3086</v>
      </c>
      <c r="J678" s="6" t="s">
        <v>3307</v>
      </c>
      <c r="K678" s="6">
        <v>8</v>
      </c>
    </row>
    <row r="679" spans="1:11" x14ac:dyDescent="0.3">
      <c r="A679" s="6" t="s">
        <v>687</v>
      </c>
      <c r="B679" s="6" t="s">
        <v>1981</v>
      </c>
      <c r="C679" s="7">
        <v>32265</v>
      </c>
      <c r="D679" s="8">
        <v>42364</v>
      </c>
      <c r="E679" s="6" t="s">
        <v>2603</v>
      </c>
      <c r="F679" s="6">
        <v>47765</v>
      </c>
      <c r="G679" s="6" t="s">
        <v>2615</v>
      </c>
      <c r="H679" s="6" t="s">
        <v>2616</v>
      </c>
      <c r="I679" s="6" t="s">
        <v>3063</v>
      </c>
      <c r="J679" s="6" t="s">
        <v>3307</v>
      </c>
      <c r="K679" s="6">
        <v>10</v>
      </c>
    </row>
    <row r="680" spans="1:11" x14ac:dyDescent="0.3">
      <c r="A680" s="6" t="s">
        <v>688</v>
      </c>
      <c r="B680" s="6" t="s">
        <v>1982</v>
      </c>
      <c r="C680" s="7">
        <v>22921</v>
      </c>
      <c r="D680" s="8">
        <v>39417</v>
      </c>
      <c r="E680" s="6" t="s">
        <v>2602</v>
      </c>
      <c r="F680" s="6">
        <v>167034</v>
      </c>
      <c r="G680" s="6" t="s">
        <v>2613</v>
      </c>
      <c r="H680" s="6" t="s">
        <v>2616</v>
      </c>
      <c r="I680" s="6" t="s">
        <v>2681</v>
      </c>
      <c r="J680" s="6" t="s">
        <v>3307</v>
      </c>
      <c r="K680" s="6">
        <v>18</v>
      </c>
    </row>
    <row r="681" spans="1:11" x14ac:dyDescent="0.3">
      <c r="A681" s="6" t="s">
        <v>689</v>
      </c>
      <c r="B681" s="6" t="s">
        <v>1983</v>
      </c>
      <c r="C681" s="7">
        <v>35671</v>
      </c>
      <c r="D681" s="8">
        <v>25709</v>
      </c>
      <c r="E681" s="6" t="s">
        <v>2602</v>
      </c>
      <c r="F681" s="6">
        <v>185949</v>
      </c>
      <c r="G681" s="6" t="s">
        <v>2606</v>
      </c>
      <c r="H681" s="6" t="s">
        <v>2617</v>
      </c>
      <c r="I681" s="6" t="s">
        <v>3087</v>
      </c>
      <c r="J681" s="6" t="s">
        <v>3307</v>
      </c>
      <c r="K681" s="6">
        <v>55</v>
      </c>
    </row>
    <row r="682" spans="1:11" x14ac:dyDescent="0.3">
      <c r="A682" s="6" t="s">
        <v>690</v>
      </c>
      <c r="B682" s="6" t="s">
        <v>1984</v>
      </c>
      <c r="C682" s="7">
        <v>31855</v>
      </c>
      <c r="D682" s="8">
        <v>31074</v>
      </c>
      <c r="E682" s="6" t="s">
        <v>2600</v>
      </c>
      <c r="F682" s="6">
        <v>82540</v>
      </c>
      <c r="G682" s="6" t="s">
        <v>2614</v>
      </c>
      <c r="H682" s="6" t="s">
        <v>2617</v>
      </c>
      <c r="I682" s="6" t="s">
        <v>2768</v>
      </c>
      <c r="J682" s="6" t="s">
        <v>3305</v>
      </c>
      <c r="K682" s="6">
        <v>40</v>
      </c>
    </row>
    <row r="683" spans="1:11" x14ac:dyDescent="0.3">
      <c r="A683" s="6" t="s">
        <v>691</v>
      </c>
      <c r="B683" s="6" t="s">
        <v>1985</v>
      </c>
      <c r="C683" s="7">
        <v>34445</v>
      </c>
      <c r="D683" s="8">
        <v>44160</v>
      </c>
      <c r="E683" s="6" t="s">
        <v>2605</v>
      </c>
      <c r="F683" s="6">
        <v>27995</v>
      </c>
      <c r="G683" s="6" t="s">
        <v>2608</v>
      </c>
      <c r="H683" s="6" t="s">
        <v>2617</v>
      </c>
      <c r="I683" s="6" t="s">
        <v>2756</v>
      </c>
      <c r="J683" s="6" t="s">
        <v>3309</v>
      </c>
      <c r="K683" s="6">
        <v>5</v>
      </c>
    </row>
    <row r="684" spans="1:11" x14ac:dyDescent="0.3">
      <c r="A684" s="6" t="s">
        <v>692</v>
      </c>
      <c r="B684" s="6" t="s">
        <v>1986</v>
      </c>
      <c r="C684" s="7">
        <v>26168</v>
      </c>
      <c r="D684" s="8">
        <v>33114</v>
      </c>
      <c r="E684" s="6" t="s">
        <v>2599</v>
      </c>
      <c r="F684" s="6">
        <v>34879</v>
      </c>
      <c r="G684" s="6" t="s">
        <v>2608</v>
      </c>
      <c r="H684" s="6" t="s">
        <v>2616</v>
      </c>
      <c r="I684" s="6" t="s">
        <v>3088</v>
      </c>
      <c r="J684" s="6" t="s">
        <v>3308</v>
      </c>
      <c r="K684" s="6">
        <v>35</v>
      </c>
    </row>
    <row r="685" spans="1:11" x14ac:dyDescent="0.3">
      <c r="A685" s="6" t="s">
        <v>693</v>
      </c>
      <c r="B685" s="6" t="s">
        <v>1987</v>
      </c>
      <c r="C685" s="7">
        <v>31789</v>
      </c>
      <c r="D685" s="8">
        <v>31619</v>
      </c>
      <c r="E685" s="6" t="s">
        <v>2605</v>
      </c>
      <c r="F685" s="6">
        <v>120072</v>
      </c>
      <c r="G685" s="6" t="s">
        <v>2608</v>
      </c>
      <c r="H685" s="6" t="s">
        <v>2616</v>
      </c>
      <c r="I685" s="6" t="s">
        <v>3089</v>
      </c>
      <c r="J685" s="6" t="s">
        <v>3308</v>
      </c>
      <c r="K685" s="6">
        <v>39</v>
      </c>
    </row>
    <row r="686" spans="1:11" x14ac:dyDescent="0.3">
      <c r="A686" s="6" t="s">
        <v>694</v>
      </c>
      <c r="B686" s="6" t="s">
        <v>1988</v>
      </c>
      <c r="C686" s="7">
        <v>27878</v>
      </c>
      <c r="D686" s="8">
        <v>27524</v>
      </c>
      <c r="E686" s="6" t="s">
        <v>2600</v>
      </c>
      <c r="F686" s="6">
        <v>146385</v>
      </c>
      <c r="G686" s="6" t="s">
        <v>2613</v>
      </c>
      <c r="H686" s="6" t="s">
        <v>2617</v>
      </c>
      <c r="I686" s="6" t="s">
        <v>3090</v>
      </c>
      <c r="J686" s="6" t="s">
        <v>3309</v>
      </c>
      <c r="K686" s="6">
        <v>50</v>
      </c>
    </row>
    <row r="687" spans="1:11" x14ac:dyDescent="0.3">
      <c r="A687" s="6" t="s">
        <v>695</v>
      </c>
      <c r="B687" s="6" t="s">
        <v>1989</v>
      </c>
      <c r="C687" s="7">
        <v>36535</v>
      </c>
      <c r="D687" s="8">
        <v>31945</v>
      </c>
      <c r="E687" s="6" t="s">
        <v>2599</v>
      </c>
      <c r="F687" s="6">
        <v>151939</v>
      </c>
      <c r="G687" s="6" t="s">
        <v>2607</v>
      </c>
      <c r="H687" s="6" t="s">
        <v>2616</v>
      </c>
      <c r="I687" s="6" t="s">
        <v>3091</v>
      </c>
      <c r="J687" s="6" t="s">
        <v>3310</v>
      </c>
      <c r="K687" s="6">
        <v>38</v>
      </c>
    </row>
    <row r="688" spans="1:11" x14ac:dyDescent="0.3">
      <c r="A688" s="6" t="s">
        <v>696</v>
      </c>
      <c r="B688" s="6" t="s">
        <v>1990</v>
      </c>
      <c r="C688" s="7">
        <v>27484</v>
      </c>
      <c r="D688" s="8">
        <v>43906</v>
      </c>
      <c r="E688" s="6" t="s">
        <v>2605</v>
      </c>
      <c r="F688" s="6">
        <v>189293</v>
      </c>
      <c r="G688" s="6" t="s">
        <v>2611</v>
      </c>
      <c r="H688" s="6" t="s">
        <v>2617</v>
      </c>
      <c r="I688" s="6" t="s">
        <v>2780</v>
      </c>
      <c r="J688" s="6" t="s">
        <v>3308</v>
      </c>
      <c r="K688" s="6">
        <v>5</v>
      </c>
    </row>
    <row r="689" spans="1:11" x14ac:dyDescent="0.3">
      <c r="A689" s="6" t="s">
        <v>697</v>
      </c>
      <c r="B689" s="6" t="s">
        <v>1991</v>
      </c>
      <c r="C689" s="7">
        <v>32611</v>
      </c>
      <c r="D689" s="8">
        <v>38109</v>
      </c>
      <c r="E689" s="6" t="s">
        <v>2601</v>
      </c>
      <c r="F689" s="6">
        <v>95332</v>
      </c>
      <c r="G689" s="6" t="s">
        <v>2608</v>
      </c>
      <c r="H689" s="6" t="s">
        <v>2616</v>
      </c>
      <c r="I689" s="6" t="s">
        <v>2710</v>
      </c>
      <c r="J689" s="6" t="s">
        <v>3307</v>
      </c>
      <c r="K689" s="6">
        <v>21</v>
      </c>
    </row>
    <row r="690" spans="1:11" x14ac:dyDescent="0.3">
      <c r="A690" s="6" t="s">
        <v>698</v>
      </c>
      <c r="B690" s="6" t="s">
        <v>1992</v>
      </c>
      <c r="C690" s="7">
        <v>23888</v>
      </c>
      <c r="D690" s="8">
        <v>40385</v>
      </c>
      <c r="E690" s="6" t="s">
        <v>2601</v>
      </c>
      <c r="F690" s="6">
        <v>158878</v>
      </c>
      <c r="G690" s="6" t="s">
        <v>2613</v>
      </c>
      <c r="H690" s="6" t="s">
        <v>2616</v>
      </c>
      <c r="I690" s="6" t="s">
        <v>3092</v>
      </c>
      <c r="J690" s="6" t="s">
        <v>3306</v>
      </c>
      <c r="K690" s="6">
        <v>15</v>
      </c>
    </row>
    <row r="691" spans="1:11" x14ac:dyDescent="0.3">
      <c r="A691" s="6" t="s">
        <v>699</v>
      </c>
      <c r="B691" s="6" t="s">
        <v>1993</v>
      </c>
      <c r="C691" s="7">
        <v>37021</v>
      </c>
      <c r="D691" s="8">
        <v>35132</v>
      </c>
      <c r="E691" s="6" t="s">
        <v>2605</v>
      </c>
      <c r="F691" s="6">
        <v>156965</v>
      </c>
      <c r="G691" s="6" t="s">
        <v>2615</v>
      </c>
      <c r="H691" s="6" t="s">
        <v>2616</v>
      </c>
      <c r="I691" s="6" t="s">
        <v>3005</v>
      </c>
      <c r="J691" s="6" t="s">
        <v>3305</v>
      </c>
      <c r="K691" s="6">
        <v>29</v>
      </c>
    </row>
    <row r="692" spans="1:11" x14ac:dyDescent="0.3">
      <c r="A692" s="6" t="s">
        <v>700</v>
      </c>
      <c r="B692" s="6" t="s">
        <v>1994</v>
      </c>
      <c r="C692" s="7">
        <v>32825</v>
      </c>
      <c r="D692" s="8">
        <v>39773</v>
      </c>
      <c r="E692" s="6" t="s">
        <v>2603</v>
      </c>
      <c r="F692" s="6">
        <v>84433</v>
      </c>
      <c r="G692" s="6" t="s">
        <v>2611</v>
      </c>
      <c r="H692" s="6" t="s">
        <v>2617</v>
      </c>
      <c r="I692" s="6" t="s">
        <v>2981</v>
      </c>
      <c r="J692" s="6" t="s">
        <v>3307</v>
      </c>
      <c r="K692" s="6">
        <v>17</v>
      </c>
    </row>
    <row r="693" spans="1:11" x14ac:dyDescent="0.3">
      <c r="A693" s="6" t="s">
        <v>701</v>
      </c>
      <c r="B693" s="6" t="s">
        <v>1995</v>
      </c>
      <c r="C693" s="7">
        <v>35974</v>
      </c>
      <c r="D693" s="8">
        <v>37182</v>
      </c>
      <c r="E693" s="6" t="s">
        <v>2605</v>
      </c>
      <c r="F693" s="6">
        <v>45619</v>
      </c>
      <c r="G693" s="6" t="s">
        <v>2613</v>
      </c>
      <c r="H693" s="6" t="s">
        <v>2616</v>
      </c>
      <c r="I693" s="6" t="s">
        <v>3093</v>
      </c>
      <c r="J693" s="6" t="s">
        <v>3308</v>
      </c>
      <c r="K693" s="6">
        <v>24</v>
      </c>
    </row>
    <row r="694" spans="1:11" x14ac:dyDescent="0.3">
      <c r="A694" s="6" t="s">
        <v>702</v>
      </c>
      <c r="B694" s="6" t="s">
        <v>1996</v>
      </c>
      <c r="C694" s="7">
        <v>31185</v>
      </c>
      <c r="D694" s="8">
        <v>39623</v>
      </c>
      <c r="E694" s="6" t="s">
        <v>2602</v>
      </c>
      <c r="F694" s="6">
        <v>127297</v>
      </c>
      <c r="G694" s="6" t="s">
        <v>2615</v>
      </c>
      <c r="H694" s="6" t="s">
        <v>2617</v>
      </c>
      <c r="I694" s="6" t="s">
        <v>3094</v>
      </c>
      <c r="J694" s="6" t="s">
        <v>3306</v>
      </c>
      <c r="K694" s="6">
        <v>17</v>
      </c>
    </row>
    <row r="695" spans="1:11" x14ac:dyDescent="0.3">
      <c r="A695" s="6" t="s">
        <v>703</v>
      </c>
      <c r="B695" s="6" t="s">
        <v>1997</v>
      </c>
      <c r="C695" s="7">
        <v>25504</v>
      </c>
      <c r="D695" s="8">
        <v>31648</v>
      </c>
      <c r="E695" s="6" t="s">
        <v>2601</v>
      </c>
      <c r="F695" s="6">
        <v>188052</v>
      </c>
      <c r="G695" s="6" t="s">
        <v>2610</v>
      </c>
      <c r="H695" s="6" t="s">
        <v>2617</v>
      </c>
      <c r="I695" s="6" t="s">
        <v>3095</v>
      </c>
      <c r="J695" s="6" t="s">
        <v>3308</v>
      </c>
      <c r="K695" s="6">
        <v>39</v>
      </c>
    </row>
    <row r="696" spans="1:11" x14ac:dyDescent="0.3">
      <c r="A696" s="6" t="s">
        <v>704</v>
      </c>
      <c r="B696" s="6" t="s">
        <v>1998</v>
      </c>
      <c r="C696" s="7">
        <v>25480</v>
      </c>
      <c r="D696" s="8">
        <v>44057</v>
      </c>
      <c r="E696" s="6" t="s">
        <v>2600</v>
      </c>
      <c r="F696" s="6">
        <v>86401</v>
      </c>
      <c r="G696" s="6" t="s">
        <v>2614</v>
      </c>
      <c r="H696" s="6" t="s">
        <v>2616</v>
      </c>
      <c r="I696" s="6" t="s">
        <v>3096</v>
      </c>
      <c r="J696" s="6" t="s">
        <v>3305</v>
      </c>
      <c r="K696" s="6">
        <v>5</v>
      </c>
    </row>
    <row r="697" spans="1:11" x14ac:dyDescent="0.3">
      <c r="A697" s="6" t="s">
        <v>705</v>
      </c>
      <c r="B697" s="6" t="s">
        <v>1999</v>
      </c>
      <c r="C697" s="7">
        <v>33874</v>
      </c>
      <c r="D697" s="8">
        <v>26499</v>
      </c>
      <c r="E697" s="6" t="s">
        <v>2604</v>
      </c>
      <c r="F697" s="6">
        <v>105665</v>
      </c>
      <c r="G697" s="6" t="s">
        <v>2615</v>
      </c>
      <c r="H697" s="6" t="s">
        <v>2616</v>
      </c>
      <c r="I697" s="6" t="s">
        <v>3097</v>
      </c>
      <c r="J697" s="6" t="s">
        <v>3304</v>
      </c>
      <c r="K697" s="6">
        <v>53</v>
      </c>
    </row>
    <row r="698" spans="1:11" x14ac:dyDescent="0.3">
      <c r="A698" s="6" t="s">
        <v>706</v>
      </c>
      <c r="B698" s="6" t="s">
        <v>2000</v>
      </c>
      <c r="C698" s="7">
        <v>25115</v>
      </c>
      <c r="D698" s="8">
        <v>35629</v>
      </c>
      <c r="E698" s="6" t="s">
        <v>2601</v>
      </c>
      <c r="F698" s="6">
        <v>60928</v>
      </c>
      <c r="G698" s="6" t="s">
        <v>2610</v>
      </c>
      <c r="H698" s="6" t="s">
        <v>2616</v>
      </c>
      <c r="I698" s="6" t="s">
        <v>2655</v>
      </c>
      <c r="J698" s="6" t="s">
        <v>3305</v>
      </c>
      <c r="K698" s="6">
        <v>28</v>
      </c>
    </row>
    <row r="699" spans="1:11" x14ac:dyDescent="0.3">
      <c r="A699" s="6" t="s">
        <v>707</v>
      </c>
      <c r="B699" s="6" t="s">
        <v>2001</v>
      </c>
      <c r="C699" s="7">
        <v>30188</v>
      </c>
      <c r="D699" s="8">
        <v>33771</v>
      </c>
      <c r="E699" s="6" t="s">
        <v>2604</v>
      </c>
      <c r="F699" s="6">
        <v>147190</v>
      </c>
      <c r="G699" s="6" t="s">
        <v>2606</v>
      </c>
      <c r="H699" s="6" t="s">
        <v>2616</v>
      </c>
      <c r="I699" s="6" t="s">
        <v>2874</v>
      </c>
      <c r="J699" s="6" t="s">
        <v>3309</v>
      </c>
      <c r="K699" s="6">
        <v>33</v>
      </c>
    </row>
    <row r="700" spans="1:11" x14ac:dyDescent="0.3">
      <c r="A700" s="6" t="s">
        <v>708</v>
      </c>
      <c r="B700" s="6" t="s">
        <v>2002</v>
      </c>
      <c r="C700" s="7">
        <v>27010</v>
      </c>
      <c r="D700" s="8">
        <v>34241</v>
      </c>
      <c r="E700" s="6" t="s">
        <v>2599</v>
      </c>
      <c r="F700" s="6">
        <v>194442</v>
      </c>
      <c r="G700" s="6" t="s">
        <v>2613</v>
      </c>
      <c r="H700" s="6" t="s">
        <v>2617</v>
      </c>
      <c r="I700" s="6" t="s">
        <v>3098</v>
      </c>
      <c r="J700" s="6" t="s">
        <v>3304</v>
      </c>
      <c r="K700" s="6">
        <v>32</v>
      </c>
    </row>
    <row r="701" spans="1:11" x14ac:dyDescent="0.3">
      <c r="A701" s="6" t="s">
        <v>709</v>
      </c>
      <c r="B701" s="6" t="s">
        <v>2003</v>
      </c>
      <c r="C701" s="7">
        <v>26668</v>
      </c>
      <c r="D701" s="8">
        <v>35810</v>
      </c>
      <c r="E701" s="6" t="s">
        <v>2605</v>
      </c>
      <c r="F701" s="6">
        <v>151751</v>
      </c>
      <c r="G701" s="6" t="s">
        <v>2612</v>
      </c>
      <c r="H701" s="6" t="s">
        <v>2617</v>
      </c>
      <c r="I701" s="6" t="s">
        <v>2874</v>
      </c>
      <c r="J701" s="6" t="s">
        <v>3307</v>
      </c>
      <c r="K701" s="6">
        <v>27</v>
      </c>
    </row>
    <row r="702" spans="1:11" x14ac:dyDescent="0.3">
      <c r="A702" s="6" t="s">
        <v>710</v>
      </c>
      <c r="B702" s="6" t="s">
        <v>2004</v>
      </c>
      <c r="C702" s="7">
        <v>22079</v>
      </c>
      <c r="D702" s="8">
        <v>32602</v>
      </c>
      <c r="E702" s="6" t="s">
        <v>2600</v>
      </c>
      <c r="F702" s="6">
        <v>170449</v>
      </c>
      <c r="G702" s="6" t="s">
        <v>2607</v>
      </c>
      <c r="H702" s="6" t="s">
        <v>2616</v>
      </c>
      <c r="I702" s="6" t="s">
        <v>3003</v>
      </c>
      <c r="J702" s="6" t="s">
        <v>3304</v>
      </c>
      <c r="K702" s="6">
        <v>36</v>
      </c>
    </row>
    <row r="703" spans="1:11" x14ac:dyDescent="0.3">
      <c r="A703" s="6" t="s">
        <v>711</v>
      </c>
      <c r="B703" s="6" t="s">
        <v>2005</v>
      </c>
      <c r="C703" s="7">
        <v>24114</v>
      </c>
      <c r="D703" s="8">
        <v>42952</v>
      </c>
      <c r="E703" s="6" t="s">
        <v>2605</v>
      </c>
      <c r="F703" s="6">
        <v>36772</v>
      </c>
      <c r="G703" s="6" t="s">
        <v>2607</v>
      </c>
      <c r="H703" s="6" t="s">
        <v>2617</v>
      </c>
      <c r="I703" s="6" t="s">
        <v>2879</v>
      </c>
      <c r="J703" s="6" t="s">
        <v>3308</v>
      </c>
      <c r="K703" s="6">
        <v>8</v>
      </c>
    </row>
    <row r="704" spans="1:11" x14ac:dyDescent="0.3">
      <c r="A704" s="6" t="s">
        <v>712</v>
      </c>
      <c r="B704" s="6" t="s">
        <v>2006</v>
      </c>
      <c r="C704" s="7">
        <v>26628</v>
      </c>
      <c r="D704" s="8">
        <v>31406</v>
      </c>
      <c r="E704" s="6" t="s">
        <v>2604</v>
      </c>
      <c r="F704" s="6">
        <v>39095</v>
      </c>
      <c r="G704" s="6" t="s">
        <v>2608</v>
      </c>
      <c r="H704" s="6" t="s">
        <v>2617</v>
      </c>
      <c r="I704" s="6" t="s">
        <v>3099</v>
      </c>
      <c r="J704" s="6" t="s">
        <v>3308</v>
      </c>
      <c r="K704" s="6">
        <v>40</v>
      </c>
    </row>
    <row r="705" spans="1:11" x14ac:dyDescent="0.3">
      <c r="A705" s="6" t="s">
        <v>713</v>
      </c>
      <c r="B705" s="6" t="s">
        <v>2007</v>
      </c>
      <c r="C705" s="7">
        <v>22735</v>
      </c>
      <c r="D705" s="8">
        <v>26514</v>
      </c>
      <c r="E705" s="6" t="s">
        <v>2601</v>
      </c>
      <c r="F705" s="6">
        <v>86640</v>
      </c>
      <c r="G705" s="6" t="s">
        <v>2609</v>
      </c>
      <c r="H705" s="6" t="s">
        <v>2617</v>
      </c>
      <c r="I705" s="6" t="s">
        <v>2659</v>
      </c>
      <c r="J705" s="6" t="s">
        <v>3304</v>
      </c>
      <c r="K705" s="6">
        <v>53</v>
      </c>
    </row>
    <row r="706" spans="1:11" x14ac:dyDescent="0.3">
      <c r="A706" s="6" t="s">
        <v>714</v>
      </c>
      <c r="B706" s="6" t="s">
        <v>2008</v>
      </c>
      <c r="C706" s="7">
        <v>23012</v>
      </c>
      <c r="D706" s="8">
        <v>26366</v>
      </c>
      <c r="E706" s="6" t="s">
        <v>2601</v>
      </c>
      <c r="F706" s="6">
        <v>96426</v>
      </c>
      <c r="G706" s="6" t="s">
        <v>2613</v>
      </c>
      <c r="H706" s="6" t="s">
        <v>2616</v>
      </c>
      <c r="I706" s="6" t="s">
        <v>2786</v>
      </c>
      <c r="J706" s="6" t="s">
        <v>3306</v>
      </c>
      <c r="K706" s="6">
        <v>53</v>
      </c>
    </row>
    <row r="707" spans="1:11" x14ac:dyDescent="0.3">
      <c r="A707" s="6" t="s">
        <v>715</v>
      </c>
      <c r="B707" s="6" t="s">
        <v>2009</v>
      </c>
      <c r="C707" s="7">
        <v>25309</v>
      </c>
      <c r="D707" s="8">
        <v>44422</v>
      </c>
      <c r="E707" s="6" t="s">
        <v>2602</v>
      </c>
      <c r="F707" s="6">
        <v>103855</v>
      </c>
      <c r="G707" s="6" t="s">
        <v>2610</v>
      </c>
      <c r="H707" s="6" t="s">
        <v>2617</v>
      </c>
      <c r="I707" s="6" t="s">
        <v>3100</v>
      </c>
      <c r="J707" s="6" t="s">
        <v>3306</v>
      </c>
      <c r="K707" s="6">
        <v>4</v>
      </c>
    </row>
    <row r="708" spans="1:11" x14ac:dyDescent="0.3">
      <c r="A708" s="6" t="s">
        <v>716</v>
      </c>
      <c r="B708" s="6" t="s">
        <v>2010</v>
      </c>
      <c r="C708" s="7">
        <v>23741</v>
      </c>
      <c r="D708" s="8">
        <v>40003</v>
      </c>
      <c r="E708" s="6" t="s">
        <v>2599</v>
      </c>
      <c r="F708" s="6">
        <v>62201</v>
      </c>
      <c r="G708" s="6" t="s">
        <v>2607</v>
      </c>
      <c r="H708" s="6" t="s">
        <v>2617</v>
      </c>
      <c r="I708" s="6" t="s">
        <v>3101</v>
      </c>
      <c r="J708" s="6" t="s">
        <v>3307</v>
      </c>
      <c r="K708" s="6">
        <v>16</v>
      </c>
    </row>
    <row r="709" spans="1:11" x14ac:dyDescent="0.3">
      <c r="A709" s="6" t="s">
        <v>717</v>
      </c>
      <c r="B709" s="6" t="s">
        <v>2011</v>
      </c>
      <c r="C709" s="7">
        <v>21796</v>
      </c>
      <c r="D709" s="8">
        <v>28393</v>
      </c>
      <c r="E709" s="6" t="s">
        <v>2601</v>
      </c>
      <c r="F709" s="6">
        <v>120888</v>
      </c>
      <c r="G709" s="6" t="s">
        <v>2613</v>
      </c>
      <c r="H709" s="6" t="s">
        <v>2617</v>
      </c>
      <c r="I709" s="6" t="s">
        <v>2869</v>
      </c>
      <c r="J709" s="6" t="s">
        <v>3304</v>
      </c>
      <c r="K709" s="6">
        <v>48</v>
      </c>
    </row>
    <row r="710" spans="1:11" x14ac:dyDescent="0.3">
      <c r="A710" s="6" t="s">
        <v>718</v>
      </c>
      <c r="B710" s="6" t="s">
        <v>2012</v>
      </c>
      <c r="C710" s="7">
        <v>24645</v>
      </c>
      <c r="D710" s="8">
        <v>36902</v>
      </c>
      <c r="E710" s="6" t="s">
        <v>2605</v>
      </c>
      <c r="F710" s="6">
        <v>166456</v>
      </c>
      <c r="G710" s="6" t="s">
        <v>2609</v>
      </c>
      <c r="H710" s="6" t="s">
        <v>2616</v>
      </c>
      <c r="I710" s="6" t="s">
        <v>2752</v>
      </c>
      <c r="J710" s="6" t="s">
        <v>3309</v>
      </c>
      <c r="K710" s="6">
        <v>24</v>
      </c>
    </row>
    <row r="711" spans="1:11" x14ac:dyDescent="0.3">
      <c r="A711" s="6" t="s">
        <v>719</v>
      </c>
      <c r="B711" s="6" t="s">
        <v>2013</v>
      </c>
      <c r="C711" s="7">
        <v>36045</v>
      </c>
      <c r="D711" s="8">
        <v>43769</v>
      </c>
      <c r="E711" s="6" t="s">
        <v>2604</v>
      </c>
      <c r="F711" s="6">
        <v>116946</v>
      </c>
      <c r="G711" s="6" t="s">
        <v>2612</v>
      </c>
      <c r="H711" s="6" t="s">
        <v>2617</v>
      </c>
      <c r="I711" s="6" t="s">
        <v>2892</v>
      </c>
      <c r="J711" s="6" t="s">
        <v>3308</v>
      </c>
      <c r="K711" s="6">
        <v>6</v>
      </c>
    </row>
    <row r="712" spans="1:11" x14ac:dyDescent="0.3">
      <c r="A712" s="6" t="s">
        <v>720</v>
      </c>
      <c r="B712" s="6" t="s">
        <v>2014</v>
      </c>
      <c r="C712" s="7">
        <v>34533</v>
      </c>
      <c r="D712" s="8">
        <v>39744</v>
      </c>
      <c r="E712" s="6" t="s">
        <v>2602</v>
      </c>
      <c r="F712" s="6">
        <v>25052</v>
      </c>
      <c r="G712" s="6" t="s">
        <v>2611</v>
      </c>
      <c r="H712" s="6" t="s">
        <v>2616</v>
      </c>
      <c r="I712" s="6" t="s">
        <v>3102</v>
      </c>
      <c r="J712" s="6" t="s">
        <v>3306</v>
      </c>
      <c r="K712" s="6">
        <v>17</v>
      </c>
    </row>
    <row r="713" spans="1:11" x14ac:dyDescent="0.3">
      <c r="A713" s="6" t="s">
        <v>721</v>
      </c>
      <c r="B713" s="6" t="s">
        <v>2015</v>
      </c>
      <c r="C713" s="7">
        <v>33789</v>
      </c>
      <c r="D713" s="8">
        <v>35244</v>
      </c>
      <c r="E713" s="6" t="s">
        <v>2599</v>
      </c>
      <c r="F713" s="6">
        <v>111939</v>
      </c>
      <c r="G713" s="6" t="s">
        <v>2615</v>
      </c>
      <c r="H713" s="6" t="s">
        <v>2617</v>
      </c>
      <c r="I713" s="6" t="s">
        <v>2817</v>
      </c>
      <c r="J713" s="6" t="s">
        <v>3305</v>
      </c>
      <c r="K713" s="6">
        <v>29</v>
      </c>
    </row>
    <row r="714" spans="1:11" x14ac:dyDescent="0.3">
      <c r="A714" s="6" t="s">
        <v>722</v>
      </c>
      <c r="B714" s="6" t="s">
        <v>2016</v>
      </c>
      <c r="C714" s="7">
        <v>29288</v>
      </c>
      <c r="D714" s="8">
        <v>27596</v>
      </c>
      <c r="E714" s="6" t="s">
        <v>2605</v>
      </c>
      <c r="F714" s="6">
        <v>26139</v>
      </c>
      <c r="G714" s="6" t="s">
        <v>2609</v>
      </c>
      <c r="H714" s="6" t="s">
        <v>2616</v>
      </c>
      <c r="I714" s="6" t="s">
        <v>2644</v>
      </c>
      <c r="J714" s="6" t="s">
        <v>3304</v>
      </c>
      <c r="K714" s="6">
        <v>50</v>
      </c>
    </row>
    <row r="715" spans="1:11" x14ac:dyDescent="0.3">
      <c r="A715" s="6" t="s">
        <v>723</v>
      </c>
      <c r="B715" s="6" t="s">
        <v>2017</v>
      </c>
      <c r="C715" s="7">
        <v>22939</v>
      </c>
      <c r="D715" s="8">
        <v>32922</v>
      </c>
      <c r="E715" s="6" t="s">
        <v>2604</v>
      </c>
      <c r="F715" s="6">
        <v>25580</v>
      </c>
      <c r="G715" s="6" t="s">
        <v>2610</v>
      </c>
      <c r="H715" s="6" t="s">
        <v>2616</v>
      </c>
      <c r="I715" s="6" t="s">
        <v>3103</v>
      </c>
      <c r="J715" s="6" t="s">
        <v>3308</v>
      </c>
      <c r="K715" s="6">
        <v>35</v>
      </c>
    </row>
    <row r="716" spans="1:11" x14ac:dyDescent="0.3">
      <c r="A716" s="6" t="s">
        <v>724</v>
      </c>
      <c r="B716" s="6" t="s">
        <v>2018</v>
      </c>
      <c r="C716" s="7">
        <v>36163</v>
      </c>
      <c r="D716" s="8">
        <v>31170</v>
      </c>
      <c r="E716" s="6" t="s">
        <v>2600</v>
      </c>
      <c r="F716" s="6">
        <v>188480</v>
      </c>
      <c r="G716" s="6" t="s">
        <v>2615</v>
      </c>
      <c r="H716" s="6" t="s">
        <v>2616</v>
      </c>
      <c r="I716" s="6" t="s">
        <v>3104</v>
      </c>
      <c r="J716" s="6" t="s">
        <v>3310</v>
      </c>
      <c r="K716" s="6">
        <v>40</v>
      </c>
    </row>
    <row r="717" spans="1:11" x14ac:dyDescent="0.3">
      <c r="A717" s="6" t="s">
        <v>725</v>
      </c>
      <c r="B717" s="6" t="s">
        <v>2019</v>
      </c>
      <c r="C717" s="7">
        <v>36075</v>
      </c>
      <c r="D717" s="8">
        <v>32367</v>
      </c>
      <c r="E717" s="6" t="s">
        <v>2605</v>
      </c>
      <c r="F717" s="6">
        <v>177666</v>
      </c>
      <c r="G717" s="6" t="s">
        <v>2612</v>
      </c>
      <c r="H717" s="6" t="s">
        <v>2617</v>
      </c>
      <c r="I717" s="6" t="s">
        <v>2671</v>
      </c>
      <c r="J717" s="6" t="s">
        <v>3310</v>
      </c>
      <c r="K717" s="6">
        <v>37</v>
      </c>
    </row>
    <row r="718" spans="1:11" x14ac:dyDescent="0.3">
      <c r="A718" s="6" t="s">
        <v>726</v>
      </c>
      <c r="B718" s="6" t="s">
        <v>1570</v>
      </c>
      <c r="C718" s="7">
        <v>31345</v>
      </c>
      <c r="D718" s="8">
        <v>42142</v>
      </c>
      <c r="E718" s="6" t="s">
        <v>2600</v>
      </c>
      <c r="F718" s="6">
        <v>160253</v>
      </c>
      <c r="G718" s="6" t="s">
        <v>2607</v>
      </c>
      <c r="H718" s="6" t="s">
        <v>2616</v>
      </c>
      <c r="I718" s="6" t="s">
        <v>3041</v>
      </c>
      <c r="J718" s="6" t="s">
        <v>3308</v>
      </c>
      <c r="K718" s="6">
        <v>10</v>
      </c>
    </row>
    <row r="719" spans="1:11" x14ac:dyDescent="0.3">
      <c r="A719" s="6" t="s">
        <v>727</v>
      </c>
      <c r="B719" s="6" t="s">
        <v>2020</v>
      </c>
      <c r="C719" s="7">
        <v>26974</v>
      </c>
      <c r="D719" s="8">
        <v>32922</v>
      </c>
      <c r="E719" s="6" t="s">
        <v>2601</v>
      </c>
      <c r="F719" s="6">
        <v>144045</v>
      </c>
      <c r="G719" s="6" t="s">
        <v>2614</v>
      </c>
      <c r="H719" s="6" t="s">
        <v>2616</v>
      </c>
      <c r="I719" s="6" t="s">
        <v>2997</v>
      </c>
      <c r="J719" s="6" t="s">
        <v>3304</v>
      </c>
      <c r="K719" s="6">
        <v>35</v>
      </c>
    </row>
    <row r="720" spans="1:11" x14ac:dyDescent="0.3">
      <c r="A720" s="6" t="s">
        <v>728</v>
      </c>
      <c r="B720" s="6" t="s">
        <v>2021</v>
      </c>
      <c r="C720" s="7">
        <v>23564</v>
      </c>
      <c r="D720" s="8">
        <v>28779</v>
      </c>
      <c r="E720" s="6" t="s">
        <v>2602</v>
      </c>
      <c r="F720" s="6">
        <v>71965</v>
      </c>
      <c r="G720" s="6" t="s">
        <v>2614</v>
      </c>
      <c r="H720" s="6" t="s">
        <v>2616</v>
      </c>
      <c r="I720" s="6" t="s">
        <v>3105</v>
      </c>
      <c r="J720" s="6" t="s">
        <v>3310</v>
      </c>
      <c r="K720" s="6">
        <v>47</v>
      </c>
    </row>
    <row r="721" spans="1:11" x14ac:dyDescent="0.3">
      <c r="A721" s="6" t="s">
        <v>729</v>
      </c>
      <c r="B721" s="6" t="s">
        <v>2022</v>
      </c>
      <c r="C721" s="7">
        <v>26187</v>
      </c>
      <c r="D721" s="8">
        <v>32838</v>
      </c>
      <c r="E721" s="6" t="s">
        <v>2605</v>
      </c>
      <c r="F721" s="6">
        <v>147791</v>
      </c>
      <c r="G721" s="6" t="s">
        <v>2615</v>
      </c>
      <c r="H721" s="6" t="s">
        <v>2617</v>
      </c>
      <c r="I721" s="6" t="s">
        <v>2948</v>
      </c>
      <c r="J721" s="6" t="s">
        <v>3304</v>
      </c>
      <c r="K721" s="6">
        <v>36</v>
      </c>
    </row>
    <row r="722" spans="1:11" x14ac:dyDescent="0.3">
      <c r="A722" s="6" t="s">
        <v>730</v>
      </c>
      <c r="B722" s="6" t="s">
        <v>2023</v>
      </c>
      <c r="C722" s="7">
        <v>36412</v>
      </c>
      <c r="D722" s="8">
        <v>39973</v>
      </c>
      <c r="E722" s="6" t="s">
        <v>2604</v>
      </c>
      <c r="F722" s="6">
        <v>134077</v>
      </c>
      <c r="G722" s="6" t="s">
        <v>2612</v>
      </c>
      <c r="H722" s="6" t="s">
        <v>2617</v>
      </c>
      <c r="I722" s="6" t="s">
        <v>2667</v>
      </c>
      <c r="J722" s="6" t="s">
        <v>3307</v>
      </c>
      <c r="K722" s="6">
        <v>16</v>
      </c>
    </row>
    <row r="723" spans="1:11" x14ac:dyDescent="0.3">
      <c r="A723" s="6" t="s">
        <v>731</v>
      </c>
      <c r="B723" s="6" t="s">
        <v>2024</v>
      </c>
      <c r="C723" s="7">
        <v>37062</v>
      </c>
      <c r="D723" s="8">
        <v>38371</v>
      </c>
      <c r="E723" s="6" t="s">
        <v>2603</v>
      </c>
      <c r="F723" s="6">
        <v>72780</v>
      </c>
      <c r="G723" s="6" t="s">
        <v>2608</v>
      </c>
      <c r="H723" s="6" t="s">
        <v>2617</v>
      </c>
      <c r="I723" s="6" t="s">
        <v>2987</v>
      </c>
      <c r="J723" s="6" t="s">
        <v>3304</v>
      </c>
      <c r="K723" s="6">
        <v>20</v>
      </c>
    </row>
    <row r="724" spans="1:11" x14ac:dyDescent="0.3">
      <c r="A724" s="6" t="s">
        <v>732</v>
      </c>
      <c r="B724" s="6" t="s">
        <v>2025</v>
      </c>
      <c r="C724" s="7">
        <v>24026</v>
      </c>
      <c r="D724" s="8">
        <v>27876</v>
      </c>
      <c r="E724" s="6" t="s">
        <v>2603</v>
      </c>
      <c r="F724" s="6">
        <v>90411</v>
      </c>
      <c r="G724" s="6" t="s">
        <v>2614</v>
      </c>
      <c r="H724" s="6" t="s">
        <v>2616</v>
      </c>
      <c r="I724" s="6" t="s">
        <v>3106</v>
      </c>
      <c r="J724" s="6" t="s">
        <v>3304</v>
      </c>
      <c r="K724" s="6">
        <v>49</v>
      </c>
    </row>
    <row r="725" spans="1:11" x14ac:dyDescent="0.3">
      <c r="A725" s="6" t="s">
        <v>733</v>
      </c>
      <c r="B725" s="6" t="s">
        <v>2026</v>
      </c>
      <c r="C725" s="7">
        <v>32277</v>
      </c>
      <c r="D725" s="8">
        <v>35847</v>
      </c>
      <c r="E725" s="6" t="s">
        <v>2600</v>
      </c>
      <c r="F725" s="6">
        <v>49440</v>
      </c>
      <c r="G725" s="6" t="s">
        <v>2607</v>
      </c>
      <c r="H725" s="6" t="s">
        <v>2617</v>
      </c>
      <c r="I725" s="6" t="s">
        <v>3015</v>
      </c>
      <c r="J725" s="6" t="s">
        <v>3310</v>
      </c>
      <c r="K725" s="6">
        <v>27</v>
      </c>
    </row>
    <row r="726" spans="1:11" x14ac:dyDescent="0.3">
      <c r="A726" s="6" t="s">
        <v>734</v>
      </c>
      <c r="B726" s="6" t="s">
        <v>2027</v>
      </c>
      <c r="C726" s="7">
        <v>25256</v>
      </c>
      <c r="D726" s="8">
        <v>25703</v>
      </c>
      <c r="E726" s="6" t="s">
        <v>2600</v>
      </c>
      <c r="F726" s="6">
        <v>190876</v>
      </c>
      <c r="G726" s="6" t="s">
        <v>2614</v>
      </c>
      <c r="H726" s="6" t="s">
        <v>2617</v>
      </c>
      <c r="I726" s="6" t="s">
        <v>3107</v>
      </c>
      <c r="J726" s="6" t="s">
        <v>3306</v>
      </c>
      <c r="K726" s="6">
        <v>55</v>
      </c>
    </row>
    <row r="727" spans="1:11" x14ac:dyDescent="0.3">
      <c r="A727" s="6" t="s">
        <v>735</v>
      </c>
      <c r="B727" s="6" t="s">
        <v>2028</v>
      </c>
      <c r="C727" s="7">
        <v>37454</v>
      </c>
      <c r="D727" s="8">
        <v>44597</v>
      </c>
      <c r="E727" s="6" t="s">
        <v>2601</v>
      </c>
      <c r="F727" s="6">
        <v>139503</v>
      </c>
      <c r="G727" s="6" t="s">
        <v>2607</v>
      </c>
      <c r="H727" s="6" t="s">
        <v>2617</v>
      </c>
      <c r="I727" s="6" t="s">
        <v>2683</v>
      </c>
      <c r="J727" s="6" t="s">
        <v>3305</v>
      </c>
      <c r="K727" s="6">
        <v>3</v>
      </c>
    </row>
    <row r="728" spans="1:11" x14ac:dyDescent="0.3">
      <c r="A728" s="6" t="s">
        <v>736</v>
      </c>
      <c r="B728" s="6" t="s">
        <v>2029</v>
      </c>
      <c r="C728" s="7">
        <v>37218</v>
      </c>
      <c r="D728" s="8">
        <v>28637</v>
      </c>
      <c r="E728" s="6" t="s">
        <v>2603</v>
      </c>
      <c r="F728" s="6">
        <v>163562</v>
      </c>
      <c r="G728" s="6" t="s">
        <v>2613</v>
      </c>
      <c r="H728" s="6" t="s">
        <v>2616</v>
      </c>
      <c r="I728" s="6" t="s">
        <v>3104</v>
      </c>
      <c r="J728" s="6" t="s">
        <v>3308</v>
      </c>
      <c r="K728" s="6">
        <v>47</v>
      </c>
    </row>
    <row r="729" spans="1:11" x14ac:dyDescent="0.3">
      <c r="A729" s="6" t="s">
        <v>737</v>
      </c>
      <c r="B729" s="6" t="s">
        <v>2030</v>
      </c>
      <c r="C729" s="7">
        <v>34924</v>
      </c>
      <c r="D729" s="8">
        <v>30206</v>
      </c>
      <c r="E729" s="6" t="s">
        <v>2603</v>
      </c>
      <c r="F729" s="6">
        <v>153203</v>
      </c>
      <c r="G729" s="6" t="s">
        <v>2615</v>
      </c>
      <c r="H729" s="6" t="s">
        <v>2616</v>
      </c>
      <c r="I729" s="6" t="s">
        <v>3108</v>
      </c>
      <c r="J729" s="6" t="s">
        <v>3309</v>
      </c>
      <c r="K729" s="6">
        <v>43</v>
      </c>
    </row>
    <row r="730" spans="1:11" x14ac:dyDescent="0.3">
      <c r="A730" s="6" t="s">
        <v>738</v>
      </c>
      <c r="B730" s="6" t="s">
        <v>2031</v>
      </c>
      <c r="C730" s="7">
        <v>34279</v>
      </c>
      <c r="D730" s="8">
        <v>41879</v>
      </c>
      <c r="E730" s="6" t="s">
        <v>2601</v>
      </c>
      <c r="F730" s="6">
        <v>53905</v>
      </c>
      <c r="G730" s="6" t="s">
        <v>2606</v>
      </c>
      <c r="H730" s="6" t="s">
        <v>2616</v>
      </c>
      <c r="I730" s="6" t="s">
        <v>2643</v>
      </c>
      <c r="J730" s="6" t="s">
        <v>3304</v>
      </c>
      <c r="K730" s="6">
        <v>11</v>
      </c>
    </row>
    <row r="731" spans="1:11" x14ac:dyDescent="0.3">
      <c r="A731" s="6" t="s">
        <v>739</v>
      </c>
      <c r="B731" s="6" t="s">
        <v>2032</v>
      </c>
      <c r="C731" s="7">
        <v>27777</v>
      </c>
      <c r="D731" s="8">
        <v>36267</v>
      </c>
      <c r="E731" s="6" t="s">
        <v>2600</v>
      </c>
      <c r="F731" s="6">
        <v>180258</v>
      </c>
      <c r="G731" s="6" t="s">
        <v>2606</v>
      </c>
      <c r="H731" s="6" t="s">
        <v>2617</v>
      </c>
      <c r="I731" s="6" t="s">
        <v>2891</v>
      </c>
      <c r="J731" s="6" t="s">
        <v>3308</v>
      </c>
      <c r="K731" s="6">
        <v>26</v>
      </c>
    </row>
    <row r="732" spans="1:11" x14ac:dyDescent="0.3">
      <c r="A732" s="6" t="s">
        <v>740</v>
      </c>
      <c r="B732" s="6" t="s">
        <v>2033</v>
      </c>
      <c r="C732" s="7">
        <v>24933</v>
      </c>
      <c r="D732" s="8">
        <v>40434</v>
      </c>
      <c r="E732" s="6" t="s">
        <v>2605</v>
      </c>
      <c r="F732" s="6">
        <v>162968</v>
      </c>
      <c r="G732" s="6" t="s">
        <v>2612</v>
      </c>
      <c r="H732" s="6" t="s">
        <v>2616</v>
      </c>
      <c r="I732" s="6" t="s">
        <v>3109</v>
      </c>
      <c r="J732" s="6" t="s">
        <v>3309</v>
      </c>
      <c r="K732" s="6">
        <v>15</v>
      </c>
    </row>
    <row r="733" spans="1:11" x14ac:dyDescent="0.3">
      <c r="A733" s="6" t="s">
        <v>741</v>
      </c>
      <c r="B733" s="6" t="s">
        <v>2034</v>
      </c>
      <c r="C733" s="7">
        <v>26401</v>
      </c>
      <c r="D733" s="8">
        <v>40538</v>
      </c>
      <c r="E733" s="6" t="s">
        <v>2600</v>
      </c>
      <c r="F733" s="6">
        <v>170167</v>
      </c>
      <c r="G733" s="6" t="s">
        <v>2606</v>
      </c>
      <c r="H733" s="6" t="s">
        <v>2616</v>
      </c>
      <c r="I733" s="6" t="s">
        <v>3110</v>
      </c>
      <c r="J733" s="6" t="s">
        <v>3305</v>
      </c>
      <c r="K733" s="6">
        <v>15</v>
      </c>
    </row>
    <row r="734" spans="1:11" x14ac:dyDescent="0.3">
      <c r="A734" s="6" t="s">
        <v>742</v>
      </c>
      <c r="B734" s="6" t="s">
        <v>2035</v>
      </c>
      <c r="C734" s="7">
        <v>31045</v>
      </c>
      <c r="D734" s="8">
        <v>31132</v>
      </c>
      <c r="E734" s="6" t="s">
        <v>2599</v>
      </c>
      <c r="F734" s="6">
        <v>118129</v>
      </c>
      <c r="G734" s="6" t="s">
        <v>2608</v>
      </c>
      <c r="H734" s="6" t="s">
        <v>2617</v>
      </c>
      <c r="I734" s="6" t="s">
        <v>2664</v>
      </c>
      <c r="J734" s="6" t="s">
        <v>3306</v>
      </c>
      <c r="K734" s="6">
        <v>40</v>
      </c>
    </row>
    <row r="735" spans="1:11" x14ac:dyDescent="0.3">
      <c r="A735" s="6" t="s">
        <v>743</v>
      </c>
      <c r="B735" s="6" t="s">
        <v>2036</v>
      </c>
      <c r="C735" s="7">
        <v>32488</v>
      </c>
      <c r="D735" s="8">
        <v>33506</v>
      </c>
      <c r="E735" s="6" t="s">
        <v>2599</v>
      </c>
      <c r="F735" s="6">
        <v>52279</v>
      </c>
      <c r="G735" s="6" t="s">
        <v>2612</v>
      </c>
      <c r="H735" s="6" t="s">
        <v>2616</v>
      </c>
      <c r="I735" s="6" t="s">
        <v>2933</v>
      </c>
      <c r="J735" s="6" t="s">
        <v>3308</v>
      </c>
      <c r="K735" s="6">
        <v>34</v>
      </c>
    </row>
    <row r="736" spans="1:11" x14ac:dyDescent="0.3">
      <c r="A736" s="6" t="s">
        <v>744</v>
      </c>
      <c r="B736" s="6" t="s">
        <v>2037</v>
      </c>
      <c r="C736" s="7">
        <v>26033</v>
      </c>
      <c r="D736" s="8">
        <v>26292</v>
      </c>
      <c r="E736" s="6" t="s">
        <v>2604</v>
      </c>
      <c r="F736" s="6">
        <v>186040</v>
      </c>
      <c r="G736" s="6" t="s">
        <v>2606</v>
      </c>
      <c r="H736" s="6" t="s">
        <v>2616</v>
      </c>
      <c r="I736" s="6" t="s">
        <v>3111</v>
      </c>
      <c r="J736" s="6" t="s">
        <v>3304</v>
      </c>
      <c r="K736" s="6">
        <v>54</v>
      </c>
    </row>
    <row r="737" spans="1:11" x14ac:dyDescent="0.3">
      <c r="A737" s="6" t="s">
        <v>745</v>
      </c>
      <c r="B737" s="6" t="s">
        <v>1704</v>
      </c>
      <c r="C737" s="7">
        <v>22893</v>
      </c>
      <c r="D737" s="8">
        <v>31788</v>
      </c>
      <c r="E737" s="6" t="s">
        <v>2604</v>
      </c>
      <c r="F737" s="6">
        <v>24186</v>
      </c>
      <c r="G737" s="6" t="s">
        <v>2608</v>
      </c>
      <c r="H737" s="6" t="s">
        <v>2617</v>
      </c>
      <c r="I737" s="6" t="s">
        <v>3112</v>
      </c>
      <c r="J737" s="6" t="s">
        <v>3304</v>
      </c>
      <c r="K737" s="6">
        <v>38</v>
      </c>
    </row>
    <row r="738" spans="1:11" x14ac:dyDescent="0.3">
      <c r="A738" s="6" t="s">
        <v>746</v>
      </c>
      <c r="B738" s="6" t="s">
        <v>2038</v>
      </c>
      <c r="C738" s="7">
        <v>23044</v>
      </c>
      <c r="D738" s="8">
        <v>35493</v>
      </c>
      <c r="E738" s="6" t="s">
        <v>2603</v>
      </c>
      <c r="F738" s="6">
        <v>158612</v>
      </c>
      <c r="G738" s="6" t="s">
        <v>2610</v>
      </c>
      <c r="H738" s="6" t="s">
        <v>2617</v>
      </c>
      <c r="I738" s="6" t="s">
        <v>2796</v>
      </c>
      <c r="J738" s="6" t="s">
        <v>3305</v>
      </c>
      <c r="K738" s="6">
        <v>28</v>
      </c>
    </row>
    <row r="739" spans="1:11" x14ac:dyDescent="0.3">
      <c r="A739" s="6" t="s">
        <v>747</v>
      </c>
      <c r="B739" s="6" t="s">
        <v>2039</v>
      </c>
      <c r="C739" s="7">
        <v>29590</v>
      </c>
      <c r="D739" s="8">
        <v>41880</v>
      </c>
      <c r="E739" s="6" t="s">
        <v>2605</v>
      </c>
      <c r="F739" s="6">
        <v>168819</v>
      </c>
      <c r="G739" s="6" t="s">
        <v>2614</v>
      </c>
      <c r="H739" s="6" t="s">
        <v>2616</v>
      </c>
      <c r="I739" s="6" t="s">
        <v>2838</v>
      </c>
      <c r="J739" s="6" t="s">
        <v>3305</v>
      </c>
      <c r="K739" s="6">
        <v>11</v>
      </c>
    </row>
    <row r="740" spans="1:11" x14ac:dyDescent="0.3">
      <c r="A740" s="6" t="s">
        <v>748</v>
      </c>
      <c r="B740" s="6" t="s">
        <v>2040</v>
      </c>
      <c r="C740" s="7">
        <v>35787</v>
      </c>
      <c r="D740" s="8">
        <v>32882</v>
      </c>
      <c r="E740" s="6" t="s">
        <v>2602</v>
      </c>
      <c r="F740" s="6">
        <v>189671</v>
      </c>
      <c r="G740" s="6" t="s">
        <v>2606</v>
      </c>
      <c r="H740" s="6" t="s">
        <v>2616</v>
      </c>
      <c r="I740" s="6" t="s">
        <v>3104</v>
      </c>
      <c r="J740" s="6" t="s">
        <v>3310</v>
      </c>
      <c r="K740" s="6">
        <v>35</v>
      </c>
    </row>
    <row r="741" spans="1:11" x14ac:dyDescent="0.3">
      <c r="A741" s="6" t="s">
        <v>749</v>
      </c>
      <c r="B741" s="6" t="s">
        <v>2041</v>
      </c>
      <c r="C741" s="7">
        <v>35327</v>
      </c>
      <c r="D741" s="8">
        <v>27622</v>
      </c>
      <c r="E741" s="6" t="s">
        <v>2599</v>
      </c>
      <c r="F741" s="6">
        <v>164382</v>
      </c>
      <c r="G741" s="6" t="s">
        <v>2607</v>
      </c>
      <c r="H741" s="6" t="s">
        <v>2617</v>
      </c>
      <c r="I741" s="6" t="s">
        <v>3113</v>
      </c>
      <c r="J741" s="6" t="s">
        <v>3304</v>
      </c>
      <c r="K741" s="6">
        <v>50</v>
      </c>
    </row>
    <row r="742" spans="1:11" x14ac:dyDescent="0.3">
      <c r="A742" s="6" t="s">
        <v>750</v>
      </c>
      <c r="B742" s="6" t="s">
        <v>2042</v>
      </c>
      <c r="C742" s="7">
        <v>24733</v>
      </c>
      <c r="D742" s="8">
        <v>31387</v>
      </c>
      <c r="E742" s="6" t="s">
        <v>2604</v>
      </c>
      <c r="F742" s="6">
        <v>87118</v>
      </c>
      <c r="G742" s="6" t="s">
        <v>2612</v>
      </c>
      <c r="H742" s="6" t="s">
        <v>2616</v>
      </c>
      <c r="I742" s="6" t="s">
        <v>3028</v>
      </c>
      <c r="J742" s="6" t="s">
        <v>3310</v>
      </c>
      <c r="K742" s="6">
        <v>40</v>
      </c>
    </row>
    <row r="743" spans="1:11" x14ac:dyDescent="0.3">
      <c r="A743" s="6" t="s">
        <v>751</v>
      </c>
      <c r="B743" s="6" t="s">
        <v>2043</v>
      </c>
      <c r="C743" s="7">
        <v>31027</v>
      </c>
      <c r="D743" s="8">
        <v>43445</v>
      </c>
      <c r="E743" s="6" t="s">
        <v>2601</v>
      </c>
      <c r="F743" s="6">
        <v>144406</v>
      </c>
      <c r="G743" s="6" t="s">
        <v>2615</v>
      </c>
      <c r="H743" s="6" t="s">
        <v>2617</v>
      </c>
      <c r="I743" s="6" t="s">
        <v>3036</v>
      </c>
      <c r="J743" s="6" t="s">
        <v>3308</v>
      </c>
      <c r="K743" s="6">
        <v>7</v>
      </c>
    </row>
    <row r="744" spans="1:11" x14ac:dyDescent="0.3">
      <c r="A744" s="6" t="s">
        <v>752</v>
      </c>
      <c r="B744" s="6" t="s">
        <v>2044</v>
      </c>
      <c r="C744" s="7">
        <v>35010</v>
      </c>
      <c r="D744" s="8">
        <v>30212</v>
      </c>
      <c r="E744" s="6" t="s">
        <v>2603</v>
      </c>
      <c r="F744" s="6">
        <v>99771</v>
      </c>
      <c r="G744" s="6" t="s">
        <v>2612</v>
      </c>
      <c r="H744" s="6" t="s">
        <v>2616</v>
      </c>
      <c r="I744" s="6" t="s">
        <v>3114</v>
      </c>
      <c r="J744" s="6" t="s">
        <v>3310</v>
      </c>
      <c r="K744" s="6">
        <v>43</v>
      </c>
    </row>
    <row r="745" spans="1:11" x14ac:dyDescent="0.3">
      <c r="A745" s="6" t="s">
        <v>753</v>
      </c>
      <c r="B745" s="6" t="s">
        <v>2045</v>
      </c>
      <c r="C745" s="7">
        <v>33305</v>
      </c>
      <c r="D745" s="8">
        <v>27233</v>
      </c>
      <c r="E745" s="6" t="s">
        <v>2601</v>
      </c>
      <c r="F745" s="6">
        <v>131689</v>
      </c>
      <c r="G745" s="6" t="s">
        <v>2613</v>
      </c>
      <c r="H745" s="6" t="s">
        <v>2616</v>
      </c>
      <c r="I745" s="6" t="s">
        <v>3115</v>
      </c>
      <c r="J745" s="6" t="s">
        <v>3309</v>
      </c>
      <c r="K745" s="6">
        <v>51</v>
      </c>
    </row>
    <row r="746" spans="1:11" x14ac:dyDescent="0.3">
      <c r="A746" s="6" t="s">
        <v>754</v>
      </c>
      <c r="B746" s="6" t="s">
        <v>2046</v>
      </c>
      <c r="C746" s="7">
        <v>30192</v>
      </c>
      <c r="D746" s="8">
        <v>28860</v>
      </c>
      <c r="E746" s="6" t="s">
        <v>2600</v>
      </c>
      <c r="F746" s="6">
        <v>59211</v>
      </c>
      <c r="G746" s="6" t="s">
        <v>2607</v>
      </c>
      <c r="H746" s="6" t="s">
        <v>2617</v>
      </c>
      <c r="I746" s="6" t="s">
        <v>3116</v>
      </c>
      <c r="J746" s="6" t="s">
        <v>3306</v>
      </c>
      <c r="K746" s="6">
        <v>46</v>
      </c>
    </row>
    <row r="747" spans="1:11" x14ac:dyDescent="0.3">
      <c r="A747" s="6" t="s">
        <v>755</v>
      </c>
      <c r="B747" s="6" t="s">
        <v>2047</v>
      </c>
      <c r="C747" s="7">
        <v>30709</v>
      </c>
      <c r="D747" s="8">
        <v>41308</v>
      </c>
      <c r="E747" s="6" t="s">
        <v>2600</v>
      </c>
      <c r="F747" s="6">
        <v>115990</v>
      </c>
      <c r="G747" s="6" t="s">
        <v>2611</v>
      </c>
      <c r="H747" s="6" t="s">
        <v>2617</v>
      </c>
      <c r="I747" s="6" t="s">
        <v>3117</v>
      </c>
      <c r="J747" s="6" t="s">
        <v>3309</v>
      </c>
      <c r="K747" s="6">
        <v>12</v>
      </c>
    </row>
    <row r="748" spans="1:11" x14ac:dyDescent="0.3">
      <c r="A748" s="6" t="s">
        <v>756</v>
      </c>
      <c r="B748" s="6" t="s">
        <v>2048</v>
      </c>
      <c r="C748" s="7">
        <v>21762</v>
      </c>
      <c r="D748" s="8">
        <v>43168</v>
      </c>
      <c r="E748" s="6" t="s">
        <v>2601</v>
      </c>
      <c r="F748" s="6">
        <v>83292</v>
      </c>
      <c r="G748" s="6" t="s">
        <v>2607</v>
      </c>
      <c r="H748" s="6" t="s">
        <v>2616</v>
      </c>
      <c r="I748" s="6" t="s">
        <v>3118</v>
      </c>
      <c r="J748" s="6" t="s">
        <v>3305</v>
      </c>
      <c r="K748" s="6">
        <v>7</v>
      </c>
    </row>
    <row r="749" spans="1:11" x14ac:dyDescent="0.3">
      <c r="A749" s="6" t="s">
        <v>757</v>
      </c>
      <c r="B749" s="6" t="s">
        <v>2049</v>
      </c>
      <c r="C749" s="7">
        <v>32372</v>
      </c>
      <c r="D749" s="8">
        <v>31667</v>
      </c>
      <c r="E749" s="6" t="s">
        <v>2600</v>
      </c>
      <c r="F749" s="6">
        <v>25230</v>
      </c>
      <c r="G749" s="6" t="s">
        <v>2612</v>
      </c>
      <c r="H749" s="6" t="s">
        <v>2616</v>
      </c>
      <c r="I749" s="6" t="s">
        <v>2824</v>
      </c>
      <c r="J749" s="6" t="s">
        <v>3307</v>
      </c>
      <c r="K749" s="6">
        <v>39</v>
      </c>
    </row>
    <row r="750" spans="1:11" x14ac:dyDescent="0.3">
      <c r="A750" s="6" t="s">
        <v>758</v>
      </c>
      <c r="B750" s="6" t="s">
        <v>2050</v>
      </c>
      <c r="C750" s="7">
        <v>35907</v>
      </c>
      <c r="D750" s="8">
        <v>34113</v>
      </c>
      <c r="E750" s="6" t="s">
        <v>2602</v>
      </c>
      <c r="F750" s="6">
        <v>192350</v>
      </c>
      <c r="G750" s="6" t="s">
        <v>2609</v>
      </c>
      <c r="H750" s="6" t="s">
        <v>2616</v>
      </c>
      <c r="I750" s="6" t="s">
        <v>3119</v>
      </c>
      <c r="J750" s="6" t="s">
        <v>3309</v>
      </c>
      <c r="K750" s="6">
        <v>32</v>
      </c>
    </row>
    <row r="751" spans="1:11" x14ac:dyDescent="0.3">
      <c r="A751" s="6" t="s">
        <v>759</v>
      </c>
      <c r="B751" s="6" t="s">
        <v>2051</v>
      </c>
      <c r="C751" s="7">
        <v>23721</v>
      </c>
      <c r="D751" s="8">
        <v>38294</v>
      </c>
      <c r="E751" s="6" t="s">
        <v>2599</v>
      </c>
      <c r="F751" s="6">
        <v>154630</v>
      </c>
      <c r="G751" s="6" t="s">
        <v>2614</v>
      </c>
      <c r="H751" s="6" t="s">
        <v>2617</v>
      </c>
      <c r="I751" s="6" t="s">
        <v>2619</v>
      </c>
      <c r="J751" s="6" t="s">
        <v>3305</v>
      </c>
      <c r="K751" s="6">
        <v>21</v>
      </c>
    </row>
    <row r="752" spans="1:11" x14ac:dyDescent="0.3">
      <c r="A752" s="6" t="s">
        <v>760</v>
      </c>
      <c r="B752" s="6" t="s">
        <v>2052</v>
      </c>
      <c r="C752" s="7">
        <v>30041</v>
      </c>
      <c r="D752" s="8">
        <v>28889</v>
      </c>
      <c r="E752" s="6" t="s">
        <v>2600</v>
      </c>
      <c r="F752" s="6">
        <v>139908</v>
      </c>
      <c r="G752" s="6" t="s">
        <v>2613</v>
      </c>
      <c r="H752" s="6" t="s">
        <v>2617</v>
      </c>
      <c r="I752" s="6" t="s">
        <v>2963</v>
      </c>
      <c r="J752" s="6" t="s">
        <v>3306</v>
      </c>
      <c r="K752" s="6">
        <v>46</v>
      </c>
    </row>
    <row r="753" spans="1:11" x14ac:dyDescent="0.3">
      <c r="A753" s="6" t="s">
        <v>761</v>
      </c>
      <c r="B753" s="6" t="s">
        <v>2053</v>
      </c>
      <c r="C753" s="7">
        <v>27873</v>
      </c>
      <c r="D753" s="8">
        <v>36343</v>
      </c>
      <c r="E753" s="6" t="s">
        <v>2604</v>
      </c>
      <c r="F753" s="6">
        <v>150406</v>
      </c>
      <c r="G753" s="6" t="s">
        <v>2611</v>
      </c>
      <c r="H753" s="6" t="s">
        <v>2617</v>
      </c>
      <c r="I753" s="6" t="s">
        <v>3120</v>
      </c>
      <c r="J753" s="6" t="s">
        <v>3309</v>
      </c>
      <c r="K753" s="6">
        <v>26</v>
      </c>
    </row>
    <row r="754" spans="1:11" x14ac:dyDescent="0.3">
      <c r="A754" s="6" t="s">
        <v>762</v>
      </c>
      <c r="B754" s="6" t="s">
        <v>2054</v>
      </c>
      <c r="C754" s="7">
        <v>27080</v>
      </c>
      <c r="D754" s="8">
        <v>44924</v>
      </c>
      <c r="E754" s="6" t="s">
        <v>2601</v>
      </c>
      <c r="F754" s="6">
        <v>26774</v>
      </c>
      <c r="G754" s="6" t="s">
        <v>2609</v>
      </c>
      <c r="H754" s="6" t="s">
        <v>2617</v>
      </c>
      <c r="I754" s="6" t="s">
        <v>3025</v>
      </c>
      <c r="J754" s="6" t="s">
        <v>3308</v>
      </c>
      <c r="K754" s="6">
        <v>3</v>
      </c>
    </row>
    <row r="755" spans="1:11" x14ac:dyDescent="0.3">
      <c r="A755" s="6" t="s">
        <v>763</v>
      </c>
      <c r="B755" s="6" t="s">
        <v>2055</v>
      </c>
      <c r="C755" s="7">
        <v>23137</v>
      </c>
      <c r="D755" s="8">
        <v>38169</v>
      </c>
      <c r="E755" s="6" t="s">
        <v>2602</v>
      </c>
      <c r="F755" s="6">
        <v>176446</v>
      </c>
      <c r="G755" s="6" t="s">
        <v>2608</v>
      </c>
      <c r="H755" s="6" t="s">
        <v>2617</v>
      </c>
      <c r="I755" s="6" t="s">
        <v>2923</v>
      </c>
      <c r="J755" s="6" t="s">
        <v>3308</v>
      </c>
      <c r="K755" s="6">
        <v>21</v>
      </c>
    </row>
    <row r="756" spans="1:11" x14ac:dyDescent="0.3">
      <c r="A756" s="6" t="s">
        <v>764</v>
      </c>
      <c r="B756" s="6" t="s">
        <v>2056</v>
      </c>
      <c r="C756" s="7">
        <v>24309</v>
      </c>
      <c r="D756" s="8">
        <v>43119</v>
      </c>
      <c r="E756" s="6" t="s">
        <v>2600</v>
      </c>
      <c r="F756" s="6">
        <v>108500</v>
      </c>
      <c r="G756" s="6" t="s">
        <v>2610</v>
      </c>
      <c r="H756" s="6" t="s">
        <v>2617</v>
      </c>
      <c r="I756" s="6" t="s">
        <v>3090</v>
      </c>
      <c r="J756" s="6" t="s">
        <v>3309</v>
      </c>
      <c r="K756" s="6">
        <v>7</v>
      </c>
    </row>
    <row r="757" spans="1:11" x14ac:dyDescent="0.3">
      <c r="A757" s="6" t="s">
        <v>765</v>
      </c>
      <c r="B757" s="6" t="s">
        <v>2057</v>
      </c>
      <c r="C757" s="7">
        <v>34643</v>
      </c>
      <c r="D757" s="8">
        <v>41003</v>
      </c>
      <c r="E757" s="6" t="s">
        <v>2605</v>
      </c>
      <c r="F757" s="6">
        <v>85792</v>
      </c>
      <c r="G757" s="6" t="s">
        <v>2609</v>
      </c>
      <c r="H757" s="6" t="s">
        <v>2617</v>
      </c>
      <c r="I757" s="6" t="s">
        <v>3121</v>
      </c>
      <c r="J757" s="6" t="s">
        <v>3305</v>
      </c>
      <c r="K757" s="6">
        <v>13</v>
      </c>
    </row>
    <row r="758" spans="1:11" x14ac:dyDescent="0.3">
      <c r="A758" s="6" t="s">
        <v>766</v>
      </c>
      <c r="B758" s="6" t="s">
        <v>2058</v>
      </c>
      <c r="C758" s="7">
        <v>31786</v>
      </c>
      <c r="D758" s="8">
        <v>34108</v>
      </c>
      <c r="E758" s="6" t="s">
        <v>2605</v>
      </c>
      <c r="F758" s="6">
        <v>196628</v>
      </c>
      <c r="G758" s="6" t="s">
        <v>2613</v>
      </c>
      <c r="H758" s="6" t="s">
        <v>2617</v>
      </c>
      <c r="I758" s="6" t="s">
        <v>3122</v>
      </c>
      <c r="J758" s="6" t="s">
        <v>3310</v>
      </c>
      <c r="K758" s="6">
        <v>32</v>
      </c>
    </row>
    <row r="759" spans="1:11" x14ac:dyDescent="0.3">
      <c r="A759" s="6" t="s">
        <v>767</v>
      </c>
      <c r="B759" s="6" t="s">
        <v>2059</v>
      </c>
      <c r="C759" s="7">
        <v>35336</v>
      </c>
      <c r="D759" s="8">
        <v>40420</v>
      </c>
      <c r="E759" s="6" t="s">
        <v>2602</v>
      </c>
      <c r="F759" s="6">
        <v>133570</v>
      </c>
      <c r="G759" s="6" t="s">
        <v>2610</v>
      </c>
      <c r="H759" s="6" t="s">
        <v>2616</v>
      </c>
      <c r="I759" s="6" t="s">
        <v>3100</v>
      </c>
      <c r="J759" s="6" t="s">
        <v>3305</v>
      </c>
      <c r="K759" s="6">
        <v>15</v>
      </c>
    </row>
    <row r="760" spans="1:11" x14ac:dyDescent="0.3">
      <c r="A760" s="6" t="s">
        <v>768</v>
      </c>
      <c r="B760" s="6" t="s">
        <v>2060</v>
      </c>
      <c r="C760" s="7">
        <v>28125</v>
      </c>
      <c r="D760" s="8">
        <v>43441</v>
      </c>
      <c r="E760" s="6" t="s">
        <v>2599</v>
      </c>
      <c r="F760" s="6">
        <v>63538</v>
      </c>
      <c r="G760" s="6" t="s">
        <v>2611</v>
      </c>
      <c r="H760" s="6" t="s">
        <v>2617</v>
      </c>
      <c r="I760" s="6" t="s">
        <v>3095</v>
      </c>
      <c r="J760" s="6" t="s">
        <v>3306</v>
      </c>
      <c r="K760" s="6">
        <v>7</v>
      </c>
    </row>
    <row r="761" spans="1:11" x14ac:dyDescent="0.3">
      <c r="A761" s="6" t="s">
        <v>769</v>
      </c>
      <c r="B761" s="6" t="s">
        <v>2061</v>
      </c>
      <c r="C761" s="7">
        <v>27576</v>
      </c>
      <c r="D761" s="8">
        <v>40996</v>
      </c>
      <c r="E761" s="6" t="s">
        <v>2605</v>
      </c>
      <c r="F761" s="6">
        <v>167573</v>
      </c>
      <c r="G761" s="6" t="s">
        <v>2612</v>
      </c>
      <c r="H761" s="6" t="s">
        <v>2616</v>
      </c>
      <c r="I761" s="6" t="s">
        <v>3123</v>
      </c>
      <c r="J761" s="6" t="s">
        <v>3304</v>
      </c>
      <c r="K761" s="6">
        <v>13</v>
      </c>
    </row>
    <row r="762" spans="1:11" x14ac:dyDescent="0.3">
      <c r="A762" s="6" t="s">
        <v>770</v>
      </c>
      <c r="B762" s="6" t="s">
        <v>2062</v>
      </c>
      <c r="C762" s="7">
        <v>26223</v>
      </c>
      <c r="D762" s="8">
        <v>33041</v>
      </c>
      <c r="E762" s="6" t="s">
        <v>2602</v>
      </c>
      <c r="F762" s="6">
        <v>180601</v>
      </c>
      <c r="G762" s="6" t="s">
        <v>2609</v>
      </c>
      <c r="H762" s="6" t="s">
        <v>2616</v>
      </c>
      <c r="I762" s="6" t="s">
        <v>3082</v>
      </c>
      <c r="J762" s="6" t="s">
        <v>3306</v>
      </c>
      <c r="K762" s="6">
        <v>35</v>
      </c>
    </row>
    <row r="763" spans="1:11" x14ac:dyDescent="0.3">
      <c r="A763" s="6" t="s">
        <v>771</v>
      </c>
      <c r="B763" s="6" t="s">
        <v>2063</v>
      </c>
      <c r="C763" s="7">
        <v>25987</v>
      </c>
      <c r="D763" s="8">
        <v>27257</v>
      </c>
      <c r="E763" s="6" t="s">
        <v>2599</v>
      </c>
      <c r="F763" s="6">
        <v>68903</v>
      </c>
      <c r="G763" s="6" t="s">
        <v>2615</v>
      </c>
      <c r="H763" s="6" t="s">
        <v>2616</v>
      </c>
      <c r="I763" s="6" t="s">
        <v>2814</v>
      </c>
      <c r="J763" s="6" t="s">
        <v>3304</v>
      </c>
      <c r="K763" s="6">
        <v>51</v>
      </c>
    </row>
    <row r="764" spans="1:11" x14ac:dyDescent="0.3">
      <c r="A764" s="6" t="s">
        <v>772</v>
      </c>
      <c r="B764" s="6" t="s">
        <v>2064</v>
      </c>
      <c r="C764" s="7">
        <v>24321</v>
      </c>
      <c r="D764" s="8">
        <v>35208</v>
      </c>
      <c r="E764" s="6" t="s">
        <v>2604</v>
      </c>
      <c r="F764" s="6">
        <v>183986</v>
      </c>
      <c r="G764" s="6" t="s">
        <v>2610</v>
      </c>
      <c r="H764" s="6" t="s">
        <v>2616</v>
      </c>
      <c r="I764" s="6" t="s">
        <v>3124</v>
      </c>
      <c r="J764" s="6" t="s">
        <v>3308</v>
      </c>
      <c r="K764" s="6">
        <v>29</v>
      </c>
    </row>
    <row r="765" spans="1:11" x14ac:dyDescent="0.3">
      <c r="A765" s="6"/>
      <c r="B765" s="6"/>
      <c r="C765" s="7"/>
      <c r="D765" s="8"/>
      <c r="E765" s="6"/>
      <c r="F765" s="6"/>
      <c r="G765" s="6"/>
      <c r="H765" s="6"/>
      <c r="I765" s="6"/>
      <c r="J765" s="6"/>
      <c r="K765" s="6"/>
    </row>
    <row r="766" spans="1:11" x14ac:dyDescent="0.3">
      <c r="A766" s="6" t="s">
        <v>773</v>
      </c>
      <c r="B766" s="6" t="s">
        <v>2065</v>
      </c>
      <c r="C766" s="7">
        <v>33982</v>
      </c>
      <c r="D766" s="8">
        <v>30496</v>
      </c>
      <c r="E766" s="6" t="s">
        <v>2604</v>
      </c>
      <c r="F766" s="6">
        <v>25571</v>
      </c>
      <c r="G766" s="6" t="s">
        <v>2606</v>
      </c>
      <c r="H766" s="6" t="s">
        <v>2616</v>
      </c>
      <c r="I766" s="6" t="s">
        <v>2822</v>
      </c>
      <c r="J766" s="6" t="s">
        <v>3306</v>
      </c>
      <c r="K766" s="6">
        <v>42</v>
      </c>
    </row>
    <row r="767" spans="1:11" x14ac:dyDescent="0.3">
      <c r="A767" s="6" t="s">
        <v>774</v>
      </c>
      <c r="B767" s="6" t="s">
        <v>2066</v>
      </c>
      <c r="C767" s="7">
        <v>22536</v>
      </c>
      <c r="D767" s="8">
        <v>43466</v>
      </c>
      <c r="E767" s="6" t="s">
        <v>2601</v>
      </c>
      <c r="F767" s="6">
        <v>63265</v>
      </c>
      <c r="G767" s="6" t="s">
        <v>2606</v>
      </c>
      <c r="H767" s="6" t="s">
        <v>2616</v>
      </c>
      <c r="I767" s="6" t="s">
        <v>2793</v>
      </c>
      <c r="J767" s="6" t="s">
        <v>3304</v>
      </c>
      <c r="K767" s="6">
        <v>6</v>
      </c>
    </row>
    <row r="768" spans="1:11" x14ac:dyDescent="0.3">
      <c r="A768" s="6" t="s">
        <v>775</v>
      </c>
      <c r="B768" s="6" t="s">
        <v>2067</v>
      </c>
      <c r="C768" s="7">
        <v>25253</v>
      </c>
      <c r="D768" s="8">
        <v>43159</v>
      </c>
      <c r="E768" s="6" t="s">
        <v>2601</v>
      </c>
      <c r="F768" s="6">
        <v>67494</v>
      </c>
      <c r="G768" s="6" t="s">
        <v>2611</v>
      </c>
      <c r="H768" s="6" t="s">
        <v>2616</v>
      </c>
      <c r="I768" s="6" t="s">
        <v>3100</v>
      </c>
      <c r="J768" s="6" t="s">
        <v>3305</v>
      </c>
      <c r="K768" s="6">
        <v>7</v>
      </c>
    </row>
    <row r="769" spans="1:11" x14ac:dyDescent="0.3">
      <c r="A769" s="6" t="s">
        <v>776</v>
      </c>
      <c r="B769" s="6" t="s">
        <v>2068</v>
      </c>
      <c r="C769" s="7">
        <v>31468</v>
      </c>
      <c r="D769" s="8">
        <v>38983</v>
      </c>
      <c r="E769" s="6" t="s">
        <v>2600</v>
      </c>
      <c r="F769" s="6">
        <v>107329</v>
      </c>
      <c r="G769" s="6" t="s">
        <v>2614</v>
      </c>
      <c r="H769" s="6" t="s">
        <v>2617</v>
      </c>
      <c r="I769" s="6" t="s">
        <v>3125</v>
      </c>
      <c r="J769" s="6" t="s">
        <v>3309</v>
      </c>
      <c r="K769" s="6">
        <v>19</v>
      </c>
    </row>
    <row r="770" spans="1:11" x14ac:dyDescent="0.3">
      <c r="A770" s="6" t="s">
        <v>777</v>
      </c>
      <c r="B770" s="6" t="s">
        <v>2069</v>
      </c>
      <c r="C770" s="7">
        <v>32839</v>
      </c>
      <c r="D770" s="8">
        <v>26273</v>
      </c>
      <c r="E770" s="6" t="s">
        <v>2600</v>
      </c>
      <c r="F770" s="6">
        <v>25235</v>
      </c>
      <c r="G770" s="6" t="s">
        <v>2611</v>
      </c>
      <c r="H770" s="6" t="s">
        <v>2617</v>
      </c>
      <c r="I770" s="6" t="s">
        <v>2844</v>
      </c>
      <c r="J770" s="6" t="s">
        <v>3305</v>
      </c>
      <c r="K770" s="6">
        <v>54</v>
      </c>
    </row>
    <row r="771" spans="1:11" x14ac:dyDescent="0.3">
      <c r="A771" s="6" t="s">
        <v>778</v>
      </c>
      <c r="B771" s="6" t="s">
        <v>2070</v>
      </c>
      <c r="C771" s="7">
        <v>23669</v>
      </c>
      <c r="D771" s="8">
        <v>41655</v>
      </c>
      <c r="E771" s="6" t="s">
        <v>2599</v>
      </c>
      <c r="F771" s="6">
        <v>91211</v>
      </c>
      <c r="G771" s="6" t="s">
        <v>2611</v>
      </c>
      <c r="H771" s="6" t="s">
        <v>2617</v>
      </c>
      <c r="I771" s="6" t="s">
        <v>3126</v>
      </c>
      <c r="J771" s="6" t="s">
        <v>3309</v>
      </c>
      <c r="K771" s="6">
        <v>11</v>
      </c>
    </row>
    <row r="772" spans="1:11" x14ac:dyDescent="0.3">
      <c r="A772" s="6" t="s">
        <v>779</v>
      </c>
      <c r="B772" s="6" t="s">
        <v>2071</v>
      </c>
      <c r="C772" s="7">
        <v>28162</v>
      </c>
      <c r="D772" s="8">
        <v>39131</v>
      </c>
      <c r="E772" s="6" t="s">
        <v>2600</v>
      </c>
      <c r="F772" s="6">
        <v>77633</v>
      </c>
      <c r="G772" s="6" t="s">
        <v>2612</v>
      </c>
      <c r="H772" s="6" t="s">
        <v>2616</v>
      </c>
      <c r="I772" s="6" t="s">
        <v>3127</v>
      </c>
      <c r="J772" s="6" t="s">
        <v>3306</v>
      </c>
      <c r="K772" s="6">
        <v>18</v>
      </c>
    </row>
    <row r="773" spans="1:11" x14ac:dyDescent="0.3">
      <c r="A773" s="6" t="s">
        <v>780</v>
      </c>
      <c r="B773" s="6" t="s">
        <v>2072</v>
      </c>
      <c r="C773" s="7">
        <v>27454</v>
      </c>
      <c r="D773" s="8">
        <v>36689</v>
      </c>
      <c r="E773" s="6" t="s">
        <v>2605</v>
      </c>
      <c r="F773" s="6">
        <v>166208</v>
      </c>
      <c r="G773" s="6" t="s">
        <v>2608</v>
      </c>
      <c r="H773" s="6" t="s">
        <v>2616</v>
      </c>
      <c r="I773" s="6" t="s">
        <v>2630</v>
      </c>
      <c r="J773" s="6" t="s">
        <v>3309</v>
      </c>
      <c r="K773" s="6">
        <v>25</v>
      </c>
    </row>
    <row r="774" spans="1:11" x14ac:dyDescent="0.3">
      <c r="A774" s="6" t="s">
        <v>781</v>
      </c>
      <c r="B774" s="6" t="s">
        <v>2073</v>
      </c>
      <c r="C774" s="7">
        <v>27872</v>
      </c>
      <c r="D774" s="8">
        <v>37756</v>
      </c>
      <c r="E774" s="6" t="s">
        <v>2605</v>
      </c>
      <c r="F774" s="6">
        <v>125803</v>
      </c>
      <c r="G774" s="6" t="s">
        <v>2610</v>
      </c>
      <c r="H774" s="6" t="s">
        <v>2616</v>
      </c>
      <c r="I774" s="6" t="s">
        <v>3128</v>
      </c>
      <c r="J774" s="6" t="s">
        <v>3309</v>
      </c>
      <c r="K774" s="6">
        <v>22</v>
      </c>
    </row>
    <row r="775" spans="1:11" x14ac:dyDescent="0.3">
      <c r="A775" s="6" t="s">
        <v>782</v>
      </c>
      <c r="B775" s="6" t="s">
        <v>2074</v>
      </c>
      <c r="C775" s="7">
        <v>30866</v>
      </c>
      <c r="D775" s="8">
        <v>44112</v>
      </c>
      <c r="E775" s="6" t="s">
        <v>2605</v>
      </c>
      <c r="F775" s="6">
        <v>64412</v>
      </c>
      <c r="G775" s="6" t="s">
        <v>2613</v>
      </c>
      <c r="H775" s="6" t="s">
        <v>2617</v>
      </c>
      <c r="I775" s="6" t="s">
        <v>2865</v>
      </c>
      <c r="J775" s="6" t="s">
        <v>3305</v>
      </c>
      <c r="K775" s="6">
        <v>5</v>
      </c>
    </row>
    <row r="776" spans="1:11" x14ac:dyDescent="0.3">
      <c r="A776" s="6" t="s">
        <v>783</v>
      </c>
      <c r="B776" s="6" t="s">
        <v>2075</v>
      </c>
      <c r="C776" s="7">
        <v>31836</v>
      </c>
      <c r="D776" s="8">
        <v>30055</v>
      </c>
      <c r="E776" s="6" t="s">
        <v>2603</v>
      </c>
      <c r="F776" s="6">
        <v>31264</v>
      </c>
      <c r="G776" s="6" t="s">
        <v>2610</v>
      </c>
      <c r="H776" s="6" t="s">
        <v>2616</v>
      </c>
      <c r="I776" s="6" t="s">
        <v>3129</v>
      </c>
      <c r="J776" s="6" t="s">
        <v>3310</v>
      </c>
      <c r="K776" s="6">
        <v>43</v>
      </c>
    </row>
    <row r="777" spans="1:11" x14ac:dyDescent="0.3">
      <c r="A777" s="6" t="s">
        <v>784</v>
      </c>
      <c r="B777" s="6" t="s">
        <v>2076</v>
      </c>
      <c r="C777" s="7">
        <v>28548</v>
      </c>
      <c r="D777" s="8">
        <v>42805</v>
      </c>
      <c r="E777" s="6" t="s">
        <v>2604</v>
      </c>
      <c r="F777" s="6">
        <v>57477</v>
      </c>
      <c r="G777" s="6" t="s">
        <v>2609</v>
      </c>
      <c r="H777" s="6" t="s">
        <v>2616</v>
      </c>
      <c r="I777" s="6" t="s">
        <v>2742</v>
      </c>
      <c r="J777" s="6" t="s">
        <v>3308</v>
      </c>
      <c r="K777" s="6">
        <v>8</v>
      </c>
    </row>
    <row r="778" spans="1:11" x14ac:dyDescent="0.3">
      <c r="A778" s="6" t="s">
        <v>785</v>
      </c>
      <c r="B778" s="6" t="s">
        <v>2077</v>
      </c>
      <c r="C778" s="7">
        <v>34582</v>
      </c>
      <c r="D778" s="8">
        <v>42219</v>
      </c>
      <c r="E778" s="6" t="s">
        <v>2604</v>
      </c>
      <c r="F778" s="6">
        <v>121624</v>
      </c>
      <c r="G778" s="6" t="s">
        <v>2614</v>
      </c>
      <c r="H778" s="6" t="s">
        <v>2616</v>
      </c>
      <c r="I778" s="6" t="s">
        <v>3130</v>
      </c>
      <c r="J778" s="6" t="s">
        <v>3310</v>
      </c>
      <c r="K778" s="6">
        <v>10</v>
      </c>
    </row>
    <row r="779" spans="1:11" x14ac:dyDescent="0.3">
      <c r="A779" s="6" t="s">
        <v>786</v>
      </c>
      <c r="B779" s="6" t="s">
        <v>2078</v>
      </c>
      <c r="C779" s="7">
        <v>32316</v>
      </c>
      <c r="D779" s="8">
        <v>31981</v>
      </c>
      <c r="E779" s="6" t="s">
        <v>2604</v>
      </c>
      <c r="F779" s="6">
        <v>138619</v>
      </c>
      <c r="G779" s="6" t="s">
        <v>2610</v>
      </c>
      <c r="H779" s="6" t="s">
        <v>2617</v>
      </c>
      <c r="I779" s="6" t="s">
        <v>3131</v>
      </c>
      <c r="J779" s="6" t="s">
        <v>3306</v>
      </c>
      <c r="K779" s="6">
        <v>38</v>
      </c>
    </row>
    <row r="780" spans="1:11" x14ac:dyDescent="0.3">
      <c r="A780" s="6" t="s">
        <v>787</v>
      </c>
      <c r="B780" s="6" t="s">
        <v>2079</v>
      </c>
      <c r="C780" s="7">
        <v>33684</v>
      </c>
      <c r="D780" s="8">
        <v>41107</v>
      </c>
      <c r="E780" s="6" t="s">
        <v>2600</v>
      </c>
      <c r="F780" s="6">
        <v>67980</v>
      </c>
      <c r="G780" s="6" t="s">
        <v>2606</v>
      </c>
      <c r="H780" s="6" t="s">
        <v>2617</v>
      </c>
      <c r="I780" s="6" t="s">
        <v>3132</v>
      </c>
      <c r="J780" s="6" t="s">
        <v>3306</v>
      </c>
      <c r="K780" s="6">
        <v>13</v>
      </c>
    </row>
    <row r="781" spans="1:11" x14ac:dyDescent="0.3">
      <c r="A781" s="6" t="s">
        <v>788</v>
      </c>
      <c r="B781" s="6" t="s">
        <v>2080</v>
      </c>
      <c r="C781" s="7">
        <v>32307</v>
      </c>
      <c r="D781" s="8">
        <v>28097</v>
      </c>
      <c r="E781" s="6" t="s">
        <v>2605</v>
      </c>
      <c r="F781" s="6">
        <v>21555</v>
      </c>
      <c r="G781" s="6" t="s">
        <v>2610</v>
      </c>
      <c r="H781" s="6" t="s">
        <v>2617</v>
      </c>
      <c r="I781" s="6" t="s">
        <v>3133</v>
      </c>
      <c r="J781" s="6" t="s">
        <v>3309</v>
      </c>
      <c r="K781" s="6">
        <v>49</v>
      </c>
    </row>
    <row r="782" spans="1:11" x14ac:dyDescent="0.3">
      <c r="A782" s="6" t="s">
        <v>789</v>
      </c>
      <c r="B782" s="6" t="s">
        <v>2081</v>
      </c>
      <c r="C782" s="7">
        <v>27900</v>
      </c>
      <c r="D782" s="8">
        <v>33667</v>
      </c>
      <c r="E782" s="6" t="s">
        <v>2601</v>
      </c>
      <c r="F782" s="6">
        <v>132347</v>
      </c>
      <c r="G782" s="6" t="s">
        <v>2609</v>
      </c>
      <c r="H782" s="6" t="s">
        <v>2617</v>
      </c>
      <c r="I782" s="6" t="s">
        <v>3134</v>
      </c>
      <c r="J782" s="6" t="s">
        <v>3308</v>
      </c>
      <c r="K782" s="6">
        <v>33</v>
      </c>
    </row>
    <row r="783" spans="1:11" x14ac:dyDescent="0.3">
      <c r="A783" s="6" t="s">
        <v>790</v>
      </c>
      <c r="B783" s="6" t="s">
        <v>2082</v>
      </c>
      <c r="C783" s="7">
        <v>22643</v>
      </c>
      <c r="D783" s="8">
        <v>32230</v>
      </c>
      <c r="E783" s="6" t="s">
        <v>2599</v>
      </c>
      <c r="F783" s="6">
        <v>192227</v>
      </c>
      <c r="G783" s="6" t="s">
        <v>2607</v>
      </c>
      <c r="H783" s="6" t="s">
        <v>2617</v>
      </c>
      <c r="I783" s="6" t="s">
        <v>3135</v>
      </c>
      <c r="J783" s="6" t="s">
        <v>3309</v>
      </c>
      <c r="K783" s="6">
        <v>37</v>
      </c>
    </row>
    <row r="784" spans="1:11" x14ac:dyDescent="0.3">
      <c r="A784" s="6" t="s">
        <v>791</v>
      </c>
      <c r="B784" s="6" t="s">
        <v>2083</v>
      </c>
      <c r="C784" s="7">
        <v>29235</v>
      </c>
      <c r="D784" s="8">
        <v>37846</v>
      </c>
      <c r="E784" s="6" t="s">
        <v>2599</v>
      </c>
      <c r="F784" s="6">
        <v>159626</v>
      </c>
      <c r="G784" s="6" t="s">
        <v>2608</v>
      </c>
      <c r="H784" s="6" t="s">
        <v>2616</v>
      </c>
      <c r="I784" s="6" t="s">
        <v>3136</v>
      </c>
      <c r="J784" s="6" t="s">
        <v>3305</v>
      </c>
      <c r="K784" s="6">
        <v>22</v>
      </c>
    </row>
    <row r="785" spans="1:11" x14ac:dyDescent="0.3">
      <c r="A785" s="6" t="s">
        <v>792</v>
      </c>
      <c r="B785" s="6" t="s">
        <v>2084</v>
      </c>
      <c r="C785" s="7">
        <v>25030</v>
      </c>
      <c r="D785" s="8">
        <v>38115</v>
      </c>
      <c r="E785" s="6" t="s">
        <v>2600</v>
      </c>
      <c r="F785" s="6">
        <v>64261</v>
      </c>
      <c r="G785" s="6" t="s">
        <v>2612</v>
      </c>
      <c r="H785" s="6" t="s">
        <v>2617</v>
      </c>
      <c r="I785" s="6" t="s">
        <v>3137</v>
      </c>
      <c r="J785" s="6" t="s">
        <v>3306</v>
      </c>
      <c r="K785" s="6">
        <v>21</v>
      </c>
    </row>
    <row r="786" spans="1:11" x14ac:dyDescent="0.3">
      <c r="A786" s="6" t="s">
        <v>793</v>
      </c>
      <c r="B786" s="6" t="s">
        <v>2085</v>
      </c>
      <c r="C786" s="7">
        <v>23710</v>
      </c>
      <c r="D786" s="8">
        <v>30829</v>
      </c>
      <c r="E786" s="6" t="s">
        <v>2601</v>
      </c>
      <c r="F786" s="6">
        <v>175954</v>
      </c>
      <c r="G786" s="6" t="s">
        <v>2613</v>
      </c>
      <c r="H786" s="6" t="s">
        <v>2617</v>
      </c>
      <c r="I786" s="6" t="s">
        <v>2995</v>
      </c>
      <c r="J786" s="6" t="s">
        <v>3310</v>
      </c>
      <c r="K786" s="6">
        <v>41</v>
      </c>
    </row>
    <row r="787" spans="1:11" x14ac:dyDescent="0.3">
      <c r="A787" s="6" t="s">
        <v>794</v>
      </c>
      <c r="B787" s="6" t="s">
        <v>2086</v>
      </c>
      <c r="C787" s="7">
        <v>36747</v>
      </c>
      <c r="D787" s="8">
        <v>34154</v>
      </c>
      <c r="E787" s="6" t="s">
        <v>2604</v>
      </c>
      <c r="F787" s="6">
        <v>82528</v>
      </c>
      <c r="G787" s="6" t="s">
        <v>2606</v>
      </c>
      <c r="H787" s="6" t="s">
        <v>2617</v>
      </c>
      <c r="I787" s="6" t="s">
        <v>3138</v>
      </c>
      <c r="J787" s="6" t="s">
        <v>3310</v>
      </c>
      <c r="K787" s="6">
        <v>32</v>
      </c>
    </row>
    <row r="788" spans="1:11" x14ac:dyDescent="0.3">
      <c r="A788" s="6" t="s">
        <v>795</v>
      </c>
      <c r="B788" s="6" t="s">
        <v>2087</v>
      </c>
      <c r="C788" s="7">
        <v>36721</v>
      </c>
      <c r="D788" s="8">
        <v>26366</v>
      </c>
      <c r="E788" s="6" t="s">
        <v>2604</v>
      </c>
      <c r="F788" s="6">
        <v>103637</v>
      </c>
      <c r="G788" s="6" t="s">
        <v>2612</v>
      </c>
      <c r="H788" s="6" t="s">
        <v>2616</v>
      </c>
      <c r="I788" s="6" t="s">
        <v>3093</v>
      </c>
      <c r="J788" s="6" t="s">
        <v>3308</v>
      </c>
      <c r="K788" s="6">
        <v>53</v>
      </c>
    </row>
    <row r="789" spans="1:11" x14ac:dyDescent="0.3">
      <c r="A789" s="6" t="s">
        <v>796</v>
      </c>
      <c r="B789" s="6" t="s">
        <v>2088</v>
      </c>
      <c r="C789" s="7">
        <v>26810</v>
      </c>
      <c r="D789" s="8">
        <v>38399</v>
      </c>
      <c r="E789" s="6" t="s">
        <v>2603</v>
      </c>
      <c r="F789" s="6">
        <v>160685</v>
      </c>
      <c r="G789" s="6" t="s">
        <v>2612</v>
      </c>
      <c r="H789" s="6" t="s">
        <v>2616</v>
      </c>
      <c r="I789" s="6" t="s">
        <v>3139</v>
      </c>
      <c r="J789" s="6" t="s">
        <v>3310</v>
      </c>
      <c r="K789" s="6">
        <v>20</v>
      </c>
    </row>
    <row r="790" spans="1:11" x14ac:dyDescent="0.3">
      <c r="A790" s="6" t="s">
        <v>797</v>
      </c>
      <c r="B790" s="6" t="s">
        <v>2089</v>
      </c>
      <c r="C790" s="7">
        <v>24803</v>
      </c>
      <c r="D790" s="8">
        <v>40972</v>
      </c>
      <c r="E790" s="6" t="s">
        <v>2601</v>
      </c>
      <c r="F790" s="6">
        <v>193236</v>
      </c>
      <c r="G790" s="6" t="s">
        <v>2607</v>
      </c>
      <c r="H790" s="6" t="s">
        <v>2617</v>
      </c>
      <c r="I790" s="6" t="s">
        <v>3090</v>
      </c>
      <c r="J790" s="6" t="s">
        <v>3307</v>
      </c>
      <c r="K790" s="6">
        <v>13</v>
      </c>
    </row>
    <row r="791" spans="1:11" x14ac:dyDescent="0.3">
      <c r="A791" s="6" t="s">
        <v>798</v>
      </c>
      <c r="B791" s="6" t="s">
        <v>2090</v>
      </c>
      <c r="C791" s="7">
        <v>24234</v>
      </c>
      <c r="D791" s="8">
        <v>28828</v>
      </c>
      <c r="E791" s="6" t="s">
        <v>2601</v>
      </c>
      <c r="F791" s="6">
        <v>24901</v>
      </c>
      <c r="G791" s="6" t="s">
        <v>2610</v>
      </c>
      <c r="H791" s="6" t="s">
        <v>2616</v>
      </c>
      <c r="I791" s="6" t="s">
        <v>3140</v>
      </c>
      <c r="J791" s="6" t="s">
        <v>3307</v>
      </c>
      <c r="K791" s="6">
        <v>47</v>
      </c>
    </row>
    <row r="792" spans="1:11" x14ac:dyDescent="0.3">
      <c r="A792" s="6" t="s">
        <v>799</v>
      </c>
      <c r="B792" s="6" t="s">
        <v>2091</v>
      </c>
      <c r="C792" s="7">
        <v>31087</v>
      </c>
      <c r="D792" s="8">
        <v>29753</v>
      </c>
      <c r="E792" s="6" t="s">
        <v>2599</v>
      </c>
      <c r="F792" s="6">
        <v>83935</v>
      </c>
      <c r="G792" s="6" t="s">
        <v>2609</v>
      </c>
      <c r="H792" s="6" t="s">
        <v>2617</v>
      </c>
      <c r="I792" s="6" t="s">
        <v>3141</v>
      </c>
      <c r="J792" s="6" t="s">
        <v>3306</v>
      </c>
      <c r="K792" s="6">
        <v>44</v>
      </c>
    </row>
    <row r="793" spans="1:11" x14ac:dyDescent="0.3">
      <c r="A793" s="6" t="s">
        <v>800</v>
      </c>
      <c r="B793" s="6" t="s">
        <v>2092</v>
      </c>
      <c r="C793" s="7">
        <v>24953</v>
      </c>
      <c r="D793" s="8">
        <v>39427</v>
      </c>
      <c r="E793" s="6" t="s">
        <v>2601</v>
      </c>
      <c r="F793" s="6">
        <v>85811</v>
      </c>
      <c r="G793" s="6" t="s">
        <v>2612</v>
      </c>
      <c r="H793" s="6" t="s">
        <v>2616</v>
      </c>
      <c r="I793" s="6" t="s">
        <v>3142</v>
      </c>
      <c r="J793" s="6" t="s">
        <v>3307</v>
      </c>
      <c r="K793" s="6">
        <v>18</v>
      </c>
    </row>
    <row r="794" spans="1:11" x14ac:dyDescent="0.3">
      <c r="A794" s="6" t="s">
        <v>801</v>
      </c>
      <c r="B794" s="6" t="s">
        <v>2093</v>
      </c>
      <c r="C794" s="7">
        <v>33839</v>
      </c>
      <c r="D794" s="8">
        <v>29054</v>
      </c>
      <c r="E794" s="6" t="s">
        <v>2599</v>
      </c>
      <c r="F794" s="6">
        <v>198705</v>
      </c>
      <c r="G794" s="6" t="s">
        <v>2615</v>
      </c>
      <c r="H794" s="6" t="s">
        <v>2616</v>
      </c>
      <c r="I794" s="6" t="s">
        <v>2683</v>
      </c>
      <c r="J794" s="6" t="s">
        <v>3306</v>
      </c>
      <c r="K794" s="6">
        <v>46</v>
      </c>
    </row>
    <row r="795" spans="1:11" x14ac:dyDescent="0.3">
      <c r="A795" s="6" t="s">
        <v>802</v>
      </c>
      <c r="B795" s="6" t="s">
        <v>2094</v>
      </c>
      <c r="C795" s="7">
        <v>21626</v>
      </c>
      <c r="D795" s="8">
        <v>32900</v>
      </c>
      <c r="E795" s="6" t="s">
        <v>2605</v>
      </c>
      <c r="F795" s="6">
        <v>65020</v>
      </c>
      <c r="G795" s="6" t="s">
        <v>2613</v>
      </c>
      <c r="H795" s="6" t="s">
        <v>2617</v>
      </c>
      <c r="I795" s="6" t="s">
        <v>2623</v>
      </c>
      <c r="J795" s="6" t="s">
        <v>3309</v>
      </c>
      <c r="K795" s="6">
        <v>35</v>
      </c>
    </row>
    <row r="796" spans="1:11" x14ac:dyDescent="0.3">
      <c r="A796" s="6" t="s">
        <v>803</v>
      </c>
      <c r="B796" s="6" t="s">
        <v>2095</v>
      </c>
      <c r="C796" s="7">
        <v>25671</v>
      </c>
      <c r="D796" s="8">
        <v>37415</v>
      </c>
      <c r="E796" s="6" t="s">
        <v>2602</v>
      </c>
      <c r="F796" s="6">
        <v>141609</v>
      </c>
      <c r="G796" s="6" t="s">
        <v>2609</v>
      </c>
      <c r="H796" s="6" t="s">
        <v>2617</v>
      </c>
      <c r="I796" s="6" t="s">
        <v>3143</v>
      </c>
      <c r="J796" s="6" t="s">
        <v>3310</v>
      </c>
      <c r="K796" s="6">
        <v>23</v>
      </c>
    </row>
    <row r="797" spans="1:11" x14ac:dyDescent="0.3">
      <c r="A797" s="6" t="s">
        <v>804</v>
      </c>
      <c r="B797" s="6" t="s">
        <v>2096</v>
      </c>
      <c r="C797" s="7">
        <v>32906</v>
      </c>
      <c r="D797" s="8">
        <v>39837</v>
      </c>
      <c r="E797" s="6" t="s">
        <v>2603</v>
      </c>
      <c r="F797" s="6">
        <v>84291</v>
      </c>
      <c r="G797" s="6" t="s">
        <v>2607</v>
      </c>
      <c r="H797" s="6" t="s">
        <v>2617</v>
      </c>
      <c r="I797" s="6" t="s">
        <v>3144</v>
      </c>
      <c r="J797" s="6" t="s">
        <v>3304</v>
      </c>
      <c r="K797" s="6">
        <v>16</v>
      </c>
    </row>
    <row r="798" spans="1:11" x14ac:dyDescent="0.3">
      <c r="A798" s="6" t="s">
        <v>805</v>
      </c>
      <c r="B798" s="6" t="s">
        <v>2097</v>
      </c>
      <c r="C798" s="7">
        <v>32430</v>
      </c>
      <c r="D798" s="8">
        <v>30366</v>
      </c>
      <c r="E798" s="6" t="s">
        <v>2602</v>
      </c>
      <c r="F798" s="6">
        <v>79841</v>
      </c>
      <c r="G798" s="6" t="s">
        <v>2609</v>
      </c>
      <c r="H798" s="6" t="s">
        <v>2617</v>
      </c>
      <c r="I798" s="6" t="s">
        <v>3011</v>
      </c>
      <c r="J798" s="6" t="s">
        <v>3306</v>
      </c>
      <c r="K798" s="6">
        <v>42</v>
      </c>
    </row>
    <row r="799" spans="1:11" x14ac:dyDescent="0.3">
      <c r="A799" s="6" t="s">
        <v>806</v>
      </c>
      <c r="B799" s="6" t="s">
        <v>2098</v>
      </c>
      <c r="C799" s="7">
        <v>36339</v>
      </c>
      <c r="D799" s="8">
        <v>31098</v>
      </c>
      <c r="E799" s="6" t="s">
        <v>2602</v>
      </c>
      <c r="F799" s="6">
        <v>94226</v>
      </c>
      <c r="G799" s="6" t="s">
        <v>2608</v>
      </c>
      <c r="H799" s="6" t="s">
        <v>2617</v>
      </c>
      <c r="I799" s="6" t="s">
        <v>3145</v>
      </c>
      <c r="J799" s="6" t="s">
        <v>3306</v>
      </c>
      <c r="K799" s="6">
        <v>40</v>
      </c>
    </row>
    <row r="800" spans="1:11" x14ac:dyDescent="0.3">
      <c r="A800" s="6" t="s">
        <v>807</v>
      </c>
      <c r="B800" s="6" t="s">
        <v>2099</v>
      </c>
      <c r="C800" s="7">
        <v>26718</v>
      </c>
      <c r="D800" s="8">
        <v>28114</v>
      </c>
      <c r="E800" s="6" t="s">
        <v>2601</v>
      </c>
      <c r="F800" s="6">
        <v>85464</v>
      </c>
      <c r="G800" s="6" t="s">
        <v>2610</v>
      </c>
      <c r="H800" s="6" t="s">
        <v>2616</v>
      </c>
      <c r="I800" s="6" t="s">
        <v>2770</v>
      </c>
      <c r="J800" s="6" t="s">
        <v>3310</v>
      </c>
      <c r="K800" s="6">
        <v>49</v>
      </c>
    </row>
    <row r="801" spans="1:11" x14ac:dyDescent="0.3">
      <c r="A801" s="6" t="s">
        <v>808</v>
      </c>
      <c r="B801" s="6" t="s">
        <v>2100</v>
      </c>
      <c r="C801" s="7">
        <v>21634</v>
      </c>
      <c r="D801" s="8">
        <v>29565</v>
      </c>
      <c r="E801" s="6" t="s">
        <v>2603</v>
      </c>
      <c r="F801" s="6">
        <v>64379</v>
      </c>
      <c r="G801" s="6" t="s">
        <v>2615</v>
      </c>
      <c r="H801" s="6" t="s">
        <v>2617</v>
      </c>
      <c r="I801" s="6" t="s">
        <v>2813</v>
      </c>
      <c r="J801" s="6" t="s">
        <v>3305</v>
      </c>
      <c r="K801" s="6">
        <v>45</v>
      </c>
    </row>
    <row r="802" spans="1:11" x14ac:dyDescent="0.3">
      <c r="A802" s="6" t="s">
        <v>809</v>
      </c>
      <c r="B802" s="6" t="s">
        <v>2101</v>
      </c>
      <c r="C802" s="7">
        <v>22245</v>
      </c>
      <c r="D802" s="8">
        <v>26727</v>
      </c>
      <c r="E802" s="6" t="s">
        <v>2601</v>
      </c>
      <c r="F802" s="6">
        <v>179230</v>
      </c>
      <c r="G802" s="6" t="s">
        <v>2615</v>
      </c>
      <c r="H802" s="6" t="s">
        <v>2617</v>
      </c>
      <c r="I802" s="6" t="s">
        <v>3146</v>
      </c>
      <c r="J802" s="6" t="s">
        <v>3306</v>
      </c>
      <c r="K802" s="6">
        <v>52</v>
      </c>
    </row>
    <row r="803" spans="1:11" x14ac:dyDescent="0.3">
      <c r="A803" s="6" t="s">
        <v>810</v>
      </c>
      <c r="B803" s="6" t="s">
        <v>2102</v>
      </c>
      <c r="C803" s="7">
        <v>31120</v>
      </c>
      <c r="D803" s="8">
        <v>26658</v>
      </c>
      <c r="E803" s="6" t="s">
        <v>2602</v>
      </c>
      <c r="F803" s="6">
        <v>58884</v>
      </c>
      <c r="G803" s="6" t="s">
        <v>2615</v>
      </c>
      <c r="H803" s="6" t="s">
        <v>2617</v>
      </c>
      <c r="I803" s="6" t="s">
        <v>3147</v>
      </c>
      <c r="J803" s="6" t="s">
        <v>3308</v>
      </c>
      <c r="K803" s="6">
        <v>53</v>
      </c>
    </row>
    <row r="804" spans="1:11" x14ac:dyDescent="0.3">
      <c r="A804" s="6" t="s">
        <v>811</v>
      </c>
      <c r="B804" s="6" t="s">
        <v>2103</v>
      </c>
      <c r="C804" s="7">
        <v>26956</v>
      </c>
      <c r="D804" s="8">
        <v>44781</v>
      </c>
      <c r="E804" s="6" t="s">
        <v>2604</v>
      </c>
      <c r="F804" s="6">
        <v>129143</v>
      </c>
      <c r="G804" s="6" t="s">
        <v>2612</v>
      </c>
      <c r="H804" s="6" t="s">
        <v>2616</v>
      </c>
      <c r="I804" s="6" t="s">
        <v>3148</v>
      </c>
      <c r="J804" s="6" t="s">
        <v>3304</v>
      </c>
      <c r="K804" s="6">
        <v>3</v>
      </c>
    </row>
    <row r="805" spans="1:11" x14ac:dyDescent="0.3">
      <c r="A805" s="6" t="s">
        <v>812</v>
      </c>
      <c r="B805" s="6" t="s">
        <v>2104</v>
      </c>
      <c r="C805" s="7">
        <v>22332</v>
      </c>
      <c r="D805" s="8">
        <v>41706</v>
      </c>
      <c r="E805" s="6" t="s">
        <v>2604</v>
      </c>
      <c r="F805" s="6">
        <v>100309</v>
      </c>
      <c r="G805" s="6" t="s">
        <v>2614</v>
      </c>
      <c r="H805" s="6" t="s">
        <v>2616</v>
      </c>
      <c r="I805" s="6" t="s">
        <v>2966</v>
      </c>
      <c r="J805" s="6" t="s">
        <v>3306</v>
      </c>
      <c r="K805" s="6">
        <v>11</v>
      </c>
    </row>
    <row r="806" spans="1:11" x14ac:dyDescent="0.3">
      <c r="A806" s="6" t="s">
        <v>813</v>
      </c>
      <c r="B806" s="6" t="s">
        <v>2105</v>
      </c>
      <c r="C806" s="7">
        <v>31556</v>
      </c>
      <c r="D806" s="8">
        <v>27191</v>
      </c>
      <c r="E806" s="6" t="s">
        <v>2602</v>
      </c>
      <c r="F806" s="6">
        <v>160413</v>
      </c>
      <c r="G806" s="6" t="s">
        <v>2610</v>
      </c>
      <c r="H806" s="6" t="s">
        <v>2617</v>
      </c>
      <c r="I806" s="6" t="s">
        <v>2647</v>
      </c>
      <c r="J806" s="6" t="s">
        <v>3305</v>
      </c>
      <c r="K806" s="6">
        <v>51</v>
      </c>
    </row>
    <row r="807" spans="1:11" x14ac:dyDescent="0.3">
      <c r="A807" s="6" t="s">
        <v>814</v>
      </c>
      <c r="B807" s="6" t="s">
        <v>2106</v>
      </c>
      <c r="C807" s="7">
        <v>25759</v>
      </c>
      <c r="D807" s="8">
        <v>31501</v>
      </c>
      <c r="E807" s="6" t="s">
        <v>2599</v>
      </c>
      <c r="F807" s="6">
        <v>132858</v>
      </c>
      <c r="G807" s="6" t="s">
        <v>2609</v>
      </c>
      <c r="H807" s="6" t="s">
        <v>2617</v>
      </c>
      <c r="I807" s="6" t="s">
        <v>3149</v>
      </c>
      <c r="J807" s="6" t="s">
        <v>3309</v>
      </c>
      <c r="K807" s="6">
        <v>39</v>
      </c>
    </row>
    <row r="808" spans="1:11" x14ac:dyDescent="0.3">
      <c r="A808" s="6" t="s">
        <v>815</v>
      </c>
      <c r="B808" s="6" t="s">
        <v>2107</v>
      </c>
      <c r="C808" s="7">
        <v>35376</v>
      </c>
      <c r="D808" s="8">
        <v>26556</v>
      </c>
      <c r="E808" s="6" t="s">
        <v>2601</v>
      </c>
      <c r="F808" s="6">
        <v>77177</v>
      </c>
      <c r="G808" s="6" t="s">
        <v>2613</v>
      </c>
      <c r="H808" s="6" t="s">
        <v>2616</v>
      </c>
      <c r="I808" s="6" t="s">
        <v>3150</v>
      </c>
      <c r="J808" s="6" t="s">
        <v>3310</v>
      </c>
      <c r="K808" s="6">
        <v>53</v>
      </c>
    </row>
    <row r="809" spans="1:11" x14ac:dyDescent="0.3">
      <c r="A809" s="6" t="s">
        <v>816</v>
      </c>
      <c r="B809" s="6" t="s">
        <v>2108</v>
      </c>
      <c r="C809" s="7">
        <v>35739</v>
      </c>
      <c r="D809" s="8">
        <v>44614</v>
      </c>
      <c r="E809" s="6" t="s">
        <v>2604</v>
      </c>
      <c r="F809" s="6">
        <v>70122</v>
      </c>
      <c r="G809" s="6" t="s">
        <v>2609</v>
      </c>
      <c r="H809" s="6" t="s">
        <v>2616</v>
      </c>
      <c r="I809" s="6" t="s">
        <v>3144</v>
      </c>
      <c r="J809" s="6" t="s">
        <v>3307</v>
      </c>
      <c r="K809" s="6">
        <v>3</v>
      </c>
    </row>
    <row r="810" spans="1:11" x14ac:dyDescent="0.3">
      <c r="A810" s="6" t="s">
        <v>817</v>
      </c>
      <c r="B810" s="6" t="s">
        <v>2109</v>
      </c>
      <c r="C810" s="7">
        <v>36171</v>
      </c>
      <c r="D810" s="8">
        <v>40216</v>
      </c>
      <c r="E810" s="6" t="s">
        <v>2603</v>
      </c>
      <c r="F810" s="6">
        <v>196913</v>
      </c>
      <c r="G810" s="6" t="s">
        <v>2606</v>
      </c>
      <c r="H810" s="6" t="s">
        <v>2616</v>
      </c>
      <c r="I810" s="6" t="s">
        <v>2718</v>
      </c>
      <c r="J810" s="6" t="s">
        <v>3309</v>
      </c>
      <c r="K810" s="6">
        <v>15</v>
      </c>
    </row>
    <row r="811" spans="1:11" x14ac:dyDescent="0.3">
      <c r="A811" s="6" t="s">
        <v>818</v>
      </c>
      <c r="B811" s="6" t="s">
        <v>2110</v>
      </c>
      <c r="C811" s="7">
        <v>32835</v>
      </c>
      <c r="D811" s="8">
        <v>40813</v>
      </c>
      <c r="E811" s="6" t="s">
        <v>2604</v>
      </c>
      <c r="F811" s="6">
        <v>141454</v>
      </c>
      <c r="G811" s="6" t="s">
        <v>2606</v>
      </c>
      <c r="H811" s="6" t="s">
        <v>2616</v>
      </c>
      <c r="I811" s="6" t="s">
        <v>3141</v>
      </c>
      <c r="J811" s="6" t="s">
        <v>3304</v>
      </c>
      <c r="K811" s="6">
        <v>14</v>
      </c>
    </row>
    <row r="812" spans="1:11" x14ac:dyDescent="0.3">
      <c r="A812" s="6" t="s">
        <v>819</v>
      </c>
      <c r="B812" s="6" t="s">
        <v>2111</v>
      </c>
      <c r="C812" s="7">
        <v>32711</v>
      </c>
      <c r="D812" s="8">
        <v>33657</v>
      </c>
      <c r="E812" s="6" t="s">
        <v>2605</v>
      </c>
      <c r="F812" s="6">
        <v>67914</v>
      </c>
      <c r="G812" s="6" t="s">
        <v>2615</v>
      </c>
      <c r="H812" s="6" t="s">
        <v>2616</v>
      </c>
      <c r="I812" s="6" t="s">
        <v>2700</v>
      </c>
      <c r="J812" s="6" t="s">
        <v>3305</v>
      </c>
      <c r="K812" s="6">
        <v>33</v>
      </c>
    </row>
    <row r="813" spans="1:11" x14ac:dyDescent="0.3">
      <c r="A813" s="6" t="s">
        <v>820</v>
      </c>
      <c r="B813" s="6" t="s">
        <v>2112</v>
      </c>
      <c r="C813" s="7">
        <v>30768</v>
      </c>
      <c r="D813" s="8">
        <v>26219</v>
      </c>
      <c r="E813" s="6" t="s">
        <v>2601</v>
      </c>
      <c r="F813" s="6">
        <v>196348</v>
      </c>
      <c r="G813" s="6" t="s">
        <v>2607</v>
      </c>
      <c r="H813" s="6" t="s">
        <v>2616</v>
      </c>
      <c r="I813" s="6" t="s">
        <v>2635</v>
      </c>
      <c r="J813" s="6" t="s">
        <v>3308</v>
      </c>
      <c r="K813" s="6">
        <v>54</v>
      </c>
    </row>
    <row r="814" spans="1:11" x14ac:dyDescent="0.3">
      <c r="A814" s="6" t="s">
        <v>821</v>
      </c>
      <c r="B814" s="6" t="s">
        <v>2113</v>
      </c>
      <c r="C814" s="7">
        <v>24947</v>
      </c>
      <c r="D814" s="8">
        <v>33313</v>
      </c>
      <c r="E814" s="6" t="s">
        <v>2599</v>
      </c>
      <c r="F814" s="6">
        <v>125083</v>
      </c>
      <c r="G814" s="6" t="s">
        <v>2607</v>
      </c>
      <c r="H814" s="6" t="s">
        <v>2617</v>
      </c>
      <c r="I814" s="6" t="s">
        <v>3151</v>
      </c>
      <c r="J814" s="6" t="s">
        <v>3308</v>
      </c>
      <c r="K814" s="6">
        <v>34</v>
      </c>
    </row>
    <row r="815" spans="1:11" x14ac:dyDescent="0.3">
      <c r="A815" s="6" t="s">
        <v>822</v>
      </c>
      <c r="B815" s="6" t="s">
        <v>2114</v>
      </c>
      <c r="C815" s="7">
        <v>32600</v>
      </c>
      <c r="D815" s="8">
        <v>33891</v>
      </c>
      <c r="E815" s="6" t="s">
        <v>2603</v>
      </c>
      <c r="F815" s="6">
        <v>87323</v>
      </c>
      <c r="G815" s="6" t="s">
        <v>2612</v>
      </c>
      <c r="H815" s="6" t="s">
        <v>2616</v>
      </c>
      <c r="I815" s="6" t="s">
        <v>3095</v>
      </c>
      <c r="J815" s="6" t="s">
        <v>3310</v>
      </c>
      <c r="K815" s="6">
        <v>33</v>
      </c>
    </row>
    <row r="816" spans="1:11" x14ac:dyDescent="0.3">
      <c r="A816" s="6" t="s">
        <v>823</v>
      </c>
      <c r="B816" s="6" t="s">
        <v>2115</v>
      </c>
      <c r="C816" s="7">
        <v>31799</v>
      </c>
      <c r="D816" s="8">
        <v>36354</v>
      </c>
      <c r="E816" s="6" t="s">
        <v>2601</v>
      </c>
      <c r="F816" s="6">
        <v>194390</v>
      </c>
      <c r="G816" s="6" t="s">
        <v>2610</v>
      </c>
      <c r="H816" s="6" t="s">
        <v>2616</v>
      </c>
      <c r="I816" s="6" t="s">
        <v>3050</v>
      </c>
      <c r="J816" s="6" t="s">
        <v>3307</v>
      </c>
      <c r="K816" s="6">
        <v>26</v>
      </c>
    </row>
    <row r="817" spans="1:11" x14ac:dyDescent="0.3">
      <c r="A817" s="6" t="s">
        <v>824</v>
      </c>
      <c r="B817" s="6" t="s">
        <v>2116</v>
      </c>
      <c r="C817" s="7">
        <v>23964</v>
      </c>
      <c r="D817" s="8">
        <v>44243</v>
      </c>
      <c r="E817" s="6" t="s">
        <v>2602</v>
      </c>
      <c r="F817" s="6">
        <v>176374</v>
      </c>
      <c r="G817" s="6" t="s">
        <v>2608</v>
      </c>
      <c r="H817" s="6" t="s">
        <v>2616</v>
      </c>
      <c r="I817" s="6" t="s">
        <v>3152</v>
      </c>
      <c r="J817" s="6" t="s">
        <v>3310</v>
      </c>
      <c r="K817" s="6">
        <v>4</v>
      </c>
    </row>
    <row r="818" spans="1:11" x14ac:dyDescent="0.3">
      <c r="A818" s="6" t="s">
        <v>825</v>
      </c>
      <c r="B818" s="6" t="s">
        <v>2117</v>
      </c>
      <c r="C818" s="7">
        <v>35364</v>
      </c>
      <c r="D818" s="8">
        <v>36833</v>
      </c>
      <c r="E818" s="6" t="s">
        <v>2601</v>
      </c>
      <c r="F818" s="6">
        <v>50911</v>
      </c>
      <c r="G818" s="6" t="s">
        <v>2615</v>
      </c>
      <c r="H818" s="6" t="s">
        <v>2617</v>
      </c>
      <c r="I818" s="6" t="s">
        <v>3095</v>
      </c>
      <c r="J818" s="6" t="s">
        <v>3304</v>
      </c>
      <c r="K818" s="6">
        <v>25</v>
      </c>
    </row>
    <row r="819" spans="1:11" x14ac:dyDescent="0.3">
      <c r="A819" s="6" t="s">
        <v>826</v>
      </c>
      <c r="B819" s="6" t="s">
        <v>2118</v>
      </c>
      <c r="C819" s="7">
        <v>24594</v>
      </c>
      <c r="D819" s="8">
        <v>28276</v>
      </c>
      <c r="E819" s="6" t="s">
        <v>2600</v>
      </c>
      <c r="F819" s="6">
        <v>49092</v>
      </c>
      <c r="G819" s="6" t="s">
        <v>2613</v>
      </c>
      <c r="H819" s="6" t="s">
        <v>2616</v>
      </c>
      <c r="I819" s="6" t="s">
        <v>2691</v>
      </c>
      <c r="J819" s="6" t="s">
        <v>3309</v>
      </c>
      <c r="K819" s="6">
        <v>48</v>
      </c>
    </row>
    <row r="820" spans="1:11" x14ac:dyDescent="0.3">
      <c r="A820" s="6" t="s">
        <v>827</v>
      </c>
      <c r="B820" s="6" t="s">
        <v>2119</v>
      </c>
      <c r="C820" s="7">
        <v>25454</v>
      </c>
      <c r="D820" s="8">
        <v>33814</v>
      </c>
      <c r="E820" s="6" t="s">
        <v>2601</v>
      </c>
      <c r="F820" s="6">
        <v>197625</v>
      </c>
      <c r="G820" s="6" t="s">
        <v>2615</v>
      </c>
      <c r="H820" s="6" t="s">
        <v>2617</v>
      </c>
      <c r="I820" s="6" t="s">
        <v>3153</v>
      </c>
      <c r="J820" s="6" t="s">
        <v>3308</v>
      </c>
      <c r="K820" s="6">
        <v>33</v>
      </c>
    </row>
    <row r="821" spans="1:11" x14ac:dyDescent="0.3">
      <c r="A821" s="6" t="s">
        <v>828</v>
      </c>
      <c r="B821" s="6" t="s">
        <v>2120</v>
      </c>
      <c r="C821" s="7">
        <v>24735</v>
      </c>
      <c r="D821" s="8">
        <v>44821</v>
      </c>
      <c r="E821" s="6" t="s">
        <v>2599</v>
      </c>
      <c r="F821" s="6">
        <v>99610</v>
      </c>
      <c r="G821" s="6" t="s">
        <v>2615</v>
      </c>
      <c r="H821" s="6" t="s">
        <v>2617</v>
      </c>
      <c r="I821" s="6" t="s">
        <v>3154</v>
      </c>
      <c r="J821" s="6" t="s">
        <v>3307</v>
      </c>
      <c r="K821" s="6">
        <v>3</v>
      </c>
    </row>
    <row r="822" spans="1:11" x14ac:dyDescent="0.3">
      <c r="A822" s="6" t="s">
        <v>829</v>
      </c>
      <c r="B822" s="6" t="s">
        <v>2121</v>
      </c>
      <c r="C822" s="7">
        <v>21940</v>
      </c>
      <c r="D822" s="8">
        <v>35923</v>
      </c>
      <c r="E822" s="6" t="s">
        <v>2599</v>
      </c>
      <c r="F822" s="6">
        <v>157099</v>
      </c>
      <c r="G822" s="6" t="s">
        <v>2610</v>
      </c>
      <c r="H822" s="6" t="s">
        <v>2617</v>
      </c>
      <c r="I822" s="6" t="s">
        <v>3155</v>
      </c>
      <c r="J822" s="6" t="s">
        <v>3308</v>
      </c>
      <c r="K822" s="6">
        <v>27</v>
      </c>
    </row>
    <row r="823" spans="1:11" x14ac:dyDescent="0.3">
      <c r="A823" s="6" t="s">
        <v>830</v>
      </c>
      <c r="B823" s="6" t="s">
        <v>2122</v>
      </c>
      <c r="C823" s="7">
        <v>36659</v>
      </c>
      <c r="D823" s="8">
        <v>27775</v>
      </c>
      <c r="E823" s="6" t="s">
        <v>2604</v>
      </c>
      <c r="F823" s="6">
        <v>199975</v>
      </c>
      <c r="G823" s="6" t="s">
        <v>2613</v>
      </c>
      <c r="H823" s="6" t="s">
        <v>2616</v>
      </c>
      <c r="I823" s="6" t="s">
        <v>2829</v>
      </c>
      <c r="J823" s="6" t="s">
        <v>3310</v>
      </c>
      <c r="K823" s="6">
        <v>49</v>
      </c>
    </row>
    <row r="824" spans="1:11" x14ac:dyDescent="0.3">
      <c r="A824" s="6" t="s">
        <v>831</v>
      </c>
      <c r="B824" s="6" t="s">
        <v>2123</v>
      </c>
      <c r="C824" s="7">
        <v>33794</v>
      </c>
      <c r="D824" s="8">
        <v>30788</v>
      </c>
      <c r="E824" s="6" t="s">
        <v>2600</v>
      </c>
      <c r="F824" s="6">
        <v>68135</v>
      </c>
      <c r="G824" s="6" t="s">
        <v>2609</v>
      </c>
      <c r="H824" s="6" t="s">
        <v>2617</v>
      </c>
      <c r="I824" s="6" t="s">
        <v>2782</v>
      </c>
      <c r="J824" s="6" t="s">
        <v>3309</v>
      </c>
      <c r="K824" s="6">
        <v>41</v>
      </c>
    </row>
    <row r="825" spans="1:11" x14ac:dyDescent="0.3">
      <c r="A825" s="6" t="s">
        <v>832</v>
      </c>
      <c r="B825" s="6" t="s">
        <v>2124</v>
      </c>
      <c r="C825" s="7">
        <v>27219</v>
      </c>
      <c r="D825" s="8">
        <v>33466</v>
      </c>
      <c r="E825" s="6" t="s">
        <v>2604</v>
      </c>
      <c r="F825" s="6">
        <v>167981</v>
      </c>
      <c r="G825" s="6" t="s">
        <v>2607</v>
      </c>
      <c r="H825" s="6" t="s">
        <v>2616</v>
      </c>
      <c r="I825" s="6" t="s">
        <v>3089</v>
      </c>
      <c r="J825" s="6" t="s">
        <v>3305</v>
      </c>
      <c r="K825" s="6">
        <v>34</v>
      </c>
    </row>
    <row r="826" spans="1:11" x14ac:dyDescent="0.3">
      <c r="A826" s="6" t="s">
        <v>833</v>
      </c>
      <c r="B826" s="6" t="s">
        <v>2125</v>
      </c>
      <c r="C826" s="7">
        <v>36726</v>
      </c>
      <c r="D826" s="8">
        <v>43157</v>
      </c>
      <c r="E826" s="6" t="s">
        <v>2601</v>
      </c>
      <c r="F826" s="6">
        <v>118124</v>
      </c>
      <c r="G826" s="6" t="s">
        <v>2610</v>
      </c>
      <c r="H826" s="6" t="s">
        <v>2616</v>
      </c>
      <c r="I826" s="6" t="s">
        <v>2997</v>
      </c>
      <c r="J826" s="6" t="s">
        <v>3310</v>
      </c>
      <c r="K826" s="6">
        <v>7</v>
      </c>
    </row>
    <row r="827" spans="1:11" x14ac:dyDescent="0.3">
      <c r="A827" s="6" t="s">
        <v>834</v>
      </c>
      <c r="B827" s="6" t="s">
        <v>2126</v>
      </c>
      <c r="C827" s="7">
        <v>29971</v>
      </c>
      <c r="D827" s="8">
        <v>29701</v>
      </c>
      <c r="E827" s="6" t="s">
        <v>2600</v>
      </c>
      <c r="F827" s="6">
        <v>177784</v>
      </c>
      <c r="G827" s="6" t="s">
        <v>2613</v>
      </c>
      <c r="H827" s="6" t="s">
        <v>2617</v>
      </c>
      <c r="I827" s="6" t="s">
        <v>3156</v>
      </c>
      <c r="J827" s="6" t="s">
        <v>3310</v>
      </c>
      <c r="K827" s="6">
        <v>44</v>
      </c>
    </row>
    <row r="828" spans="1:11" x14ac:dyDescent="0.3">
      <c r="A828" s="6" t="s">
        <v>835</v>
      </c>
      <c r="B828" s="6" t="s">
        <v>2127</v>
      </c>
      <c r="C828" s="7">
        <v>26097</v>
      </c>
      <c r="D828" s="8">
        <v>41972</v>
      </c>
      <c r="E828" s="6" t="s">
        <v>2602</v>
      </c>
      <c r="F828" s="6">
        <v>109589</v>
      </c>
      <c r="G828" s="6" t="s">
        <v>2611</v>
      </c>
      <c r="H828" s="6" t="s">
        <v>2617</v>
      </c>
      <c r="I828" s="6" t="s">
        <v>3065</v>
      </c>
      <c r="J828" s="6" t="s">
        <v>3308</v>
      </c>
      <c r="K828" s="6">
        <v>11</v>
      </c>
    </row>
    <row r="829" spans="1:11" x14ac:dyDescent="0.3">
      <c r="A829" s="6" t="s">
        <v>836</v>
      </c>
      <c r="B829" s="6" t="s">
        <v>2128</v>
      </c>
      <c r="C829" s="7">
        <v>28612</v>
      </c>
      <c r="D829" s="8">
        <v>33284</v>
      </c>
      <c r="E829" s="6" t="s">
        <v>2601</v>
      </c>
      <c r="F829" s="6">
        <v>120950</v>
      </c>
      <c r="G829" s="6" t="s">
        <v>2608</v>
      </c>
      <c r="H829" s="6" t="s">
        <v>2616</v>
      </c>
      <c r="I829" s="6" t="s">
        <v>2938</v>
      </c>
      <c r="J829" s="6" t="s">
        <v>3306</v>
      </c>
      <c r="K829" s="6">
        <v>34</v>
      </c>
    </row>
    <row r="830" spans="1:11" x14ac:dyDescent="0.3">
      <c r="A830" s="6" t="s">
        <v>837</v>
      </c>
      <c r="B830" s="6" t="s">
        <v>2129</v>
      </c>
      <c r="C830" s="7">
        <v>22574</v>
      </c>
      <c r="D830" s="8">
        <v>35675</v>
      </c>
      <c r="E830" s="6" t="s">
        <v>2603</v>
      </c>
      <c r="F830" s="6">
        <v>133000</v>
      </c>
      <c r="G830" s="6" t="s">
        <v>2609</v>
      </c>
      <c r="H830" s="6" t="s">
        <v>2617</v>
      </c>
      <c r="I830" s="6" t="s">
        <v>3157</v>
      </c>
      <c r="J830" s="6" t="s">
        <v>3309</v>
      </c>
      <c r="K830" s="6">
        <v>28</v>
      </c>
    </row>
    <row r="831" spans="1:11" x14ac:dyDescent="0.3">
      <c r="A831" s="6" t="s">
        <v>838</v>
      </c>
      <c r="B831" s="6" t="s">
        <v>2130</v>
      </c>
      <c r="C831" s="7">
        <v>21907</v>
      </c>
      <c r="D831" s="8">
        <v>26388</v>
      </c>
      <c r="E831" s="6" t="s">
        <v>2600</v>
      </c>
      <c r="F831" s="6">
        <v>33767</v>
      </c>
      <c r="G831" s="6" t="s">
        <v>2610</v>
      </c>
      <c r="H831" s="6" t="s">
        <v>2616</v>
      </c>
      <c r="I831" s="6" t="s">
        <v>3158</v>
      </c>
      <c r="J831" s="6" t="s">
        <v>3306</v>
      </c>
      <c r="K831" s="6">
        <v>53</v>
      </c>
    </row>
    <row r="832" spans="1:11" x14ac:dyDescent="0.3">
      <c r="A832" s="6" t="s">
        <v>839</v>
      </c>
      <c r="B832" s="6" t="s">
        <v>2131</v>
      </c>
      <c r="C832" s="7">
        <v>32474</v>
      </c>
      <c r="D832" s="8">
        <v>29122</v>
      </c>
      <c r="E832" s="6" t="s">
        <v>2601</v>
      </c>
      <c r="F832" s="6">
        <v>196094</v>
      </c>
      <c r="G832" s="6" t="s">
        <v>2607</v>
      </c>
      <c r="H832" s="6" t="s">
        <v>2616</v>
      </c>
      <c r="I832" s="6" t="s">
        <v>2799</v>
      </c>
      <c r="J832" s="6" t="s">
        <v>3306</v>
      </c>
      <c r="K832" s="6">
        <v>46</v>
      </c>
    </row>
    <row r="833" spans="1:11" x14ac:dyDescent="0.3">
      <c r="A833" s="6" t="s">
        <v>840</v>
      </c>
      <c r="B833" s="6" t="s">
        <v>2132</v>
      </c>
      <c r="C833" s="7">
        <v>25264</v>
      </c>
      <c r="D833" s="8">
        <v>31076</v>
      </c>
      <c r="E833" s="6" t="s">
        <v>2604</v>
      </c>
      <c r="F833" s="6">
        <v>136784</v>
      </c>
      <c r="G833" s="6" t="s">
        <v>2613</v>
      </c>
      <c r="H833" s="6" t="s">
        <v>2617</v>
      </c>
      <c r="I833" s="6" t="s">
        <v>3159</v>
      </c>
      <c r="J833" s="6" t="s">
        <v>3304</v>
      </c>
      <c r="K833" s="6">
        <v>40</v>
      </c>
    </row>
    <row r="834" spans="1:11" x14ac:dyDescent="0.3">
      <c r="A834" s="6" t="s">
        <v>841</v>
      </c>
      <c r="B834" s="6" t="s">
        <v>2133</v>
      </c>
      <c r="C834" s="7">
        <v>32840</v>
      </c>
      <c r="D834" s="8">
        <v>41855</v>
      </c>
      <c r="E834" s="6" t="s">
        <v>2605</v>
      </c>
      <c r="F834" s="6">
        <v>133185</v>
      </c>
      <c r="G834" s="6" t="s">
        <v>2609</v>
      </c>
      <c r="H834" s="6" t="s">
        <v>2616</v>
      </c>
      <c r="I834" s="6" t="s">
        <v>2899</v>
      </c>
      <c r="J834" s="6" t="s">
        <v>3305</v>
      </c>
      <c r="K834" s="6">
        <v>11</v>
      </c>
    </row>
    <row r="835" spans="1:11" x14ac:dyDescent="0.3">
      <c r="A835" s="6" t="s">
        <v>842</v>
      </c>
      <c r="B835" s="6" t="s">
        <v>2134</v>
      </c>
      <c r="C835" s="7">
        <v>29552</v>
      </c>
      <c r="D835" s="8">
        <v>38501</v>
      </c>
      <c r="E835" s="6" t="s">
        <v>2604</v>
      </c>
      <c r="F835" s="6">
        <v>107711</v>
      </c>
      <c r="G835" s="6" t="s">
        <v>2611</v>
      </c>
      <c r="H835" s="6" t="s">
        <v>2617</v>
      </c>
      <c r="I835" s="6" t="s">
        <v>3133</v>
      </c>
      <c r="J835" s="6" t="s">
        <v>3307</v>
      </c>
      <c r="K835" s="6">
        <v>20</v>
      </c>
    </row>
    <row r="836" spans="1:11" x14ac:dyDescent="0.3">
      <c r="A836" s="6" t="s">
        <v>843</v>
      </c>
      <c r="B836" s="6" t="s">
        <v>2135</v>
      </c>
      <c r="C836" s="7">
        <v>22032</v>
      </c>
      <c r="D836" s="8">
        <v>39873</v>
      </c>
      <c r="E836" s="6" t="s">
        <v>2599</v>
      </c>
      <c r="F836" s="6">
        <v>102222</v>
      </c>
      <c r="G836" s="6" t="s">
        <v>2606</v>
      </c>
      <c r="H836" s="6" t="s">
        <v>2616</v>
      </c>
      <c r="I836" s="6" t="s">
        <v>3160</v>
      </c>
      <c r="J836" s="6" t="s">
        <v>3307</v>
      </c>
      <c r="K836" s="6">
        <v>16</v>
      </c>
    </row>
    <row r="837" spans="1:11" x14ac:dyDescent="0.3">
      <c r="A837" s="6" t="s">
        <v>844</v>
      </c>
      <c r="B837" s="6" t="s">
        <v>2136</v>
      </c>
      <c r="C837" s="7">
        <v>28692</v>
      </c>
      <c r="D837" s="8">
        <v>32128</v>
      </c>
      <c r="E837" s="6" t="s">
        <v>2600</v>
      </c>
      <c r="F837" s="6">
        <v>93367</v>
      </c>
      <c r="G837" s="6" t="s">
        <v>2607</v>
      </c>
      <c r="H837" s="6" t="s">
        <v>2617</v>
      </c>
      <c r="I837" s="6" t="s">
        <v>2849</v>
      </c>
      <c r="J837" s="6" t="s">
        <v>3310</v>
      </c>
      <c r="K837" s="6">
        <v>38</v>
      </c>
    </row>
    <row r="838" spans="1:11" x14ac:dyDescent="0.3">
      <c r="A838" s="6" t="s">
        <v>845</v>
      </c>
      <c r="B838" s="6" t="s">
        <v>2137</v>
      </c>
      <c r="C838" s="7">
        <v>27560</v>
      </c>
      <c r="D838" s="8">
        <v>30614</v>
      </c>
      <c r="E838" s="6" t="s">
        <v>2599</v>
      </c>
      <c r="F838" s="6">
        <v>179427</v>
      </c>
      <c r="G838" s="6" t="s">
        <v>2610</v>
      </c>
      <c r="H838" s="6" t="s">
        <v>2617</v>
      </c>
      <c r="I838" s="6" t="s">
        <v>2695</v>
      </c>
      <c r="J838" s="6" t="s">
        <v>3310</v>
      </c>
      <c r="K838" s="6">
        <v>42</v>
      </c>
    </row>
    <row r="839" spans="1:11" x14ac:dyDescent="0.3">
      <c r="A839" s="6" t="s">
        <v>846</v>
      </c>
      <c r="B839" s="6" t="s">
        <v>2138</v>
      </c>
      <c r="C839" s="7">
        <v>34087</v>
      </c>
      <c r="D839" s="8">
        <v>31637</v>
      </c>
      <c r="E839" s="6" t="s">
        <v>2604</v>
      </c>
      <c r="F839" s="6">
        <v>159215</v>
      </c>
      <c r="G839" s="6" t="s">
        <v>2608</v>
      </c>
      <c r="H839" s="6" t="s">
        <v>2616</v>
      </c>
      <c r="I839" s="6" t="s">
        <v>2909</v>
      </c>
      <c r="J839" s="6" t="s">
        <v>3308</v>
      </c>
      <c r="K839" s="6">
        <v>39</v>
      </c>
    </row>
    <row r="840" spans="1:11" x14ac:dyDescent="0.3">
      <c r="A840" s="6" t="s">
        <v>847</v>
      </c>
      <c r="B840" s="6" t="s">
        <v>2139</v>
      </c>
      <c r="C840" s="7">
        <v>34826</v>
      </c>
      <c r="D840" s="8">
        <v>40185</v>
      </c>
      <c r="E840" s="6" t="s">
        <v>2599</v>
      </c>
      <c r="F840" s="6">
        <v>187225</v>
      </c>
      <c r="G840" s="6" t="s">
        <v>2613</v>
      </c>
      <c r="H840" s="6" t="s">
        <v>2617</v>
      </c>
      <c r="I840" s="6" t="s">
        <v>3069</v>
      </c>
      <c r="J840" s="6" t="s">
        <v>3310</v>
      </c>
      <c r="K840" s="6">
        <v>15</v>
      </c>
    </row>
    <row r="841" spans="1:11" x14ac:dyDescent="0.3">
      <c r="A841" s="6" t="s">
        <v>848</v>
      </c>
      <c r="B841" s="6" t="s">
        <v>2140</v>
      </c>
      <c r="C841" s="7">
        <v>29984</v>
      </c>
      <c r="D841" s="8">
        <v>41221</v>
      </c>
      <c r="E841" s="6" t="s">
        <v>2603</v>
      </c>
      <c r="F841" s="6">
        <v>43120</v>
      </c>
      <c r="G841" s="6" t="s">
        <v>2608</v>
      </c>
      <c r="H841" s="6" t="s">
        <v>2616</v>
      </c>
      <c r="I841" s="6" t="s">
        <v>3161</v>
      </c>
      <c r="J841" s="6" t="s">
        <v>3305</v>
      </c>
      <c r="K841" s="6">
        <v>13</v>
      </c>
    </row>
    <row r="842" spans="1:11" x14ac:dyDescent="0.3">
      <c r="A842" s="6" t="s">
        <v>849</v>
      </c>
      <c r="B842" s="6" t="s">
        <v>2141</v>
      </c>
      <c r="C842" s="7">
        <v>28248</v>
      </c>
      <c r="D842" s="8">
        <v>36896</v>
      </c>
      <c r="E842" s="6" t="s">
        <v>2600</v>
      </c>
      <c r="F842" s="6">
        <v>145199</v>
      </c>
      <c r="G842" s="6" t="s">
        <v>2610</v>
      </c>
      <c r="H842" s="6" t="s">
        <v>2617</v>
      </c>
      <c r="I842" s="6" t="s">
        <v>3162</v>
      </c>
      <c r="J842" s="6" t="s">
        <v>3309</v>
      </c>
      <c r="K842" s="6">
        <v>24</v>
      </c>
    </row>
    <row r="843" spans="1:11" x14ac:dyDescent="0.3">
      <c r="A843" s="6" t="s">
        <v>850</v>
      </c>
      <c r="B843" s="6" t="s">
        <v>2142</v>
      </c>
      <c r="C843" s="7">
        <v>25988</v>
      </c>
      <c r="D843" s="8">
        <v>36247</v>
      </c>
      <c r="E843" s="6" t="s">
        <v>2603</v>
      </c>
      <c r="F843" s="6">
        <v>164358</v>
      </c>
      <c r="G843" s="6" t="s">
        <v>2608</v>
      </c>
      <c r="H843" s="6" t="s">
        <v>2616</v>
      </c>
      <c r="I843" s="6" t="s">
        <v>3163</v>
      </c>
      <c r="J843" s="6" t="s">
        <v>3308</v>
      </c>
      <c r="K843" s="6">
        <v>26</v>
      </c>
    </row>
    <row r="844" spans="1:11" x14ac:dyDescent="0.3">
      <c r="A844" s="6" t="s">
        <v>851</v>
      </c>
      <c r="B844" s="6" t="s">
        <v>2143</v>
      </c>
      <c r="C844" s="7">
        <v>28283</v>
      </c>
      <c r="D844" s="8">
        <v>31304</v>
      </c>
      <c r="E844" s="6" t="s">
        <v>2602</v>
      </c>
      <c r="F844" s="6">
        <v>47919</v>
      </c>
      <c r="G844" s="6" t="s">
        <v>2608</v>
      </c>
      <c r="H844" s="6" t="s">
        <v>2616</v>
      </c>
      <c r="I844" s="6" t="s">
        <v>2653</v>
      </c>
      <c r="J844" s="6" t="s">
        <v>3310</v>
      </c>
      <c r="K844" s="6">
        <v>40</v>
      </c>
    </row>
    <row r="845" spans="1:11" x14ac:dyDescent="0.3">
      <c r="A845" s="6" t="s">
        <v>852</v>
      </c>
      <c r="B845" s="6" t="s">
        <v>2144</v>
      </c>
      <c r="C845" s="7">
        <v>25025</v>
      </c>
      <c r="D845" s="8">
        <v>26549</v>
      </c>
      <c r="E845" s="6" t="s">
        <v>2605</v>
      </c>
      <c r="F845" s="6">
        <v>176807</v>
      </c>
      <c r="G845" s="6" t="s">
        <v>2610</v>
      </c>
      <c r="H845" s="6" t="s">
        <v>2617</v>
      </c>
      <c r="I845" s="6" t="s">
        <v>3164</v>
      </c>
      <c r="J845" s="6" t="s">
        <v>3306</v>
      </c>
      <c r="K845" s="6">
        <v>53</v>
      </c>
    </row>
    <row r="846" spans="1:11" x14ac:dyDescent="0.3">
      <c r="A846" s="6" t="s">
        <v>853</v>
      </c>
      <c r="B846" s="6" t="s">
        <v>2145</v>
      </c>
      <c r="C846" s="7">
        <v>24008</v>
      </c>
      <c r="D846" s="8">
        <v>33143</v>
      </c>
      <c r="E846" s="6" t="s">
        <v>2602</v>
      </c>
      <c r="F846" s="6">
        <v>59615</v>
      </c>
      <c r="G846" s="6" t="s">
        <v>2611</v>
      </c>
      <c r="H846" s="6" t="s">
        <v>2616</v>
      </c>
      <c r="I846" s="6" t="s">
        <v>2742</v>
      </c>
      <c r="J846" s="6" t="s">
        <v>3310</v>
      </c>
      <c r="K846" s="6">
        <v>35</v>
      </c>
    </row>
    <row r="847" spans="1:11" x14ac:dyDescent="0.3">
      <c r="A847" s="6" t="s">
        <v>854</v>
      </c>
      <c r="B847" s="6" t="s">
        <v>2146</v>
      </c>
      <c r="C847" s="7">
        <v>27032</v>
      </c>
      <c r="D847" s="8">
        <v>30906</v>
      </c>
      <c r="E847" s="6" t="s">
        <v>2601</v>
      </c>
      <c r="F847" s="6">
        <v>95159</v>
      </c>
      <c r="G847" s="6" t="s">
        <v>2613</v>
      </c>
      <c r="H847" s="6" t="s">
        <v>2617</v>
      </c>
      <c r="I847" s="6" t="s">
        <v>3159</v>
      </c>
      <c r="J847" s="6" t="s">
        <v>3306</v>
      </c>
      <c r="K847" s="6">
        <v>41</v>
      </c>
    </row>
    <row r="848" spans="1:11" x14ac:dyDescent="0.3">
      <c r="A848" s="6" t="s">
        <v>855</v>
      </c>
      <c r="B848" s="6" t="s">
        <v>2147</v>
      </c>
      <c r="C848" s="7">
        <v>26392</v>
      </c>
      <c r="D848" s="8">
        <v>29636</v>
      </c>
      <c r="E848" s="6" t="s">
        <v>2604</v>
      </c>
      <c r="F848" s="6">
        <v>102745</v>
      </c>
      <c r="G848" s="6" t="s">
        <v>2614</v>
      </c>
      <c r="H848" s="6" t="s">
        <v>2616</v>
      </c>
      <c r="I848" s="6" t="s">
        <v>3165</v>
      </c>
      <c r="J848" s="6" t="s">
        <v>3306</v>
      </c>
      <c r="K848" s="6">
        <v>44</v>
      </c>
    </row>
    <row r="849" spans="1:11" x14ac:dyDescent="0.3">
      <c r="A849" s="6" t="s">
        <v>856</v>
      </c>
      <c r="B849" s="6" t="s">
        <v>2148</v>
      </c>
      <c r="C849" s="7">
        <v>28986</v>
      </c>
      <c r="D849" s="8">
        <v>42500</v>
      </c>
      <c r="E849" s="6" t="s">
        <v>2600</v>
      </c>
      <c r="F849" s="6">
        <v>42005</v>
      </c>
      <c r="G849" s="6" t="s">
        <v>2610</v>
      </c>
      <c r="H849" s="6" t="s">
        <v>2617</v>
      </c>
      <c r="I849" s="6" t="s">
        <v>3166</v>
      </c>
      <c r="J849" s="6" t="s">
        <v>3305</v>
      </c>
      <c r="K849" s="6">
        <v>9</v>
      </c>
    </row>
    <row r="850" spans="1:11" x14ac:dyDescent="0.3">
      <c r="A850" s="6" t="s">
        <v>857</v>
      </c>
      <c r="B850" s="6" t="s">
        <v>2149</v>
      </c>
      <c r="C850" s="7">
        <v>21739</v>
      </c>
      <c r="D850" s="8">
        <v>33485</v>
      </c>
      <c r="E850" s="6" t="s">
        <v>2602</v>
      </c>
      <c r="F850" s="6">
        <v>195759</v>
      </c>
      <c r="G850" s="6" t="s">
        <v>2611</v>
      </c>
      <c r="H850" s="6" t="s">
        <v>2616</v>
      </c>
      <c r="I850" s="6" t="s">
        <v>2847</v>
      </c>
      <c r="J850" s="6" t="s">
        <v>3305</v>
      </c>
      <c r="K850" s="6">
        <v>34</v>
      </c>
    </row>
    <row r="851" spans="1:11" x14ac:dyDescent="0.3">
      <c r="A851" s="6" t="s">
        <v>858</v>
      </c>
      <c r="B851" s="6" t="s">
        <v>2150</v>
      </c>
      <c r="C851" s="7">
        <v>22895</v>
      </c>
      <c r="D851" s="8">
        <v>26267</v>
      </c>
      <c r="E851" s="6" t="s">
        <v>2600</v>
      </c>
      <c r="F851" s="6">
        <v>107380</v>
      </c>
      <c r="G851" s="6" t="s">
        <v>2611</v>
      </c>
      <c r="H851" s="6" t="s">
        <v>2616</v>
      </c>
      <c r="I851" s="6" t="s">
        <v>3167</v>
      </c>
      <c r="J851" s="6" t="s">
        <v>3306</v>
      </c>
      <c r="K851" s="6">
        <v>54</v>
      </c>
    </row>
    <row r="852" spans="1:11" x14ac:dyDescent="0.3">
      <c r="A852" s="6" t="s">
        <v>859</v>
      </c>
      <c r="B852" s="6" t="s">
        <v>2151</v>
      </c>
      <c r="C852" s="7">
        <v>32580</v>
      </c>
      <c r="D852" s="8">
        <v>37666</v>
      </c>
      <c r="E852" s="6" t="s">
        <v>2603</v>
      </c>
      <c r="F852" s="6">
        <v>92896</v>
      </c>
      <c r="G852" s="6" t="s">
        <v>2606</v>
      </c>
      <c r="H852" s="6" t="s">
        <v>2616</v>
      </c>
      <c r="I852" s="6" t="s">
        <v>2644</v>
      </c>
      <c r="J852" s="6" t="s">
        <v>3306</v>
      </c>
      <c r="K852" s="6">
        <v>22</v>
      </c>
    </row>
    <row r="853" spans="1:11" x14ac:dyDescent="0.3">
      <c r="A853" s="6" t="s">
        <v>860</v>
      </c>
      <c r="B853" s="6" t="s">
        <v>2152</v>
      </c>
      <c r="C853" s="7">
        <v>22073</v>
      </c>
      <c r="D853" s="8">
        <v>44390</v>
      </c>
      <c r="E853" s="6" t="s">
        <v>2603</v>
      </c>
      <c r="F853" s="6">
        <v>177327</v>
      </c>
      <c r="G853" s="6" t="s">
        <v>2609</v>
      </c>
      <c r="H853" s="6" t="s">
        <v>2617</v>
      </c>
      <c r="I853" s="6" t="s">
        <v>3071</v>
      </c>
      <c r="J853" s="6" t="s">
        <v>3309</v>
      </c>
      <c r="K853" s="6">
        <v>4</v>
      </c>
    </row>
    <row r="854" spans="1:11" x14ac:dyDescent="0.3">
      <c r="A854" s="6" t="s">
        <v>861</v>
      </c>
      <c r="B854" s="6" t="s">
        <v>2153</v>
      </c>
      <c r="C854" s="7">
        <v>36243</v>
      </c>
      <c r="D854" s="8">
        <v>28546</v>
      </c>
      <c r="E854" s="6" t="s">
        <v>2601</v>
      </c>
      <c r="F854" s="6">
        <v>68084</v>
      </c>
      <c r="G854" s="6" t="s">
        <v>2606</v>
      </c>
      <c r="H854" s="6" t="s">
        <v>2616</v>
      </c>
      <c r="I854" s="6" t="s">
        <v>2669</v>
      </c>
      <c r="J854" s="6" t="s">
        <v>3310</v>
      </c>
      <c r="K854" s="6">
        <v>47</v>
      </c>
    </row>
    <row r="855" spans="1:11" x14ac:dyDescent="0.3">
      <c r="A855" s="6" t="s">
        <v>862</v>
      </c>
      <c r="B855" s="6" t="s">
        <v>2154</v>
      </c>
      <c r="C855" s="7">
        <v>24371</v>
      </c>
      <c r="D855" s="8">
        <v>44561</v>
      </c>
      <c r="E855" s="6" t="s">
        <v>2600</v>
      </c>
      <c r="F855" s="6">
        <v>146771</v>
      </c>
      <c r="G855" s="6" t="s">
        <v>2611</v>
      </c>
      <c r="H855" s="6" t="s">
        <v>2617</v>
      </c>
      <c r="I855" s="6" t="s">
        <v>3168</v>
      </c>
      <c r="J855" s="6" t="s">
        <v>3305</v>
      </c>
      <c r="K855" s="6">
        <v>4</v>
      </c>
    </row>
    <row r="856" spans="1:11" x14ac:dyDescent="0.3">
      <c r="A856" s="6" t="s">
        <v>863</v>
      </c>
      <c r="B856" s="6" t="s">
        <v>2155</v>
      </c>
      <c r="C856" s="7">
        <v>35801</v>
      </c>
      <c r="D856" s="8">
        <v>34201</v>
      </c>
      <c r="E856" s="6" t="s">
        <v>2600</v>
      </c>
      <c r="F856" s="6">
        <v>55155</v>
      </c>
      <c r="G856" s="6" t="s">
        <v>2612</v>
      </c>
      <c r="H856" s="6" t="s">
        <v>2617</v>
      </c>
      <c r="I856" s="6" t="s">
        <v>3062</v>
      </c>
      <c r="J856" s="6" t="s">
        <v>3307</v>
      </c>
      <c r="K856" s="6">
        <v>32</v>
      </c>
    </row>
    <row r="857" spans="1:11" x14ac:dyDescent="0.3">
      <c r="A857" s="6" t="s">
        <v>864</v>
      </c>
      <c r="B857" s="6" t="s">
        <v>2156</v>
      </c>
      <c r="C857" s="7">
        <v>26340</v>
      </c>
      <c r="D857" s="8">
        <v>39226</v>
      </c>
      <c r="E857" s="6" t="s">
        <v>2599</v>
      </c>
      <c r="F857" s="6">
        <v>22689</v>
      </c>
      <c r="G857" s="6" t="s">
        <v>2611</v>
      </c>
      <c r="H857" s="6" t="s">
        <v>2616</v>
      </c>
      <c r="I857" s="6" t="s">
        <v>3169</v>
      </c>
      <c r="J857" s="6" t="s">
        <v>3306</v>
      </c>
      <c r="K857" s="6">
        <v>18</v>
      </c>
    </row>
    <row r="858" spans="1:11" x14ac:dyDescent="0.3">
      <c r="A858" s="6" t="s">
        <v>865</v>
      </c>
      <c r="B858" s="6" t="s">
        <v>2157</v>
      </c>
      <c r="C858" s="7">
        <v>23699</v>
      </c>
      <c r="D858" s="8">
        <v>39604</v>
      </c>
      <c r="E858" s="6" t="s">
        <v>2603</v>
      </c>
      <c r="F858" s="6">
        <v>195381</v>
      </c>
      <c r="G858" s="6" t="s">
        <v>2607</v>
      </c>
      <c r="H858" s="6" t="s">
        <v>2616</v>
      </c>
      <c r="I858" s="6" t="s">
        <v>3170</v>
      </c>
      <c r="J858" s="6" t="s">
        <v>3306</v>
      </c>
      <c r="K858" s="6">
        <v>17</v>
      </c>
    </row>
    <row r="859" spans="1:11" x14ac:dyDescent="0.3">
      <c r="A859" s="6" t="s">
        <v>866</v>
      </c>
      <c r="B859" s="6" t="s">
        <v>2158</v>
      </c>
      <c r="C859" s="7">
        <v>27317</v>
      </c>
      <c r="D859" s="8">
        <v>43138</v>
      </c>
      <c r="E859" s="6" t="s">
        <v>2605</v>
      </c>
      <c r="F859" s="6">
        <v>178055</v>
      </c>
      <c r="G859" s="6" t="s">
        <v>2614</v>
      </c>
      <c r="H859" s="6" t="s">
        <v>2617</v>
      </c>
      <c r="I859" s="6" t="s">
        <v>2773</v>
      </c>
      <c r="J859" s="6" t="s">
        <v>3310</v>
      </c>
      <c r="K859" s="6">
        <v>7</v>
      </c>
    </row>
    <row r="860" spans="1:11" x14ac:dyDescent="0.3">
      <c r="A860" s="6" t="s">
        <v>867</v>
      </c>
      <c r="B860" s="6" t="s">
        <v>2159</v>
      </c>
      <c r="C860" s="7">
        <v>37483</v>
      </c>
      <c r="D860" s="8">
        <v>27227</v>
      </c>
      <c r="E860" s="6" t="s">
        <v>2605</v>
      </c>
      <c r="F860" s="6">
        <v>95730</v>
      </c>
      <c r="G860" s="6" t="s">
        <v>2607</v>
      </c>
      <c r="H860" s="6" t="s">
        <v>2616</v>
      </c>
      <c r="I860" s="6" t="s">
        <v>2731</v>
      </c>
      <c r="J860" s="6" t="s">
        <v>3305</v>
      </c>
      <c r="K860" s="6">
        <v>51</v>
      </c>
    </row>
    <row r="861" spans="1:11" x14ac:dyDescent="0.3">
      <c r="A861" s="6" t="s">
        <v>868</v>
      </c>
      <c r="B861" s="6" t="s">
        <v>2160</v>
      </c>
      <c r="C861" s="7">
        <v>34958</v>
      </c>
      <c r="D861" s="8">
        <v>37094</v>
      </c>
      <c r="E861" s="6" t="s">
        <v>2604</v>
      </c>
      <c r="F861" s="6">
        <v>131029</v>
      </c>
      <c r="G861" s="6" t="s">
        <v>2608</v>
      </c>
      <c r="H861" s="6" t="s">
        <v>2617</v>
      </c>
      <c r="I861" s="6" t="s">
        <v>3171</v>
      </c>
      <c r="J861" s="6" t="s">
        <v>3306</v>
      </c>
      <c r="K861" s="6">
        <v>24</v>
      </c>
    </row>
    <row r="862" spans="1:11" x14ac:dyDescent="0.3">
      <c r="A862" s="6" t="s">
        <v>869</v>
      </c>
      <c r="B862" s="6" t="s">
        <v>2161</v>
      </c>
      <c r="C862" s="7">
        <v>30518</v>
      </c>
      <c r="D862" s="8">
        <v>41789</v>
      </c>
      <c r="E862" s="6" t="s">
        <v>2603</v>
      </c>
      <c r="F862" s="6">
        <v>68875</v>
      </c>
      <c r="G862" s="6" t="s">
        <v>2608</v>
      </c>
      <c r="H862" s="6" t="s">
        <v>2616</v>
      </c>
      <c r="I862" s="6" t="s">
        <v>3102</v>
      </c>
      <c r="J862" s="6" t="s">
        <v>3308</v>
      </c>
      <c r="K862" s="6">
        <v>11</v>
      </c>
    </row>
    <row r="863" spans="1:11" x14ac:dyDescent="0.3">
      <c r="A863" s="6" t="s">
        <v>870</v>
      </c>
      <c r="B863" s="6" t="s">
        <v>2162</v>
      </c>
      <c r="C863" s="7">
        <v>23082</v>
      </c>
      <c r="D863" s="8">
        <v>42099</v>
      </c>
      <c r="E863" s="6" t="s">
        <v>2604</v>
      </c>
      <c r="F863" s="6">
        <v>171850</v>
      </c>
      <c r="G863" s="6" t="s">
        <v>2607</v>
      </c>
      <c r="H863" s="6" t="s">
        <v>2617</v>
      </c>
      <c r="I863" s="6" t="s">
        <v>2789</v>
      </c>
      <c r="J863" s="6" t="s">
        <v>3307</v>
      </c>
      <c r="K863" s="6">
        <v>10</v>
      </c>
    </row>
    <row r="864" spans="1:11" x14ac:dyDescent="0.3">
      <c r="A864" s="6" t="s">
        <v>871</v>
      </c>
      <c r="B864" s="6" t="s">
        <v>2163</v>
      </c>
      <c r="C864" s="7">
        <v>31446</v>
      </c>
      <c r="D864" s="8">
        <v>32980</v>
      </c>
      <c r="E864" s="6" t="s">
        <v>2605</v>
      </c>
      <c r="F864" s="6">
        <v>154665</v>
      </c>
      <c r="G864" s="6" t="s">
        <v>2606</v>
      </c>
      <c r="H864" s="6" t="s">
        <v>2617</v>
      </c>
      <c r="I864" s="6" t="s">
        <v>3172</v>
      </c>
      <c r="J864" s="6" t="s">
        <v>3310</v>
      </c>
      <c r="K864" s="6">
        <v>35</v>
      </c>
    </row>
    <row r="865" spans="1:11" x14ac:dyDescent="0.3">
      <c r="A865" s="6" t="s">
        <v>872</v>
      </c>
      <c r="B865" s="6" t="s">
        <v>2164</v>
      </c>
      <c r="C865" s="7">
        <v>28288</v>
      </c>
      <c r="D865" s="8">
        <v>33322</v>
      </c>
      <c r="E865" s="6" t="s">
        <v>2599</v>
      </c>
      <c r="F865" s="6">
        <v>83949</v>
      </c>
      <c r="G865" s="6" t="s">
        <v>2613</v>
      </c>
      <c r="H865" s="6" t="s">
        <v>2617</v>
      </c>
      <c r="I865" s="6" t="s">
        <v>3173</v>
      </c>
      <c r="J865" s="6" t="s">
        <v>3304</v>
      </c>
      <c r="K865" s="6">
        <v>34</v>
      </c>
    </row>
    <row r="866" spans="1:11" x14ac:dyDescent="0.3">
      <c r="A866" s="6" t="s">
        <v>873</v>
      </c>
      <c r="B866" s="6" t="s">
        <v>2165</v>
      </c>
      <c r="C866" s="7">
        <v>22075</v>
      </c>
      <c r="D866" s="8">
        <v>27382</v>
      </c>
      <c r="E866" s="6" t="s">
        <v>2602</v>
      </c>
      <c r="F866" s="6">
        <v>196292</v>
      </c>
      <c r="G866" s="6" t="s">
        <v>2614</v>
      </c>
      <c r="H866" s="6" t="s">
        <v>2617</v>
      </c>
      <c r="I866" s="6" t="s">
        <v>3174</v>
      </c>
      <c r="J866" s="6" t="s">
        <v>3304</v>
      </c>
      <c r="K866" s="6">
        <v>51</v>
      </c>
    </row>
    <row r="867" spans="1:11" x14ac:dyDescent="0.3">
      <c r="A867" s="6" t="s">
        <v>874</v>
      </c>
      <c r="B867" s="6" t="s">
        <v>2166</v>
      </c>
      <c r="C867" s="7">
        <v>33863</v>
      </c>
      <c r="D867" s="8">
        <v>34323</v>
      </c>
      <c r="E867" s="6" t="s">
        <v>2603</v>
      </c>
      <c r="F867" s="6">
        <v>33332</v>
      </c>
      <c r="G867" s="6" t="s">
        <v>2607</v>
      </c>
      <c r="H867" s="6" t="s">
        <v>2617</v>
      </c>
      <c r="I867" s="6" t="s">
        <v>3175</v>
      </c>
      <c r="J867" s="6" t="s">
        <v>3310</v>
      </c>
      <c r="K867" s="6">
        <v>32</v>
      </c>
    </row>
    <row r="868" spans="1:11" x14ac:dyDescent="0.3">
      <c r="A868" s="6" t="s">
        <v>875</v>
      </c>
      <c r="B868" s="6" t="s">
        <v>2167</v>
      </c>
      <c r="C868" s="7">
        <v>23165</v>
      </c>
      <c r="D868" s="8">
        <v>35773</v>
      </c>
      <c r="E868" s="6" t="s">
        <v>2600</v>
      </c>
      <c r="F868" s="6">
        <v>113131</v>
      </c>
      <c r="G868" s="6" t="s">
        <v>2609</v>
      </c>
      <c r="H868" s="6" t="s">
        <v>2617</v>
      </c>
      <c r="I868" s="6" t="s">
        <v>2905</v>
      </c>
      <c r="J868" s="6" t="s">
        <v>3310</v>
      </c>
      <c r="K868" s="6">
        <v>28</v>
      </c>
    </row>
    <row r="869" spans="1:11" x14ac:dyDescent="0.3">
      <c r="A869" s="6" t="s">
        <v>876</v>
      </c>
      <c r="B869" s="6" t="s">
        <v>2168</v>
      </c>
      <c r="C869" s="7">
        <v>23758</v>
      </c>
      <c r="D869" s="8">
        <v>32569</v>
      </c>
      <c r="E869" s="6" t="s">
        <v>2601</v>
      </c>
      <c r="F869" s="6">
        <v>103535</v>
      </c>
      <c r="G869" s="6" t="s">
        <v>2612</v>
      </c>
      <c r="H869" s="6" t="s">
        <v>2617</v>
      </c>
      <c r="I869" s="6" t="s">
        <v>2662</v>
      </c>
      <c r="J869" s="6" t="s">
        <v>3309</v>
      </c>
      <c r="K869" s="6">
        <v>36</v>
      </c>
    </row>
    <row r="870" spans="1:11" x14ac:dyDescent="0.3">
      <c r="A870" s="6" t="s">
        <v>877</v>
      </c>
      <c r="B870" s="6" t="s">
        <v>2169</v>
      </c>
      <c r="C870" s="7">
        <v>24260</v>
      </c>
      <c r="D870" s="8">
        <v>44601</v>
      </c>
      <c r="E870" s="6" t="s">
        <v>2604</v>
      </c>
      <c r="F870" s="6">
        <v>188892</v>
      </c>
      <c r="G870" s="6" t="s">
        <v>2610</v>
      </c>
      <c r="H870" s="6" t="s">
        <v>2616</v>
      </c>
      <c r="I870" s="6" t="s">
        <v>2745</v>
      </c>
      <c r="J870" s="6" t="s">
        <v>3304</v>
      </c>
      <c r="K870" s="6">
        <v>3</v>
      </c>
    </row>
    <row r="871" spans="1:11" x14ac:dyDescent="0.3">
      <c r="A871" s="6" t="s">
        <v>878</v>
      </c>
      <c r="B871" s="6" t="s">
        <v>2170</v>
      </c>
      <c r="C871" s="7">
        <v>34424</v>
      </c>
      <c r="D871" s="8">
        <v>36670</v>
      </c>
      <c r="E871" s="6" t="s">
        <v>2604</v>
      </c>
      <c r="F871" s="6">
        <v>48639</v>
      </c>
      <c r="G871" s="6" t="s">
        <v>2609</v>
      </c>
      <c r="H871" s="6" t="s">
        <v>2617</v>
      </c>
      <c r="I871" s="6" t="s">
        <v>2919</v>
      </c>
      <c r="J871" s="6" t="s">
        <v>3308</v>
      </c>
      <c r="K871" s="6">
        <v>25</v>
      </c>
    </row>
    <row r="872" spans="1:11" x14ac:dyDescent="0.3">
      <c r="A872" s="6" t="s">
        <v>879</v>
      </c>
      <c r="B872" s="6" t="s">
        <v>2171</v>
      </c>
      <c r="C872" s="7">
        <v>36110</v>
      </c>
      <c r="D872" s="8">
        <v>41957</v>
      </c>
      <c r="E872" s="6" t="s">
        <v>2605</v>
      </c>
      <c r="F872" s="6">
        <v>180694</v>
      </c>
      <c r="G872" s="6" t="s">
        <v>2610</v>
      </c>
      <c r="H872" s="6" t="s">
        <v>2616</v>
      </c>
      <c r="I872" s="6" t="s">
        <v>3176</v>
      </c>
      <c r="J872" s="6" t="s">
        <v>3306</v>
      </c>
      <c r="K872" s="6">
        <v>11</v>
      </c>
    </row>
    <row r="873" spans="1:11" x14ac:dyDescent="0.3">
      <c r="A873" s="6" t="s">
        <v>880</v>
      </c>
      <c r="B873" s="6" t="s">
        <v>2172</v>
      </c>
      <c r="C873" s="7">
        <v>29562</v>
      </c>
      <c r="D873" s="8">
        <v>40892</v>
      </c>
      <c r="E873" s="6" t="s">
        <v>2603</v>
      </c>
      <c r="F873" s="6">
        <v>151816</v>
      </c>
      <c r="G873" s="6" t="s">
        <v>2608</v>
      </c>
      <c r="H873" s="6" t="s">
        <v>2616</v>
      </c>
      <c r="I873" s="6" t="s">
        <v>2758</v>
      </c>
      <c r="J873" s="6" t="s">
        <v>3306</v>
      </c>
      <c r="K873" s="6">
        <v>14</v>
      </c>
    </row>
    <row r="874" spans="1:11" x14ac:dyDescent="0.3">
      <c r="A874" s="6" t="s">
        <v>881</v>
      </c>
      <c r="B874" s="6" t="s">
        <v>2173</v>
      </c>
      <c r="C874" s="7">
        <v>24933</v>
      </c>
      <c r="D874" s="8">
        <v>42227</v>
      </c>
      <c r="E874" s="6" t="s">
        <v>2603</v>
      </c>
      <c r="F874" s="6">
        <v>88040</v>
      </c>
      <c r="G874" s="6" t="s">
        <v>2615</v>
      </c>
      <c r="H874" s="6" t="s">
        <v>2617</v>
      </c>
      <c r="I874" s="6" t="s">
        <v>3177</v>
      </c>
      <c r="J874" s="6" t="s">
        <v>3304</v>
      </c>
      <c r="K874" s="6">
        <v>10</v>
      </c>
    </row>
    <row r="875" spans="1:11" x14ac:dyDescent="0.3">
      <c r="A875" s="6" t="s">
        <v>882</v>
      </c>
      <c r="B875" s="6" t="s">
        <v>2174</v>
      </c>
      <c r="C875" s="7">
        <v>31200</v>
      </c>
      <c r="D875" s="8">
        <v>38244</v>
      </c>
      <c r="E875" s="6" t="s">
        <v>2601</v>
      </c>
      <c r="F875" s="6">
        <v>53536</v>
      </c>
      <c r="G875" s="6" t="s">
        <v>2608</v>
      </c>
      <c r="H875" s="6" t="s">
        <v>2617</v>
      </c>
      <c r="I875" s="6" t="s">
        <v>3178</v>
      </c>
      <c r="J875" s="6" t="s">
        <v>3306</v>
      </c>
      <c r="K875" s="6">
        <v>21</v>
      </c>
    </row>
    <row r="876" spans="1:11" x14ac:dyDescent="0.3">
      <c r="A876" s="6" t="s">
        <v>883</v>
      </c>
      <c r="B876" s="6" t="s">
        <v>2175</v>
      </c>
      <c r="C876" s="7">
        <v>33783</v>
      </c>
      <c r="D876" s="8">
        <v>34673</v>
      </c>
      <c r="E876" s="6" t="s">
        <v>2600</v>
      </c>
      <c r="F876" s="6">
        <v>35691</v>
      </c>
      <c r="G876" s="6" t="s">
        <v>2613</v>
      </c>
      <c r="H876" s="6" t="s">
        <v>2617</v>
      </c>
      <c r="I876" s="6" t="s">
        <v>2819</v>
      </c>
      <c r="J876" s="6" t="s">
        <v>3308</v>
      </c>
      <c r="K876" s="6">
        <v>31</v>
      </c>
    </row>
    <row r="877" spans="1:11" x14ac:dyDescent="0.3">
      <c r="A877" s="6" t="s">
        <v>884</v>
      </c>
      <c r="B877" s="6" t="s">
        <v>2176</v>
      </c>
      <c r="C877" s="7">
        <v>23009</v>
      </c>
      <c r="D877" s="8">
        <v>35299</v>
      </c>
      <c r="E877" s="6" t="s">
        <v>2604</v>
      </c>
      <c r="F877" s="6">
        <v>167763</v>
      </c>
      <c r="G877" s="6" t="s">
        <v>2608</v>
      </c>
      <c r="H877" s="6" t="s">
        <v>2617</v>
      </c>
      <c r="I877" s="6" t="s">
        <v>2880</v>
      </c>
      <c r="J877" s="6" t="s">
        <v>3309</v>
      </c>
      <c r="K877" s="6">
        <v>29</v>
      </c>
    </row>
    <row r="878" spans="1:11" x14ac:dyDescent="0.3">
      <c r="A878" s="6" t="s">
        <v>885</v>
      </c>
      <c r="B878" s="6" t="s">
        <v>2177</v>
      </c>
      <c r="C878" s="7">
        <v>23466</v>
      </c>
      <c r="D878" s="8">
        <v>34580</v>
      </c>
      <c r="E878" s="6" t="s">
        <v>2604</v>
      </c>
      <c r="F878" s="6">
        <v>138148</v>
      </c>
      <c r="G878" s="6" t="s">
        <v>2615</v>
      </c>
      <c r="H878" s="6" t="s">
        <v>2617</v>
      </c>
      <c r="I878" s="6" t="s">
        <v>3179</v>
      </c>
      <c r="J878" s="6" t="s">
        <v>3304</v>
      </c>
      <c r="K878" s="6">
        <v>31</v>
      </c>
    </row>
    <row r="879" spans="1:11" x14ac:dyDescent="0.3">
      <c r="A879" s="6" t="s">
        <v>886</v>
      </c>
      <c r="B879" s="6" t="s">
        <v>2178</v>
      </c>
      <c r="C879" s="7">
        <v>32065</v>
      </c>
      <c r="D879" s="8">
        <v>28723</v>
      </c>
      <c r="E879" s="6" t="s">
        <v>2603</v>
      </c>
      <c r="F879" s="6">
        <v>140997</v>
      </c>
      <c r="G879" s="6" t="s">
        <v>2611</v>
      </c>
      <c r="H879" s="6" t="s">
        <v>2617</v>
      </c>
      <c r="I879" s="6" t="s">
        <v>2640</v>
      </c>
      <c r="J879" s="6" t="s">
        <v>3310</v>
      </c>
      <c r="K879" s="6">
        <v>47</v>
      </c>
    </row>
    <row r="880" spans="1:11" x14ac:dyDescent="0.3">
      <c r="A880" s="6" t="s">
        <v>887</v>
      </c>
      <c r="B880" s="6" t="s">
        <v>2179</v>
      </c>
      <c r="C880" s="7">
        <v>29439</v>
      </c>
      <c r="D880" s="8">
        <v>35044</v>
      </c>
      <c r="E880" s="6" t="s">
        <v>2599</v>
      </c>
      <c r="F880" s="6">
        <v>88803</v>
      </c>
      <c r="G880" s="6" t="s">
        <v>2606</v>
      </c>
      <c r="H880" s="6" t="s">
        <v>2617</v>
      </c>
      <c r="I880" s="6" t="s">
        <v>2778</v>
      </c>
      <c r="J880" s="6" t="s">
        <v>3304</v>
      </c>
      <c r="K880" s="6">
        <v>30</v>
      </c>
    </row>
    <row r="881" spans="1:11" x14ac:dyDescent="0.3">
      <c r="A881" s="6" t="s">
        <v>888</v>
      </c>
      <c r="B881" s="6" t="s">
        <v>2180</v>
      </c>
      <c r="C881" s="7">
        <v>22317</v>
      </c>
      <c r="D881" s="8">
        <v>27032</v>
      </c>
      <c r="E881" s="6" t="s">
        <v>2602</v>
      </c>
      <c r="F881" s="6">
        <v>184422</v>
      </c>
      <c r="G881" s="6" t="s">
        <v>2607</v>
      </c>
      <c r="H881" s="6" t="s">
        <v>2616</v>
      </c>
      <c r="I881" s="6" t="s">
        <v>3180</v>
      </c>
      <c r="J881" s="6" t="s">
        <v>3310</v>
      </c>
      <c r="K881" s="6">
        <v>51</v>
      </c>
    </row>
    <row r="882" spans="1:11" x14ac:dyDescent="0.3">
      <c r="A882" s="6" t="s">
        <v>889</v>
      </c>
      <c r="B882" s="6" t="s">
        <v>2181</v>
      </c>
      <c r="C882" s="7">
        <v>32775</v>
      </c>
      <c r="D882" s="8">
        <v>27054</v>
      </c>
      <c r="E882" s="6" t="s">
        <v>2603</v>
      </c>
      <c r="F882" s="6">
        <v>151316</v>
      </c>
      <c r="G882" s="6" t="s">
        <v>2615</v>
      </c>
      <c r="H882" s="6" t="s">
        <v>2617</v>
      </c>
      <c r="I882" s="6" t="s">
        <v>2823</v>
      </c>
      <c r="J882" s="6" t="s">
        <v>3307</v>
      </c>
      <c r="K882" s="6">
        <v>51</v>
      </c>
    </row>
    <row r="883" spans="1:11" x14ac:dyDescent="0.3">
      <c r="A883" s="6" t="s">
        <v>890</v>
      </c>
      <c r="B883" s="6" t="s">
        <v>2182</v>
      </c>
      <c r="C883" s="7">
        <v>34342</v>
      </c>
      <c r="D883" s="8">
        <v>32015</v>
      </c>
      <c r="E883" s="6" t="s">
        <v>2603</v>
      </c>
      <c r="F883" s="6">
        <v>194059</v>
      </c>
      <c r="G883" s="6" t="s">
        <v>2613</v>
      </c>
      <c r="H883" s="6" t="s">
        <v>2617</v>
      </c>
      <c r="I883" s="6" t="s">
        <v>3138</v>
      </c>
      <c r="J883" s="6" t="s">
        <v>3304</v>
      </c>
      <c r="K883" s="6">
        <v>38</v>
      </c>
    </row>
    <row r="884" spans="1:11" x14ac:dyDescent="0.3">
      <c r="A884" s="6" t="s">
        <v>891</v>
      </c>
      <c r="B884" s="6" t="s">
        <v>2183</v>
      </c>
      <c r="C884" s="7">
        <v>33832</v>
      </c>
      <c r="D884" s="8">
        <v>40930</v>
      </c>
      <c r="E884" s="6" t="s">
        <v>2600</v>
      </c>
      <c r="F884" s="6">
        <v>132687</v>
      </c>
      <c r="G884" s="6" t="s">
        <v>2606</v>
      </c>
      <c r="H884" s="6" t="s">
        <v>2616</v>
      </c>
      <c r="I884" s="6" t="s">
        <v>3069</v>
      </c>
      <c r="J884" s="6" t="s">
        <v>3307</v>
      </c>
      <c r="K884" s="6">
        <v>13</v>
      </c>
    </row>
    <row r="885" spans="1:11" x14ac:dyDescent="0.3">
      <c r="A885" s="6" t="s">
        <v>892</v>
      </c>
      <c r="B885" s="6" t="s">
        <v>2184</v>
      </c>
      <c r="C885" s="7">
        <v>37027</v>
      </c>
      <c r="D885" s="8">
        <v>32829</v>
      </c>
      <c r="E885" s="6" t="s">
        <v>2602</v>
      </c>
      <c r="F885" s="6">
        <v>82634</v>
      </c>
      <c r="G885" s="6" t="s">
        <v>2615</v>
      </c>
      <c r="H885" s="6" t="s">
        <v>2616</v>
      </c>
      <c r="I885" s="6" t="s">
        <v>2774</v>
      </c>
      <c r="J885" s="6" t="s">
        <v>3304</v>
      </c>
      <c r="K885" s="6">
        <v>36</v>
      </c>
    </row>
    <row r="886" spans="1:11" x14ac:dyDescent="0.3">
      <c r="A886" s="6" t="s">
        <v>893</v>
      </c>
      <c r="B886" s="6" t="s">
        <v>2185</v>
      </c>
      <c r="C886" s="7">
        <v>35670</v>
      </c>
      <c r="D886" s="8">
        <v>42467</v>
      </c>
      <c r="E886" s="6" t="s">
        <v>2600</v>
      </c>
      <c r="F886" s="6">
        <v>113680</v>
      </c>
      <c r="G886" s="6" t="s">
        <v>2608</v>
      </c>
      <c r="H886" s="6" t="s">
        <v>2617</v>
      </c>
      <c r="I886" s="6" t="s">
        <v>3181</v>
      </c>
      <c r="J886" s="6" t="s">
        <v>3304</v>
      </c>
      <c r="K886" s="6">
        <v>9</v>
      </c>
    </row>
    <row r="887" spans="1:11" x14ac:dyDescent="0.3">
      <c r="A887" s="6" t="s">
        <v>894</v>
      </c>
      <c r="B887" s="6" t="s">
        <v>2186</v>
      </c>
      <c r="C887" s="7">
        <v>22351</v>
      </c>
      <c r="D887" s="8">
        <v>31626</v>
      </c>
      <c r="E887" s="6" t="s">
        <v>2604</v>
      </c>
      <c r="F887" s="6">
        <v>26258</v>
      </c>
      <c r="G887" s="6" t="s">
        <v>2611</v>
      </c>
      <c r="H887" s="6" t="s">
        <v>2616</v>
      </c>
      <c r="I887" s="6" t="s">
        <v>2990</v>
      </c>
      <c r="J887" s="6" t="s">
        <v>3307</v>
      </c>
      <c r="K887" s="6">
        <v>39</v>
      </c>
    </row>
    <row r="888" spans="1:11" x14ac:dyDescent="0.3">
      <c r="A888" s="6" t="s">
        <v>895</v>
      </c>
      <c r="B888" s="6" t="s">
        <v>2187</v>
      </c>
      <c r="C888" s="7">
        <v>35774</v>
      </c>
      <c r="D888" s="8">
        <v>41575</v>
      </c>
      <c r="E888" s="6" t="s">
        <v>2600</v>
      </c>
      <c r="F888" s="6">
        <v>159895</v>
      </c>
      <c r="G888" s="6" t="s">
        <v>2609</v>
      </c>
      <c r="H888" s="6" t="s">
        <v>2617</v>
      </c>
      <c r="I888" s="6" t="s">
        <v>3182</v>
      </c>
      <c r="J888" s="6" t="s">
        <v>3307</v>
      </c>
      <c r="K888" s="6">
        <v>12</v>
      </c>
    </row>
    <row r="889" spans="1:11" x14ac:dyDescent="0.3">
      <c r="A889" s="6" t="s">
        <v>896</v>
      </c>
      <c r="B889" s="6" t="s">
        <v>2188</v>
      </c>
      <c r="C889" s="7">
        <v>28030</v>
      </c>
      <c r="D889" s="8">
        <v>32847</v>
      </c>
      <c r="E889" s="6" t="s">
        <v>2603</v>
      </c>
      <c r="F889" s="6">
        <v>165407</v>
      </c>
      <c r="G889" s="6" t="s">
        <v>2606</v>
      </c>
      <c r="H889" s="6" t="s">
        <v>2617</v>
      </c>
      <c r="I889" s="6" t="s">
        <v>2824</v>
      </c>
      <c r="J889" s="6" t="s">
        <v>3310</v>
      </c>
      <c r="K889" s="6">
        <v>36</v>
      </c>
    </row>
    <row r="890" spans="1:11" x14ac:dyDescent="0.3">
      <c r="A890" s="6" t="s">
        <v>897</v>
      </c>
      <c r="B890" s="6" t="s">
        <v>2189</v>
      </c>
      <c r="C890" s="7">
        <v>27141</v>
      </c>
      <c r="D890" s="8">
        <v>41645</v>
      </c>
      <c r="E890" s="6" t="s">
        <v>2600</v>
      </c>
      <c r="F890" s="6">
        <v>95245</v>
      </c>
      <c r="G890" s="6" t="s">
        <v>2612</v>
      </c>
      <c r="H890" s="6" t="s">
        <v>2617</v>
      </c>
      <c r="I890" s="6" t="s">
        <v>2833</v>
      </c>
      <c r="J890" s="6" t="s">
        <v>3304</v>
      </c>
      <c r="K890" s="6">
        <v>11</v>
      </c>
    </row>
    <row r="891" spans="1:11" x14ac:dyDescent="0.3">
      <c r="A891" s="6" t="s">
        <v>898</v>
      </c>
      <c r="B891" s="6" t="s">
        <v>2190</v>
      </c>
      <c r="C891" s="7">
        <v>23295</v>
      </c>
      <c r="D891" s="8">
        <v>31733</v>
      </c>
      <c r="E891" s="6" t="s">
        <v>2602</v>
      </c>
      <c r="F891" s="6">
        <v>30662</v>
      </c>
      <c r="G891" s="6" t="s">
        <v>2613</v>
      </c>
      <c r="H891" s="6" t="s">
        <v>2617</v>
      </c>
      <c r="I891" s="6" t="s">
        <v>2772</v>
      </c>
      <c r="J891" s="6" t="s">
        <v>3310</v>
      </c>
      <c r="K891" s="6">
        <v>39</v>
      </c>
    </row>
    <row r="892" spans="1:11" x14ac:dyDescent="0.3">
      <c r="A892" s="6" t="s">
        <v>899</v>
      </c>
      <c r="B892" s="6" t="s">
        <v>2191</v>
      </c>
      <c r="C892" s="7">
        <v>25783</v>
      </c>
      <c r="D892" s="8">
        <v>43012</v>
      </c>
      <c r="E892" s="6" t="s">
        <v>2599</v>
      </c>
      <c r="F892" s="6">
        <v>181739</v>
      </c>
      <c r="G892" s="6" t="s">
        <v>2608</v>
      </c>
      <c r="H892" s="6" t="s">
        <v>2617</v>
      </c>
      <c r="I892" s="6" t="s">
        <v>3125</v>
      </c>
      <c r="J892" s="6" t="s">
        <v>3306</v>
      </c>
      <c r="K892" s="6">
        <v>8</v>
      </c>
    </row>
    <row r="893" spans="1:11" x14ac:dyDescent="0.3">
      <c r="A893" s="6" t="s">
        <v>900</v>
      </c>
      <c r="B893" s="6" t="s">
        <v>2192</v>
      </c>
      <c r="C893" s="7">
        <v>32730</v>
      </c>
      <c r="D893" s="8">
        <v>44907</v>
      </c>
      <c r="E893" s="6" t="s">
        <v>2604</v>
      </c>
      <c r="F893" s="6">
        <v>26362</v>
      </c>
      <c r="G893" s="6" t="s">
        <v>2609</v>
      </c>
      <c r="H893" s="6" t="s">
        <v>2616</v>
      </c>
      <c r="I893" s="6" t="s">
        <v>3183</v>
      </c>
      <c r="J893" s="6" t="s">
        <v>3306</v>
      </c>
      <c r="K893" s="6">
        <v>3</v>
      </c>
    </row>
    <row r="894" spans="1:11" x14ac:dyDescent="0.3">
      <c r="A894" s="6" t="s">
        <v>901</v>
      </c>
      <c r="B894" s="6" t="s">
        <v>2193</v>
      </c>
      <c r="C894" s="7">
        <v>25079</v>
      </c>
      <c r="D894" s="8">
        <v>38124</v>
      </c>
      <c r="E894" s="6" t="s">
        <v>2601</v>
      </c>
      <c r="F894" s="6">
        <v>123561</v>
      </c>
      <c r="G894" s="6" t="s">
        <v>2615</v>
      </c>
      <c r="H894" s="6" t="s">
        <v>2617</v>
      </c>
      <c r="I894" s="6" t="s">
        <v>2675</v>
      </c>
      <c r="J894" s="6" t="s">
        <v>3307</v>
      </c>
      <c r="K894" s="6">
        <v>21</v>
      </c>
    </row>
    <row r="895" spans="1:11" x14ac:dyDescent="0.3">
      <c r="A895" s="6" t="s">
        <v>902</v>
      </c>
      <c r="B895" s="6" t="s">
        <v>2194</v>
      </c>
      <c r="C895" s="7">
        <v>31561</v>
      </c>
      <c r="D895" s="8">
        <v>34272</v>
      </c>
      <c r="E895" s="6" t="s">
        <v>2600</v>
      </c>
      <c r="F895" s="6">
        <v>149789</v>
      </c>
      <c r="G895" s="6" t="s">
        <v>2612</v>
      </c>
      <c r="H895" s="6" t="s">
        <v>2617</v>
      </c>
      <c r="I895" s="6" t="s">
        <v>2930</v>
      </c>
      <c r="J895" s="6" t="s">
        <v>3307</v>
      </c>
      <c r="K895" s="6">
        <v>32</v>
      </c>
    </row>
    <row r="896" spans="1:11" x14ac:dyDescent="0.3">
      <c r="A896" s="6" t="s">
        <v>903</v>
      </c>
      <c r="B896" s="6" t="s">
        <v>2195</v>
      </c>
      <c r="C896" s="7">
        <v>33626</v>
      </c>
      <c r="D896" s="8">
        <v>41352</v>
      </c>
      <c r="E896" s="6" t="s">
        <v>2605</v>
      </c>
      <c r="F896" s="6">
        <v>36222</v>
      </c>
      <c r="G896" s="6" t="s">
        <v>2610</v>
      </c>
      <c r="H896" s="6" t="s">
        <v>2617</v>
      </c>
      <c r="I896" s="6" t="s">
        <v>3184</v>
      </c>
      <c r="J896" s="6" t="s">
        <v>3306</v>
      </c>
      <c r="K896" s="6">
        <v>12</v>
      </c>
    </row>
    <row r="897" spans="1:11" x14ac:dyDescent="0.3">
      <c r="A897" s="6" t="s">
        <v>904</v>
      </c>
      <c r="B897" s="6" t="s">
        <v>2196</v>
      </c>
      <c r="C897" s="7">
        <v>23443</v>
      </c>
      <c r="D897" s="8">
        <v>32308</v>
      </c>
      <c r="E897" s="6" t="s">
        <v>2602</v>
      </c>
      <c r="F897" s="6">
        <v>198214</v>
      </c>
      <c r="G897" s="6" t="s">
        <v>2615</v>
      </c>
      <c r="H897" s="6" t="s">
        <v>2616</v>
      </c>
      <c r="I897" s="6" t="s">
        <v>3024</v>
      </c>
      <c r="J897" s="6" t="s">
        <v>3307</v>
      </c>
      <c r="K897" s="6">
        <v>37</v>
      </c>
    </row>
    <row r="898" spans="1:11" x14ac:dyDescent="0.3">
      <c r="A898" s="6" t="s">
        <v>905</v>
      </c>
      <c r="B898" s="6" t="s">
        <v>2197</v>
      </c>
      <c r="C898" s="7">
        <v>27565</v>
      </c>
      <c r="D898" s="8">
        <v>31442</v>
      </c>
      <c r="E898" s="6" t="s">
        <v>2605</v>
      </c>
      <c r="F898" s="6">
        <v>138451</v>
      </c>
      <c r="G898" s="6" t="s">
        <v>2613</v>
      </c>
      <c r="H898" s="6" t="s">
        <v>2616</v>
      </c>
      <c r="I898" s="6" t="s">
        <v>2627</v>
      </c>
      <c r="J898" s="6" t="s">
        <v>3308</v>
      </c>
      <c r="K898" s="6">
        <v>39</v>
      </c>
    </row>
    <row r="899" spans="1:11" x14ac:dyDescent="0.3">
      <c r="A899" s="6" t="s">
        <v>906</v>
      </c>
      <c r="B899" s="6" t="s">
        <v>2198</v>
      </c>
      <c r="C899" s="7">
        <v>32760</v>
      </c>
      <c r="D899" s="8">
        <v>39434</v>
      </c>
      <c r="E899" s="6" t="s">
        <v>2605</v>
      </c>
      <c r="F899" s="6">
        <v>185717</v>
      </c>
      <c r="G899" s="6" t="s">
        <v>2611</v>
      </c>
      <c r="H899" s="6" t="s">
        <v>2617</v>
      </c>
      <c r="I899" s="6" t="s">
        <v>3054</v>
      </c>
      <c r="J899" s="6" t="s">
        <v>3307</v>
      </c>
      <c r="K899" s="6">
        <v>18</v>
      </c>
    </row>
    <row r="900" spans="1:11" x14ac:dyDescent="0.3">
      <c r="A900" s="6" t="s">
        <v>907</v>
      </c>
      <c r="B900" s="6" t="s">
        <v>2199</v>
      </c>
      <c r="C900" s="7">
        <v>25449</v>
      </c>
      <c r="D900" s="8">
        <v>30872</v>
      </c>
      <c r="E900" s="6" t="s">
        <v>2605</v>
      </c>
      <c r="F900" s="6">
        <v>20017</v>
      </c>
      <c r="G900" s="6" t="s">
        <v>2613</v>
      </c>
      <c r="H900" s="6" t="s">
        <v>2616</v>
      </c>
      <c r="I900" s="6" t="s">
        <v>3185</v>
      </c>
      <c r="J900" s="6" t="s">
        <v>3307</v>
      </c>
      <c r="K900" s="6">
        <v>41</v>
      </c>
    </row>
    <row r="901" spans="1:11" x14ac:dyDescent="0.3">
      <c r="A901" s="6" t="s">
        <v>908</v>
      </c>
      <c r="B901" s="6" t="s">
        <v>2200</v>
      </c>
      <c r="C901" s="7">
        <v>34781</v>
      </c>
      <c r="D901" s="8">
        <v>29045</v>
      </c>
      <c r="E901" s="6" t="s">
        <v>2599</v>
      </c>
      <c r="F901" s="6">
        <v>97324</v>
      </c>
      <c r="G901" s="6" t="s">
        <v>2610</v>
      </c>
      <c r="H901" s="6" t="s">
        <v>2616</v>
      </c>
      <c r="I901" s="6" t="s">
        <v>3186</v>
      </c>
      <c r="J901" s="6" t="s">
        <v>3308</v>
      </c>
      <c r="K901" s="6">
        <v>46</v>
      </c>
    </row>
    <row r="902" spans="1:11" x14ac:dyDescent="0.3">
      <c r="A902" s="6" t="s">
        <v>909</v>
      </c>
      <c r="B902" s="6" t="s">
        <v>2201</v>
      </c>
      <c r="C902" s="7">
        <v>31573</v>
      </c>
      <c r="D902" s="8">
        <v>39326</v>
      </c>
      <c r="E902" s="6" t="s">
        <v>2603</v>
      </c>
      <c r="F902" s="6">
        <v>167998</v>
      </c>
      <c r="G902" s="6" t="s">
        <v>2612</v>
      </c>
      <c r="H902" s="6" t="s">
        <v>2616</v>
      </c>
      <c r="I902" s="6" t="s">
        <v>3158</v>
      </c>
      <c r="J902" s="6" t="s">
        <v>3309</v>
      </c>
      <c r="K902" s="6">
        <v>18</v>
      </c>
    </row>
    <row r="903" spans="1:11" x14ac:dyDescent="0.3">
      <c r="A903" s="6" t="s">
        <v>910</v>
      </c>
      <c r="B903" s="6" t="s">
        <v>2202</v>
      </c>
      <c r="C903" s="7">
        <v>35344</v>
      </c>
      <c r="D903" s="8">
        <v>33903</v>
      </c>
      <c r="E903" s="6" t="s">
        <v>2600</v>
      </c>
      <c r="F903" s="6">
        <v>28137</v>
      </c>
      <c r="G903" s="6" t="s">
        <v>2606</v>
      </c>
      <c r="H903" s="6" t="s">
        <v>2617</v>
      </c>
      <c r="I903" s="6" t="s">
        <v>2914</v>
      </c>
      <c r="J903" s="6" t="s">
        <v>3304</v>
      </c>
      <c r="K903" s="6">
        <v>33</v>
      </c>
    </row>
    <row r="904" spans="1:11" x14ac:dyDescent="0.3">
      <c r="A904" s="6" t="s">
        <v>911</v>
      </c>
      <c r="B904" s="6" t="s">
        <v>2203</v>
      </c>
      <c r="C904" s="7">
        <v>31722</v>
      </c>
      <c r="D904" s="8">
        <v>27659</v>
      </c>
      <c r="E904" s="6" t="s">
        <v>2604</v>
      </c>
      <c r="F904" s="6">
        <v>126217</v>
      </c>
      <c r="G904" s="6" t="s">
        <v>2613</v>
      </c>
      <c r="H904" s="6" t="s">
        <v>2617</v>
      </c>
      <c r="I904" s="6" t="s">
        <v>2940</v>
      </c>
      <c r="J904" s="6" t="s">
        <v>3309</v>
      </c>
      <c r="K904" s="6">
        <v>50</v>
      </c>
    </row>
    <row r="905" spans="1:11" x14ac:dyDescent="0.3">
      <c r="A905" s="6" t="s">
        <v>912</v>
      </c>
      <c r="B905" s="6" t="s">
        <v>2204</v>
      </c>
      <c r="C905" s="7">
        <v>33928</v>
      </c>
      <c r="D905" s="8">
        <v>27190</v>
      </c>
      <c r="E905" s="6" t="s">
        <v>2605</v>
      </c>
      <c r="F905" s="6">
        <v>70286</v>
      </c>
      <c r="G905" s="6" t="s">
        <v>2609</v>
      </c>
      <c r="H905" s="6" t="s">
        <v>2617</v>
      </c>
      <c r="I905" s="6" t="s">
        <v>2686</v>
      </c>
      <c r="J905" s="6" t="s">
        <v>3307</v>
      </c>
      <c r="K905" s="6">
        <v>51</v>
      </c>
    </row>
    <row r="906" spans="1:11" x14ac:dyDescent="0.3">
      <c r="A906" s="6" t="s">
        <v>913</v>
      </c>
      <c r="B906" s="6" t="s">
        <v>2205</v>
      </c>
      <c r="C906" s="7">
        <v>35474</v>
      </c>
      <c r="D906" s="8">
        <v>35868</v>
      </c>
      <c r="E906" s="6" t="s">
        <v>2603</v>
      </c>
      <c r="F906" s="6">
        <v>190542</v>
      </c>
      <c r="G906" s="6" t="s">
        <v>2608</v>
      </c>
      <c r="H906" s="6" t="s">
        <v>2617</v>
      </c>
      <c r="I906" s="6" t="s">
        <v>3116</v>
      </c>
      <c r="J906" s="6" t="s">
        <v>3307</v>
      </c>
      <c r="K906" s="6">
        <v>27</v>
      </c>
    </row>
    <row r="907" spans="1:11" x14ac:dyDescent="0.3">
      <c r="A907" s="6" t="s">
        <v>914</v>
      </c>
      <c r="B907" s="6" t="s">
        <v>2206</v>
      </c>
      <c r="C907" s="7">
        <v>32531</v>
      </c>
      <c r="D907" s="8">
        <v>34620</v>
      </c>
      <c r="E907" s="6" t="s">
        <v>2601</v>
      </c>
      <c r="F907" s="6">
        <v>32749</v>
      </c>
      <c r="G907" s="6" t="s">
        <v>2609</v>
      </c>
      <c r="H907" s="6" t="s">
        <v>2616</v>
      </c>
      <c r="I907" s="6" t="s">
        <v>2733</v>
      </c>
      <c r="J907" s="6" t="s">
        <v>3309</v>
      </c>
      <c r="K907" s="6">
        <v>31</v>
      </c>
    </row>
    <row r="908" spans="1:11" x14ac:dyDescent="0.3">
      <c r="A908" s="6" t="s">
        <v>915</v>
      </c>
      <c r="B908" s="6" t="s">
        <v>2207</v>
      </c>
      <c r="C908" s="7">
        <v>27859</v>
      </c>
      <c r="D908" s="8">
        <v>44059</v>
      </c>
      <c r="E908" s="6" t="s">
        <v>2600</v>
      </c>
      <c r="F908" s="6">
        <v>154469</v>
      </c>
      <c r="G908" s="6" t="s">
        <v>2612</v>
      </c>
      <c r="H908" s="6" t="s">
        <v>2616</v>
      </c>
      <c r="I908" s="6" t="s">
        <v>2816</v>
      </c>
      <c r="J908" s="6" t="s">
        <v>3310</v>
      </c>
      <c r="K908" s="6">
        <v>5</v>
      </c>
    </row>
    <row r="909" spans="1:11" x14ac:dyDescent="0.3">
      <c r="A909" s="6" t="s">
        <v>916</v>
      </c>
      <c r="B909" s="6" t="s">
        <v>2208</v>
      </c>
      <c r="C909" s="7">
        <v>32508</v>
      </c>
      <c r="D909" s="8">
        <v>27369</v>
      </c>
      <c r="E909" s="6" t="s">
        <v>2603</v>
      </c>
      <c r="F909" s="6">
        <v>109148</v>
      </c>
      <c r="G909" s="6" t="s">
        <v>2614</v>
      </c>
      <c r="H909" s="6" t="s">
        <v>2616</v>
      </c>
      <c r="I909" s="6" t="s">
        <v>3187</v>
      </c>
      <c r="J909" s="6" t="s">
        <v>3304</v>
      </c>
      <c r="K909" s="6">
        <v>51</v>
      </c>
    </row>
    <row r="910" spans="1:11" x14ac:dyDescent="0.3">
      <c r="A910" s="6" t="s">
        <v>917</v>
      </c>
      <c r="B910" s="6" t="s">
        <v>2209</v>
      </c>
      <c r="C910" s="7">
        <v>25405</v>
      </c>
      <c r="D910" s="8">
        <v>27334</v>
      </c>
      <c r="E910" s="6" t="s">
        <v>2603</v>
      </c>
      <c r="F910" s="6">
        <v>105817</v>
      </c>
      <c r="G910" s="6" t="s">
        <v>2609</v>
      </c>
      <c r="H910" s="6" t="s">
        <v>2616</v>
      </c>
      <c r="I910" s="6" t="s">
        <v>3188</v>
      </c>
      <c r="J910" s="6" t="s">
        <v>3310</v>
      </c>
      <c r="K910" s="6">
        <v>51</v>
      </c>
    </row>
    <row r="911" spans="1:11" x14ac:dyDescent="0.3">
      <c r="A911" s="6" t="s">
        <v>918</v>
      </c>
      <c r="B911" s="6" t="s">
        <v>2210</v>
      </c>
      <c r="C911" s="7">
        <v>25574</v>
      </c>
      <c r="D911" s="8">
        <v>34194</v>
      </c>
      <c r="E911" s="6" t="s">
        <v>2601</v>
      </c>
      <c r="F911" s="6">
        <v>112819</v>
      </c>
      <c r="G911" s="6" t="s">
        <v>2608</v>
      </c>
      <c r="H911" s="6" t="s">
        <v>2616</v>
      </c>
      <c r="I911" s="6" t="s">
        <v>2676</v>
      </c>
      <c r="J911" s="6" t="s">
        <v>3308</v>
      </c>
      <c r="K911" s="6">
        <v>32</v>
      </c>
    </row>
    <row r="912" spans="1:11" x14ac:dyDescent="0.3">
      <c r="A912" s="6" t="s">
        <v>919</v>
      </c>
      <c r="B912" s="6" t="s">
        <v>2211</v>
      </c>
      <c r="C912" s="7">
        <v>28747</v>
      </c>
      <c r="D912" s="8">
        <v>37594</v>
      </c>
      <c r="E912" s="6" t="s">
        <v>2604</v>
      </c>
      <c r="F912" s="6">
        <v>170348</v>
      </c>
      <c r="G912" s="6" t="s">
        <v>2611</v>
      </c>
      <c r="H912" s="6" t="s">
        <v>2616</v>
      </c>
      <c r="I912" s="6" t="s">
        <v>2901</v>
      </c>
      <c r="J912" s="6" t="s">
        <v>3306</v>
      </c>
      <c r="K912" s="6">
        <v>23</v>
      </c>
    </row>
    <row r="913" spans="1:11" x14ac:dyDescent="0.3">
      <c r="A913" s="6" t="s">
        <v>920</v>
      </c>
      <c r="B913" s="6" t="s">
        <v>2212</v>
      </c>
      <c r="C913" s="7">
        <v>23483</v>
      </c>
      <c r="D913" s="8">
        <v>32948</v>
      </c>
      <c r="E913" s="6" t="s">
        <v>2604</v>
      </c>
      <c r="F913" s="6">
        <v>193707</v>
      </c>
      <c r="G913" s="6" t="s">
        <v>2608</v>
      </c>
      <c r="H913" s="6" t="s">
        <v>2617</v>
      </c>
      <c r="I913" s="6" t="s">
        <v>3189</v>
      </c>
      <c r="J913" s="6" t="s">
        <v>3305</v>
      </c>
      <c r="K913" s="6">
        <v>35</v>
      </c>
    </row>
    <row r="914" spans="1:11" x14ac:dyDescent="0.3">
      <c r="A914" s="6" t="s">
        <v>921</v>
      </c>
      <c r="B914" s="6" t="s">
        <v>2213</v>
      </c>
      <c r="C914" s="7">
        <v>35891</v>
      </c>
      <c r="D914" s="8">
        <v>33234</v>
      </c>
      <c r="E914" s="6" t="s">
        <v>2599</v>
      </c>
      <c r="F914" s="6">
        <v>34796</v>
      </c>
      <c r="G914" s="6" t="s">
        <v>2606</v>
      </c>
      <c r="H914" s="6" t="s">
        <v>2616</v>
      </c>
      <c r="I914" s="6" t="s">
        <v>3190</v>
      </c>
      <c r="J914" s="6" t="s">
        <v>3308</v>
      </c>
      <c r="K914" s="6">
        <v>35</v>
      </c>
    </row>
    <row r="915" spans="1:11" x14ac:dyDescent="0.3">
      <c r="A915" s="6" t="s">
        <v>922</v>
      </c>
      <c r="B915" s="6" t="s">
        <v>2214</v>
      </c>
      <c r="C915" s="7">
        <v>33225</v>
      </c>
      <c r="D915" s="8">
        <v>38884</v>
      </c>
      <c r="E915" s="6" t="s">
        <v>2601</v>
      </c>
      <c r="F915" s="6">
        <v>110724</v>
      </c>
      <c r="G915" s="6" t="s">
        <v>2607</v>
      </c>
      <c r="H915" s="6" t="s">
        <v>2616</v>
      </c>
      <c r="I915" s="6" t="s">
        <v>3191</v>
      </c>
      <c r="J915" s="6" t="s">
        <v>3304</v>
      </c>
      <c r="K915" s="6">
        <v>19</v>
      </c>
    </row>
    <row r="916" spans="1:11" x14ac:dyDescent="0.3">
      <c r="A916" s="6" t="s">
        <v>923</v>
      </c>
      <c r="B916" s="6" t="s">
        <v>2215</v>
      </c>
      <c r="C916" s="7">
        <v>24026</v>
      </c>
      <c r="D916" s="8">
        <v>41962</v>
      </c>
      <c r="E916" s="6" t="s">
        <v>2601</v>
      </c>
      <c r="F916" s="6">
        <v>48875</v>
      </c>
      <c r="G916" s="6" t="s">
        <v>2609</v>
      </c>
      <c r="H916" s="6" t="s">
        <v>2616</v>
      </c>
      <c r="I916" s="6" t="s">
        <v>3192</v>
      </c>
      <c r="J916" s="6" t="s">
        <v>3310</v>
      </c>
      <c r="K916" s="6">
        <v>11</v>
      </c>
    </row>
    <row r="917" spans="1:11" x14ac:dyDescent="0.3">
      <c r="A917" s="6" t="s">
        <v>924</v>
      </c>
      <c r="B917" s="6" t="s">
        <v>2216</v>
      </c>
      <c r="C917" s="7">
        <v>27789</v>
      </c>
      <c r="D917" s="8">
        <v>34943</v>
      </c>
      <c r="E917" s="6" t="s">
        <v>2604</v>
      </c>
      <c r="F917" s="6">
        <v>117660</v>
      </c>
      <c r="G917" s="6" t="s">
        <v>2606</v>
      </c>
      <c r="H917" s="6" t="s">
        <v>2616</v>
      </c>
      <c r="I917" s="6" t="s">
        <v>2822</v>
      </c>
      <c r="J917" s="6" t="s">
        <v>3305</v>
      </c>
      <c r="K917" s="6">
        <v>30</v>
      </c>
    </row>
    <row r="918" spans="1:11" x14ac:dyDescent="0.3">
      <c r="A918" s="6" t="s">
        <v>925</v>
      </c>
      <c r="B918" s="6" t="s">
        <v>2217</v>
      </c>
      <c r="C918" s="7">
        <v>28048</v>
      </c>
      <c r="D918" s="8">
        <v>35707</v>
      </c>
      <c r="E918" s="6" t="s">
        <v>2604</v>
      </c>
      <c r="F918" s="6">
        <v>118668</v>
      </c>
      <c r="G918" s="6" t="s">
        <v>2610</v>
      </c>
      <c r="H918" s="6" t="s">
        <v>2616</v>
      </c>
      <c r="I918" s="6" t="s">
        <v>3193</v>
      </c>
      <c r="J918" s="6" t="s">
        <v>3310</v>
      </c>
      <c r="K918" s="6">
        <v>28</v>
      </c>
    </row>
    <row r="919" spans="1:11" x14ac:dyDescent="0.3">
      <c r="A919" s="6" t="s">
        <v>926</v>
      </c>
      <c r="B919" s="6" t="s">
        <v>2218</v>
      </c>
      <c r="C919" s="7">
        <v>37472</v>
      </c>
      <c r="D919" s="8">
        <v>26475</v>
      </c>
      <c r="E919" s="6" t="s">
        <v>2599</v>
      </c>
      <c r="F919" s="6">
        <v>187510</v>
      </c>
      <c r="G919" s="6" t="s">
        <v>2612</v>
      </c>
      <c r="H919" s="6" t="s">
        <v>2617</v>
      </c>
      <c r="I919" s="6" t="s">
        <v>2739</v>
      </c>
      <c r="J919" s="6" t="s">
        <v>3308</v>
      </c>
      <c r="K919" s="6">
        <v>53</v>
      </c>
    </row>
    <row r="920" spans="1:11" x14ac:dyDescent="0.3">
      <c r="A920" s="6" t="s">
        <v>927</v>
      </c>
      <c r="B920" s="6" t="s">
        <v>2219</v>
      </c>
      <c r="C920" s="7">
        <v>24984</v>
      </c>
      <c r="D920" s="8">
        <v>30430</v>
      </c>
      <c r="E920" s="6" t="s">
        <v>2604</v>
      </c>
      <c r="F920" s="6">
        <v>133586</v>
      </c>
      <c r="G920" s="6" t="s">
        <v>2610</v>
      </c>
      <c r="H920" s="6" t="s">
        <v>2616</v>
      </c>
      <c r="I920" s="6" t="s">
        <v>3194</v>
      </c>
      <c r="J920" s="6" t="s">
        <v>3306</v>
      </c>
      <c r="K920" s="6">
        <v>42</v>
      </c>
    </row>
    <row r="921" spans="1:11" x14ac:dyDescent="0.3">
      <c r="A921" s="6" t="s">
        <v>928</v>
      </c>
      <c r="B921" s="6" t="s">
        <v>2220</v>
      </c>
      <c r="C921" s="7">
        <v>21932</v>
      </c>
      <c r="D921" s="8">
        <v>36172</v>
      </c>
      <c r="E921" s="6" t="s">
        <v>2603</v>
      </c>
      <c r="F921" s="6">
        <v>185246</v>
      </c>
      <c r="G921" s="6" t="s">
        <v>2613</v>
      </c>
      <c r="H921" s="6" t="s">
        <v>2617</v>
      </c>
      <c r="I921" s="6" t="s">
        <v>3195</v>
      </c>
      <c r="J921" s="6" t="s">
        <v>3305</v>
      </c>
      <c r="K921" s="6">
        <v>26</v>
      </c>
    </row>
    <row r="922" spans="1:11" x14ac:dyDescent="0.3">
      <c r="A922" s="6" t="s">
        <v>929</v>
      </c>
      <c r="B922" s="6" t="s">
        <v>2221</v>
      </c>
      <c r="C922" s="7">
        <v>32980</v>
      </c>
      <c r="D922" s="8">
        <v>35964</v>
      </c>
      <c r="E922" s="6" t="s">
        <v>2599</v>
      </c>
      <c r="F922" s="6">
        <v>176641</v>
      </c>
      <c r="G922" s="6" t="s">
        <v>2608</v>
      </c>
      <c r="H922" s="6" t="s">
        <v>2617</v>
      </c>
      <c r="I922" s="6" t="s">
        <v>3115</v>
      </c>
      <c r="J922" s="6" t="s">
        <v>3306</v>
      </c>
      <c r="K922" s="6">
        <v>27</v>
      </c>
    </row>
    <row r="923" spans="1:11" x14ac:dyDescent="0.3">
      <c r="A923" s="6" t="s">
        <v>930</v>
      </c>
      <c r="B923" s="6" t="s">
        <v>2222</v>
      </c>
      <c r="C923" s="7">
        <v>27493</v>
      </c>
      <c r="D923" s="8">
        <v>25902</v>
      </c>
      <c r="E923" s="6" t="s">
        <v>2600</v>
      </c>
      <c r="F923" s="6">
        <v>138383</v>
      </c>
      <c r="G923" s="6" t="s">
        <v>2607</v>
      </c>
      <c r="H923" s="6" t="s">
        <v>2616</v>
      </c>
      <c r="I923" s="6" t="s">
        <v>2804</v>
      </c>
      <c r="J923" s="6" t="s">
        <v>3305</v>
      </c>
      <c r="K923" s="6">
        <v>55</v>
      </c>
    </row>
    <row r="924" spans="1:11" x14ac:dyDescent="0.3">
      <c r="A924" s="6" t="s">
        <v>931</v>
      </c>
      <c r="B924" s="6" t="s">
        <v>2223</v>
      </c>
      <c r="C924" s="7">
        <v>36991</v>
      </c>
      <c r="D924" s="8">
        <v>35428</v>
      </c>
      <c r="E924" s="6" t="s">
        <v>2600</v>
      </c>
      <c r="F924" s="6">
        <v>122832</v>
      </c>
      <c r="G924" s="6" t="s">
        <v>2607</v>
      </c>
      <c r="H924" s="6" t="s">
        <v>2616</v>
      </c>
      <c r="I924" s="6" t="s">
        <v>3009</v>
      </c>
      <c r="J924" s="6" t="s">
        <v>3309</v>
      </c>
      <c r="K924" s="6">
        <v>29</v>
      </c>
    </row>
    <row r="925" spans="1:11" x14ac:dyDescent="0.3">
      <c r="A925" s="6" t="s">
        <v>932</v>
      </c>
      <c r="B925" s="6" t="s">
        <v>2224</v>
      </c>
      <c r="C925" s="7">
        <v>24803</v>
      </c>
      <c r="D925" s="8">
        <v>32663</v>
      </c>
      <c r="E925" s="6" t="s">
        <v>2602</v>
      </c>
      <c r="F925" s="6">
        <v>137849</v>
      </c>
      <c r="G925" s="6" t="s">
        <v>2607</v>
      </c>
      <c r="H925" s="6" t="s">
        <v>2617</v>
      </c>
      <c r="I925" s="6" t="s">
        <v>3196</v>
      </c>
      <c r="J925" s="6" t="s">
        <v>3308</v>
      </c>
      <c r="K925" s="6">
        <v>36</v>
      </c>
    </row>
    <row r="926" spans="1:11" x14ac:dyDescent="0.3">
      <c r="A926" s="6" t="s">
        <v>933</v>
      </c>
      <c r="B926" s="6" t="s">
        <v>2225</v>
      </c>
      <c r="C926" s="7">
        <v>28329</v>
      </c>
      <c r="D926" s="8">
        <v>37070</v>
      </c>
      <c r="E926" s="6" t="s">
        <v>2604</v>
      </c>
      <c r="F926" s="6">
        <v>121209</v>
      </c>
      <c r="G926" s="6" t="s">
        <v>2613</v>
      </c>
      <c r="H926" s="6" t="s">
        <v>2617</v>
      </c>
      <c r="I926" s="6" t="s">
        <v>3047</v>
      </c>
      <c r="J926" s="6" t="s">
        <v>3304</v>
      </c>
      <c r="K926" s="6">
        <v>24</v>
      </c>
    </row>
    <row r="927" spans="1:11" x14ac:dyDescent="0.3">
      <c r="A927" s="6" t="s">
        <v>934</v>
      </c>
      <c r="B927" s="6" t="s">
        <v>2226</v>
      </c>
      <c r="C927" s="7">
        <v>31030</v>
      </c>
      <c r="D927" s="8">
        <v>43229</v>
      </c>
      <c r="E927" s="6" t="s">
        <v>2599</v>
      </c>
      <c r="F927" s="6">
        <v>108129</v>
      </c>
      <c r="G927" s="6" t="s">
        <v>2611</v>
      </c>
      <c r="H927" s="6" t="s">
        <v>2616</v>
      </c>
      <c r="I927" s="6" t="s">
        <v>2759</v>
      </c>
      <c r="J927" s="6" t="s">
        <v>3309</v>
      </c>
      <c r="K927" s="6">
        <v>7</v>
      </c>
    </row>
    <row r="928" spans="1:11" x14ac:dyDescent="0.3">
      <c r="A928" s="6" t="s">
        <v>935</v>
      </c>
      <c r="B928" s="6" t="s">
        <v>2227</v>
      </c>
      <c r="C928" s="7">
        <v>27989</v>
      </c>
      <c r="D928" s="8">
        <v>37982</v>
      </c>
      <c r="E928" s="6" t="s">
        <v>2601</v>
      </c>
      <c r="F928" s="6">
        <v>36017</v>
      </c>
      <c r="G928" s="6" t="s">
        <v>2614</v>
      </c>
      <c r="H928" s="6" t="s">
        <v>2616</v>
      </c>
      <c r="I928" s="6" t="s">
        <v>3197</v>
      </c>
      <c r="J928" s="6" t="s">
        <v>3309</v>
      </c>
      <c r="K928" s="6">
        <v>22</v>
      </c>
    </row>
    <row r="929" spans="1:11" x14ac:dyDescent="0.3">
      <c r="A929" s="6" t="s">
        <v>936</v>
      </c>
      <c r="B929" s="6" t="s">
        <v>2228</v>
      </c>
      <c r="C929" s="7">
        <v>28012</v>
      </c>
      <c r="D929" s="8">
        <v>40324</v>
      </c>
      <c r="E929" s="6" t="s">
        <v>2602</v>
      </c>
      <c r="F929" s="6">
        <v>179456</v>
      </c>
      <c r="G929" s="6" t="s">
        <v>2607</v>
      </c>
      <c r="H929" s="6" t="s">
        <v>2617</v>
      </c>
      <c r="I929" s="6" t="s">
        <v>2917</v>
      </c>
      <c r="J929" s="6" t="s">
        <v>3307</v>
      </c>
      <c r="K929" s="6">
        <v>15</v>
      </c>
    </row>
    <row r="930" spans="1:11" x14ac:dyDescent="0.3">
      <c r="A930" s="6" t="s">
        <v>937</v>
      </c>
      <c r="B930" s="6" t="s">
        <v>2229</v>
      </c>
      <c r="C930" s="7">
        <v>32726</v>
      </c>
      <c r="D930" s="8">
        <v>44460</v>
      </c>
      <c r="E930" s="6" t="s">
        <v>2605</v>
      </c>
      <c r="F930" s="6">
        <v>33806</v>
      </c>
      <c r="G930" s="6" t="s">
        <v>2612</v>
      </c>
      <c r="H930" s="6" t="s">
        <v>2616</v>
      </c>
      <c r="I930" s="6" t="s">
        <v>3028</v>
      </c>
      <c r="J930" s="6" t="s">
        <v>3308</v>
      </c>
      <c r="K930" s="6">
        <v>4</v>
      </c>
    </row>
    <row r="931" spans="1:11" x14ac:dyDescent="0.3">
      <c r="A931" s="6" t="s">
        <v>938</v>
      </c>
      <c r="B931" s="6" t="s">
        <v>2230</v>
      </c>
      <c r="C931" s="7">
        <v>30781</v>
      </c>
      <c r="D931" s="8">
        <v>28846</v>
      </c>
      <c r="E931" s="6" t="s">
        <v>2603</v>
      </c>
      <c r="F931" s="6">
        <v>185458</v>
      </c>
      <c r="G931" s="6" t="s">
        <v>2614</v>
      </c>
      <c r="H931" s="6" t="s">
        <v>2617</v>
      </c>
      <c r="I931" s="6" t="s">
        <v>3028</v>
      </c>
      <c r="J931" s="6" t="s">
        <v>3308</v>
      </c>
      <c r="K931" s="6">
        <v>47</v>
      </c>
    </row>
    <row r="932" spans="1:11" x14ac:dyDescent="0.3">
      <c r="A932" s="6" t="s">
        <v>939</v>
      </c>
      <c r="B932" s="6" t="s">
        <v>2231</v>
      </c>
      <c r="C932" s="7">
        <v>33997</v>
      </c>
      <c r="D932" s="8">
        <v>44351</v>
      </c>
      <c r="E932" s="6" t="s">
        <v>2605</v>
      </c>
      <c r="F932" s="6">
        <v>120603</v>
      </c>
      <c r="G932" s="6" t="s">
        <v>2607</v>
      </c>
      <c r="H932" s="6" t="s">
        <v>2616</v>
      </c>
      <c r="I932" s="6" t="s">
        <v>3198</v>
      </c>
      <c r="J932" s="6" t="s">
        <v>3309</v>
      </c>
      <c r="K932" s="6">
        <v>4</v>
      </c>
    </row>
    <row r="933" spans="1:11" x14ac:dyDescent="0.3">
      <c r="A933" s="6" t="s">
        <v>940</v>
      </c>
      <c r="B933" s="6" t="s">
        <v>2232</v>
      </c>
      <c r="C933" s="7">
        <v>21963</v>
      </c>
      <c r="D933" s="8">
        <v>34264</v>
      </c>
      <c r="E933" s="6" t="s">
        <v>2601</v>
      </c>
      <c r="F933" s="6">
        <v>91042</v>
      </c>
      <c r="G933" s="6" t="s">
        <v>2613</v>
      </c>
      <c r="H933" s="6" t="s">
        <v>2617</v>
      </c>
      <c r="I933" s="6" t="s">
        <v>3047</v>
      </c>
      <c r="J933" s="6" t="s">
        <v>3305</v>
      </c>
      <c r="K933" s="6">
        <v>32</v>
      </c>
    </row>
    <row r="934" spans="1:11" x14ac:dyDescent="0.3">
      <c r="A934" s="6" t="s">
        <v>941</v>
      </c>
      <c r="B934" s="6" t="s">
        <v>2233</v>
      </c>
      <c r="C934" s="7">
        <v>22401</v>
      </c>
      <c r="D934" s="8">
        <v>43087</v>
      </c>
      <c r="E934" s="6" t="s">
        <v>2599</v>
      </c>
      <c r="F934" s="6">
        <v>193524</v>
      </c>
      <c r="G934" s="6" t="s">
        <v>2607</v>
      </c>
      <c r="H934" s="6" t="s">
        <v>2616</v>
      </c>
      <c r="I934" s="6" t="s">
        <v>2746</v>
      </c>
      <c r="J934" s="6" t="s">
        <v>3306</v>
      </c>
      <c r="K934" s="6">
        <v>8</v>
      </c>
    </row>
    <row r="935" spans="1:11" x14ac:dyDescent="0.3">
      <c r="A935" s="6" t="s">
        <v>942</v>
      </c>
      <c r="B935" s="6" t="s">
        <v>2234</v>
      </c>
      <c r="C935" s="7">
        <v>27753</v>
      </c>
      <c r="D935" s="8">
        <v>26933</v>
      </c>
      <c r="E935" s="6" t="s">
        <v>2603</v>
      </c>
      <c r="F935" s="6">
        <v>23505</v>
      </c>
      <c r="G935" s="6" t="s">
        <v>2609</v>
      </c>
      <c r="H935" s="6" t="s">
        <v>2616</v>
      </c>
      <c r="I935" s="6" t="s">
        <v>3198</v>
      </c>
      <c r="J935" s="6" t="s">
        <v>3308</v>
      </c>
      <c r="K935" s="6">
        <v>52</v>
      </c>
    </row>
    <row r="936" spans="1:11" x14ac:dyDescent="0.3">
      <c r="A936" s="6" t="s">
        <v>943</v>
      </c>
      <c r="B936" s="6" t="s">
        <v>2235</v>
      </c>
      <c r="C936" s="7">
        <v>25346</v>
      </c>
      <c r="D936" s="8">
        <v>32379</v>
      </c>
      <c r="E936" s="6" t="s">
        <v>2602</v>
      </c>
      <c r="F936" s="6">
        <v>83253</v>
      </c>
      <c r="G936" s="6" t="s">
        <v>2613</v>
      </c>
      <c r="H936" s="6" t="s">
        <v>2617</v>
      </c>
      <c r="I936" s="6" t="s">
        <v>3104</v>
      </c>
      <c r="J936" s="6" t="s">
        <v>3309</v>
      </c>
      <c r="K936" s="6">
        <v>37</v>
      </c>
    </row>
    <row r="937" spans="1:11" x14ac:dyDescent="0.3">
      <c r="A937" s="6" t="s">
        <v>944</v>
      </c>
      <c r="B937" s="6" t="s">
        <v>2236</v>
      </c>
      <c r="C937" s="7">
        <v>26679</v>
      </c>
      <c r="D937" s="8">
        <v>28926</v>
      </c>
      <c r="E937" s="6" t="s">
        <v>2604</v>
      </c>
      <c r="F937" s="6">
        <v>168471</v>
      </c>
      <c r="G937" s="6" t="s">
        <v>2608</v>
      </c>
      <c r="H937" s="6" t="s">
        <v>2617</v>
      </c>
      <c r="I937" s="6" t="s">
        <v>3199</v>
      </c>
      <c r="J937" s="6" t="s">
        <v>3309</v>
      </c>
      <c r="K937" s="6">
        <v>46</v>
      </c>
    </row>
    <row r="938" spans="1:11" x14ac:dyDescent="0.3">
      <c r="A938" s="6" t="s">
        <v>945</v>
      </c>
      <c r="B938" s="6" t="s">
        <v>2237</v>
      </c>
      <c r="C938" s="7">
        <v>31063</v>
      </c>
      <c r="D938" s="8">
        <v>36754</v>
      </c>
      <c r="E938" s="6" t="s">
        <v>2601</v>
      </c>
      <c r="F938" s="6">
        <v>158179</v>
      </c>
      <c r="G938" s="6" t="s">
        <v>2614</v>
      </c>
      <c r="H938" s="6" t="s">
        <v>2616</v>
      </c>
      <c r="I938" s="6" t="s">
        <v>2642</v>
      </c>
      <c r="J938" s="6" t="s">
        <v>3305</v>
      </c>
      <c r="K938" s="6">
        <v>25</v>
      </c>
    </row>
    <row r="939" spans="1:11" x14ac:dyDescent="0.3">
      <c r="A939" s="6" t="s">
        <v>946</v>
      </c>
      <c r="B939" s="6" t="s">
        <v>2238</v>
      </c>
      <c r="C939" s="7">
        <v>29918</v>
      </c>
      <c r="D939" s="8">
        <v>36063</v>
      </c>
      <c r="E939" s="6" t="s">
        <v>2603</v>
      </c>
      <c r="F939" s="6">
        <v>78843</v>
      </c>
      <c r="G939" s="6" t="s">
        <v>2606</v>
      </c>
      <c r="H939" s="6" t="s">
        <v>2617</v>
      </c>
      <c r="I939" s="6" t="s">
        <v>2976</v>
      </c>
      <c r="J939" s="6" t="s">
        <v>3307</v>
      </c>
      <c r="K939" s="6">
        <v>27</v>
      </c>
    </row>
    <row r="940" spans="1:11" x14ac:dyDescent="0.3">
      <c r="A940" s="6" t="s">
        <v>947</v>
      </c>
      <c r="B940" s="6" t="s">
        <v>2239</v>
      </c>
      <c r="C940" s="7">
        <v>21913</v>
      </c>
      <c r="D940" s="8">
        <v>43076</v>
      </c>
      <c r="E940" s="6" t="s">
        <v>2600</v>
      </c>
      <c r="F940" s="6">
        <v>171689</v>
      </c>
      <c r="G940" s="6" t="s">
        <v>2610</v>
      </c>
      <c r="H940" s="6" t="s">
        <v>2617</v>
      </c>
      <c r="I940" s="6" t="s">
        <v>3200</v>
      </c>
      <c r="J940" s="6" t="s">
        <v>3304</v>
      </c>
      <c r="K940" s="6">
        <v>8</v>
      </c>
    </row>
    <row r="941" spans="1:11" x14ac:dyDescent="0.3">
      <c r="A941" s="6" t="s">
        <v>948</v>
      </c>
      <c r="B941" s="6" t="s">
        <v>2240</v>
      </c>
      <c r="C941" s="7">
        <v>37527</v>
      </c>
      <c r="D941" s="8">
        <v>40284</v>
      </c>
      <c r="E941" s="6" t="s">
        <v>2601</v>
      </c>
      <c r="F941" s="6">
        <v>122047</v>
      </c>
      <c r="G941" s="6" t="s">
        <v>2607</v>
      </c>
      <c r="H941" s="6" t="s">
        <v>2617</v>
      </c>
      <c r="I941" s="6" t="s">
        <v>3037</v>
      </c>
      <c r="J941" s="6" t="s">
        <v>3306</v>
      </c>
      <c r="K941" s="6">
        <v>15</v>
      </c>
    </row>
    <row r="942" spans="1:11" x14ac:dyDescent="0.3">
      <c r="A942" s="6" t="s">
        <v>949</v>
      </c>
      <c r="B942" s="6" t="s">
        <v>2241</v>
      </c>
      <c r="C942" s="7">
        <v>23337</v>
      </c>
      <c r="D942" s="8">
        <v>33717</v>
      </c>
      <c r="E942" s="6" t="s">
        <v>2601</v>
      </c>
      <c r="F942" s="6">
        <v>89146</v>
      </c>
      <c r="G942" s="6" t="s">
        <v>2614</v>
      </c>
      <c r="H942" s="6" t="s">
        <v>2617</v>
      </c>
      <c r="I942" s="6" t="s">
        <v>3201</v>
      </c>
      <c r="J942" s="6" t="s">
        <v>3307</v>
      </c>
      <c r="K942" s="6">
        <v>33</v>
      </c>
    </row>
    <row r="943" spans="1:11" x14ac:dyDescent="0.3">
      <c r="A943" s="6" t="s">
        <v>950</v>
      </c>
      <c r="B943" s="6" t="s">
        <v>2242</v>
      </c>
      <c r="C943" s="7">
        <v>32880</v>
      </c>
      <c r="D943" s="8">
        <v>43962</v>
      </c>
      <c r="E943" s="6" t="s">
        <v>2601</v>
      </c>
      <c r="F943" s="6">
        <v>185089</v>
      </c>
      <c r="G943" s="6" t="s">
        <v>2615</v>
      </c>
      <c r="H943" s="6" t="s">
        <v>2616</v>
      </c>
      <c r="I943" s="6" t="s">
        <v>3202</v>
      </c>
      <c r="J943" s="6" t="s">
        <v>3309</v>
      </c>
      <c r="K943" s="6">
        <v>5</v>
      </c>
    </row>
    <row r="944" spans="1:11" x14ac:dyDescent="0.3">
      <c r="A944" s="6" t="s">
        <v>951</v>
      </c>
      <c r="B944" s="6" t="s">
        <v>2243</v>
      </c>
      <c r="C944" s="7">
        <v>26856</v>
      </c>
      <c r="D944" s="8">
        <v>37903</v>
      </c>
      <c r="E944" s="6" t="s">
        <v>2600</v>
      </c>
      <c r="F944" s="6">
        <v>82002</v>
      </c>
      <c r="G944" s="6" t="s">
        <v>2609</v>
      </c>
      <c r="H944" s="6" t="s">
        <v>2616</v>
      </c>
      <c r="I944" s="6" t="s">
        <v>3203</v>
      </c>
      <c r="J944" s="6" t="s">
        <v>3306</v>
      </c>
      <c r="K944" s="6">
        <v>22</v>
      </c>
    </row>
    <row r="945" spans="1:11" x14ac:dyDescent="0.3">
      <c r="A945" s="6" t="s">
        <v>952</v>
      </c>
      <c r="B945" s="6" t="s">
        <v>2244</v>
      </c>
      <c r="C945" s="7">
        <v>29217</v>
      </c>
      <c r="D945" s="8">
        <v>35506</v>
      </c>
      <c r="E945" s="6" t="s">
        <v>2599</v>
      </c>
      <c r="F945" s="6">
        <v>164266</v>
      </c>
      <c r="G945" s="6" t="s">
        <v>2610</v>
      </c>
      <c r="H945" s="6" t="s">
        <v>2616</v>
      </c>
      <c r="I945" s="6" t="s">
        <v>2780</v>
      </c>
      <c r="J945" s="6" t="s">
        <v>3306</v>
      </c>
      <c r="K945" s="6">
        <v>28</v>
      </c>
    </row>
    <row r="946" spans="1:11" x14ac:dyDescent="0.3">
      <c r="A946" s="6" t="s">
        <v>953</v>
      </c>
      <c r="B946" s="6" t="s">
        <v>2245</v>
      </c>
      <c r="C946" s="7">
        <v>24349</v>
      </c>
      <c r="D946" s="8">
        <v>41014</v>
      </c>
      <c r="E946" s="6" t="s">
        <v>2605</v>
      </c>
      <c r="F946" s="6">
        <v>79187</v>
      </c>
      <c r="G946" s="6" t="s">
        <v>2609</v>
      </c>
      <c r="H946" s="6" t="s">
        <v>2617</v>
      </c>
      <c r="I946" s="6" t="s">
        <v>2805</v>
      </c>
      <c r="J946" s="6" t="s">
        <v>3310</v>
      </c>
      <c r="K946" s="6">
        <v>13</v>
      </c>
    </row>
    <row r="947" spans="1:11" x14ac:dyDescent="0.3">
      <c r="A947" s="6" t="s">
        <v>954</v>
      </c>
      <c r="B947" s="6" t="s">
        <v>2246</v>
      </c>
      <c r="C947" s="7">
        <v>36936</v>
      </c>
      <c r="D947" s="8">
        <v>31912</v>
      </c>
      <c r="E947" s="6" t="s">
        <v>2603</v>
      </c>
      <c r="F947" s="6">
        <v>143460</v>
      </c>
      <c r="G947" s="6" t="s">
        <v>2610</v>
      </c>
      <c r="H947" s="6" t="s">
        <v>2617</v>
      </c>
      <c r="I947" s="6" t="s">
        <v>2627</v>
      </c>
      <c r="J947" s="6" t="s">
        <v>3307</v>
      </c>
      <c r="K947" s="6">
        <v>38</v>
      </c>
    </row>
    <row r="948" spans="1:11" x14ac:dyDescent="0.3">
      <c r="A948" s="6" t="s">
        <v>955</v>
      </c>
      <c r="B948" s="6" t="s">
        <v>2247</v>
      </c>
      <c r="C948" s="7">
        <v>36316</v>
      </c>
      <c r="D948" s="8">
        <v>38819</v>
      </c>
      <c r="E948" s="6" t="s">
        <v>2605</v>
      </c>
      <c r="F948" s="6">
        <v>182611</v>
      </c>
      <c r="G948" s="6" t="s">
        <v>2611</v>
      </c>
      <c r="H948" s="6" t="s">
        <v>2616</v>
      </c>
      <c r="I948" s="6" t="s">
        <v>2698</v>
      </c>
      <c r="J948" s="6" t="s">
        <v>3305</v>
      </c>
      <c r="K948" s="6">
        <v>19</v>
      </c>
    </row>
    <row r="949" spans="1:11" x14ac:dyDescent="0.3">
      <c r="A949" s="6" t="s">
        <v>956</v>
      </c>
      <c r="B949" s="6" t="s">
        <v>2248</v>
      </c>
      <c r="C949" s="7">
        <v>34365</v>
      </c>
      <c r="D949" s="8">
        <v>36153</v>
      </c>
      <c r="E949" s="6" t="s">
        <v>2605</v>
      </c>
      <c r="F949" s="6">
        <v>97887</v>
      </c>
      <c r="G949" s="6" t="s">
        <v>2611</v>
      </c>
      <c r="H949" s="6" t="s">
        <v>2616</v>
      </c>
      <c r="I949" s="6" t="s">
        <v>3204</v>
      </c>
      <c r="J949" s="6" t="s">
        <v>3306</v>
      </c>
      <c r="K949" s="6">
        <v>27</v>
      </c>
    </row>
    <row r="950" spans="1:11" x14ac:dyDescent="0.3">
      <c r="A950" s="6" t="s">
        <v>957</v>
      </c>
      <c r="B950" s="6" t="s">
        <v>2249</v>
      </c>
      <c r="C950" s="7">
        <v>27343</v>
      </c>
      <c r="D950" s="8">
        <v>30127</v>
      </c>
      <c r="E950" s="6" t="s">
        <v>2604</v>
      </c>
      <c r="F950" s="6">
        <v>172562</v>
      </c>
      <c r="G950" s="6" t="s">
        <v>2612</v>
      </c>
      <c r="H950" s="6" t="s">
        <v>2617</v>
      </c>
      <c r="I950" s="6" t="s">
        <v>3205</v>
      </c>
      <c r="J950" s="6" t="s">
        <v>3307</v>
      </c>
      <c r="K950" s="6">
        <v>43</v>
      </c>
    </row>
    <row r="951" spans="1:11" x14ac:dyDescent="0.3">
      <c r="A951" s="6" t="s">
        <v>958</v>
      </c>
      <c r="B951" s="6" t="s">
        <v>2250</v>
      </c>
      <c r="C951" s="7">
        <v>36956</v>
      </c>
      <c r="D951" s="8">
        <v>32650</v>
      </c>
      <c r="E951" s="6" t="s">
        <v>2603</v>
      </c>
      <c r="F951" s="6">
        <v>157141</v>
      </c>
      <c r="G951" s="6" t="s">
        <v>2610</v>
      </c>
      <c r="H951" s="6" t="s">
        <v>2617</v>
      </c>
      <c r="I951" s="6" t="s">
        <v>2720</v>
      </c>
      <c r="J951" s="6" t="s">
        <v>3306</v>
      </c>
      <c r="K951" s="6">
        <v>36</v>
      </c>
    </row>
    <row r="952" spans="1:11" x14ac:dyDescent="0.3">
      <c r="A952" s="6" t="s">
        <v>959</v>
      </c>
      <c r="B952" s="6" t="s">
        <v>2251</v>
      </c>
      <c r="C952" s="7">
        <v>32004</v>
      </c>
      <c r="D952" s="8">
        <v>35684</v>
      </c>
      <c r="E952" s="6" t="s">
        <v>2601</v>
      </c>
      <c r="F952" s="6">
        <v>148461</v>
      </c>
      <c r="G952" s="6" t="s">
        <v>2609</v>
      </c>
      <c r="H952" s="6" t="s">
        <v>2616</v>
      </c>
      <c r="I952" s="6" t="s">
        <v>3206</v>
      </c>
      <c r="J952" s="6" t="s">
        <v>3310</v>
      </c>
      <c r="K952" s="6">
        <v>28</v>
      </c>
    </row>
    <row r="953" spans="1:11" x14ac:dyDescent="0.3">
      <c r="A953" s="6" t="s">
        <v>960</v>
      </c>
      <c r="B953" s="6" t="s">
        <v>2252</v>
      </c>
      <c r="C953" s="7">
        <v>36955</v>
      </c>
      <c r="D953" s="8">
        <v>42740</v>
      </c>
      <c r="E953" s="6" t="s">
        <v>2600</v>
      </c>
      <c r="F953" s="6">
        <v>194217</v>
      </c>
      <c r="G953" s="6" t="s">
        <v>2614</v>
      </c>
      <c r="H953" s="6" t="s">
        <v>2617</v>
      </c>
      <c r="I953" s="6" t="s">
        <v>2755</v>
      </c>
      <c r="J953" s="6" t="s">
        <v>3308</v>
      </c>
      <c r="K953" s="6">
        <v>8</v>
      </c>
    </row>
    <row r="954" spans="1:11" x14ac:dyDescent="0.3">
      <c r="A954" s="6" t="s">
        <v>961</v>
      </c>
      <c r="B954" s="6" t="s">
        <v>2253</v>
      </c>
      <c r="C954" s="7">
        <v>24994</v>
      </c>
      <c r="D954" s="8">
        <v>26218</v>
      </c>
      <c r="E954" s="6" t="s">
        <v>2601</v>
      </c>
      <c r="F954" s="6">
        <v>183384</v>
      </c>
      <c r="G954" s="6" t="s">
        <v>2611</v>
      </c>
      <c r="H954" s="6" t="s">
        <v>2617</v>
      </c>
      <c r="I954" s="6" t="s">
        <v>3160</v>
      </c>
      <c r="J954" s="6" t="s">
        <v>3306</v>
      </c>
      <c r="K954" s="6">
        <v>54</v>
      </c>
    </row>
    <row r="955" spans="1:11" x14ac:dyDescent="0.3">
      <c r="A955" s="6" t="s">
        <v>962</v>
      </c>
      <c r="B955" s="6" t="s">
        <v>2254</v>
      </c>
      <c r="C955" s="7">
        <v>30547</v>
      </c>
      <c r="D955" s="8">
        <v>34856</v>
      </c>
      <c r="E955" s="6" t="s">
        <v>2603</v>
      </c>
      <c r="F955" s="6">
        <v>66238</v>
      </c>
      <c r="G955" s="6" t="s">
        <v>2611</v>
      </c>
      <c r="H955" s="6" t="s">
        <v>2617</v>
      </c>
      <c r="I955" s="6" t="s">
        <v>2943</v>
      </c>
      <c r="J955" s="6" t="s">
        <v>3305</v>
      </c>
      <c r="K955" s="6">
        <v>30</v>
      </c>
    </row>
    <row r="956" spans="1:11" x14ac:dyDescent="0.3">
      <c r="A956" s="6" t="s">
        <v>963</v>
      </c>
      <c r="B956" s="6" t="s">
        <v>2255</v>
      </c>
      <c r="C956" s="7">
        <v>23621</v>
      </c>
      <c r="D956" s="8">
        <v>25705</v>
      </c>
      <c r="E956" s="6" t="s">
        <v>2600</v>
      </c>
      <c r="F956" s="6">
        <v>63461</v>
      </c>
      <c r="G956" s="6" t="s">
        <v>2607</v>
      </c>
      <c r="H956" s="6" t="s">
        <v>2617</v>
      </c>
      <c r="I956" s="6" t="s">
        <v>2654</v>
      </c>
      <c r="J956" s="6" t="s">
        <v>3304</v>
      </c>
      <c r="K956" s="6">
        <v>55</v>
      </c>
    </row>
    <row r="957" spans="1:11" x14ac:dyDescent="0.3">
      <c r="A957" s="6" t="s">
        <v>964</v>
      </c>
      <c r="B957" s="6" t="s">
        <v>2256</v>
      </c>
      <c r="C957" s="7">
        <v>36027</v>
      </c>
      <c r="D957" s="8">
        <v>32262</v>
      </c>
      <c r="E957" s="6" t="s">
        <v>2603</v>
      </c>
      <c r="F957" s="6">
        <v>54251</v>
      </c>
      <c r="G957" s="6" t="s">
        <v>2607</v>
      </c>
      <c r="H957" s="6" t="s">
        <v>2616</v>
      </c>
      <c r="I957" s="6" t="s">
        <v>3207</v>
      </c>
      <c r="J957" s="6" t="s">
        <v>3306</v>
      </c>
      <c r="K957" s="6">
        <v>37</v>
      </c>
    </row>
    <row r="958" spans="1:11" x14ac:dyDescent="0.3">
      <c r="A958" s="6" t="s">
        <v>965</v>
      </c>
      <c r="B958" s="6" t="s">
        <v>2257</v>
      </c>
      <c r="C958" s="7">
        <v>33197</v>
      </c>
      <c r="D958" s="8">
        <v>27127</v>
      </c>
      <c r="E958" s="6" t="s">
        <v>2604</v>
      </c>
      <c r="F958" s="6">
        <v>185340</v>
      </c>
      <c r="G958" s="6" t="s">
        <v>2609</v>
      </c>
      <c r="H958" s="6" t="s">
        <v>2617</v>
      </c>
      <c r="I958" s="6" t="s">
        <v>3168</v>
      </c>
      <c r="J958" s="6" t="s">
        <v>3308</v>
      </c>
      <c r="K958" s="6">
        <v>51</v>
      </c>
    </row>
    <row r="959" spans="1:11" x14ac:dyDescent="0.3">
      <c r="A959" s="6" t="s">
        <v>966</v>
      </c>
      <c r="B959" s="6" t="s">
        <v>2258</v>
      </c>
      <c r="C959" s="7">
        <v>36625</v>
      </c>
      <c r="D959" s="8">
        <v>31642</v>
      </c>
      <c r="E959" s="6" t="s">
        <v>2601</v>
      </c>
      <c r="F959" s="6">
        <v>73595</v>
      </c>
      <c r="G959" s="6" t="s">
        <v>2607</v>
      </c>
      <c r="H959" s="6" t="s">
        <v>2617</v>
      </c>
      <c r="I959" s="6" t="s">
        <v>3202</v>
      </c>
      <c r="J959" s="6" t="s">
        <v>3309</v>
      </c>
      <c r="K959" s="6">
        <v>39</v>
      </c>
    </row>
    <row r="960" spans="1:11" x14ac:dyDescent="0.3">
      <c r="A960" s="6" t="s">
        <v>967</v>
      </c>
      <c r="B960" s="6" t="s">
        <v>2259</v>
      </c>
      <c r="C960" s="7">
        <v>36048</v>
      </c>
      <c r="D960" s="8">
        <v>33183</v>
      </c>
      <c r="E960" s="6" t="s">
        <v>2601</v>
      </c>
      <c r="F960" s="6">
        <v>166759</v>
      </c>
      <c r="G960" s="6" t="s">
        <v>2612</v>
      </c>
      <c r="H960" s="6" t="s">
        <v>2616</v>
      </c>
      <c r="I960" s="6" t="s">
        <v>2910</v>
      </c>
      <c r="J960" s="6" t="s">
        <v>3310</v>
      </c>
      <c r="K960" s="6">
        <v>35</v>
      </c>
    </row>
    <row r="961" spans="1:11" x14ac:dyDescent="0.3">
      <c r="A961" s="6" t="s">
        <v>968</v>
      </c>
      <c r="B961" s="6" t="s">
        <v>2260</v>
      </c>
      <c r="C961" s="7">
        <v>23759</v>
      </c>
      <c r="D961" s="8">
        <v>30545</v>
      </c>
      <c r="E961" s="6" t="s">
        <v>2601</v>
      </c>
      <c r="F961" s="6">
        <v>35126</v>
      </c>
      <c r="G961" s="6" t="s">
        <v>2609</v>
      </c>
      <c r="H961" s="6" t="s">
        <v>2616</v>
      </c>
      <c r="I961" s="6" t="s">
        <v>2754</v>
      </c>
      <c r="J961" s="6" t="s">
        <v>3305</v>
      </c>
      <c r="K961" s="6">
        <v>42</v>
      </c>
    </row>
    <row r="962" spans="1:11" x14ac:dyDescent="0.3">
      <c r="A962" s="6" t="s">
        <v>969</v>
      </c>
      <c r="B962" s="6" t="s">
        <v>2261</v>
      </c>
      <c r="C962" s="7">
        <v>27330</v>
      </c>
      <c r="D962" s="8">
        <v>29090</v>
      </c>
      <c r="E962" s="6" t="s">
        <v>2602</v>
      </c>
      <c r="F962" s="6">
        <v>99946</v>
      </c>
      <c r="G962" s="6" t="s">
        <v>2612</v>
      </c>
      <c r="H962" s="6" t="s">
        <v>2617</v>
      </c>
      <c r="I962" s="6" t="s">
        <v>3208</v>
      </c>
      <c r="J962" s="6" t="s">
        <v>3309</v>
      </c>
      <c r="K962" s="6">
        <v>46</v>
      </c>
    </row>
    <row r="963" spans="1:11" x14ac:dyDescent="0.3">
      <c r="A963" s="6" t="s">
        <v>970</v>
      </c>
      <c r="B963" s="6" t="s">
        <v>2262</v>
      </c>
      <c r="C963" s="7">
        <v>25658</v>
      </c>
      <c r="D963" s="8">
        <v>26883</v>
      </c>
      <c r="E963" s="6" t="s">
        <v>2599</v>
      </c>
      <c r="F963" s="6">
        <v>70586</v>
      </c>
      <c r="G963" s="6" t="s">
        <v>2613</v>
      </c>
      <c r="H963" s="6" t="s">
        <v>2616</v>
      </c>
      <c r="I963" s="6" t="s">
        <v>3209</v>
      </c>
      <c r="J963" s="6" t="s">
        <v>3304</v>
      </c>
      <c r="K963" s="6">
        <v>52</v>
      </c>
    </row>
    <row r="964" spans="1:11" x14ac:dyDescent="0.3">
      <c r="A964" s="6" t="s">
        <v>971</v>
      </c>
      <c r="B964" s="6" t="s">
        <v>2263</v>
      </c>
      <c r="C964" s="7">
        <v>29181</v>
      </c>
      <c r="D964" s="8">
        <v>30286</v>
      </c>
      <c r="E964" s="6" t="s">
        <v>2603</v>
      </c>
      <c r="F964" s="6">
        <v>152761</v>
      </c>
      <c r="G964" s="6" t="s">
        <v>2611</v>
      </c>
      <c r="H964" s="6" t="s">
        <v>2616</v>
      </c>
      <c r="I964" s="6" t="s">
        <v>3210</v>
      </c>
      <c r="J964" s="6" t="s">
        <v>3306</v>
      </c>
      <c r="K964" s="6">
        <v>43</v>
      </c>
    </row>
    <row r="965" spans="1:11" x14ac:dyDescent="0.3">
      <c r="A965" s="6" t="s">
        <v>972</v>
      </c>
      <c r="B965" s="6" t="s">
        <v>2264</v>
      </c>
      <c r="C965" s="7">
        <v>34200</v>
      </c>
      <c r="D965" s="8">
        <v>41932</v>
      </c>
      <c r="E965" s="6" t="s">
        <v>2605</v>
      </c>
      <c r="F965" s="6">
        <v>149251</v>
      </c>
      <c r="G965" s="6" t="s">
        <v>2607</v>
      </c>
      <c r="H965" s="6" t="s">
        <v>2616</v>
      </c>
      <c r="I965" s="6" t="s">
        <v>3211</v>
      </c>
      <c r="J965" s="6" t="s">
        <v>3306</v>
      </c>
      <c r="K965" s="6">
        <v>11</v>
      </c>
    </row>
    <row r="966" spans="1:11" x14ac:dyDescent="0.3">
      <c r="A966" s="6" t="s">
        <v>973</v>
      </c>
      <c r="B966" s="6" t="s">
        <v>2265</v>
      </c>
      <c r="C966" s="7">
        <v>22691</v>
      </c>
      <c r="D966" s="8">
        <v>42376</v>
      </c>
      <c r="E966" s="6" t="s">
        <v>2599</v>
      </c>
      <c r="F966" s="6">
        <v>122013</v>
      </c>
      <c r="G966" s="6" t="s">
        <v>2608</v>
      </c>
      <c r="H966" s="6" t="s">
        <v>2617</v>
      </c>
      <c r="I966" s="6" t="s">
        <v>2928</v>
      </c>
      <c r="J966" s="6" t="s">
        <v>3304</v>
      </c>
      <c r="K966" s="6">
        <v>9</v>
      </c>
    </row>
    <row r="967" spans="1:11" x14ac:dyDescent="0.3">
      <c r="A967" s="6" t="s">
        <v>974</v>
      </c>
      <c r="B967" s="6" t="s">
        <v>2266</v>
      </c>
      <c r="C967" s="7">
        <v>27579</v>
      </c>
      <c r="D967" s="8">
        <v>38091</v>
      </c>
      <c r="E967" s="6" t="s">
        <v>2602</v>
      </c>
      <c r="F967" s="6">
        <v>57516</v>
      </c>
      <c r="G967" s="6" t="s">
        <v>2614</v>
      </c>
      <c r="H967" s="6" t="s">
        <v>2617</v>
      </c>
      <c r="I967" s="6" t="s">
        <v>2785</v>
      </c>
      <c r="J967" s="6" t="s">
        <v>3310</v>
      </c>
      <c r="K967" s="6">
        <v>21</v>
      </c>
    </row>
    <row r="968" spans="1:11" x14ac:dyDescent="0.3">
      <c r="A968" s="6" t="s">
        <v>975</v>
      </c>
      <c r="B968" s="6" t="s">
        <v>2267</v>
      </c>
      <c r="C968" s="7">
        <v>24986</v>
      </c>
      <c r="D968" s="8">
        <v>38957</v>
      </c>
      <c r="E968" s="6" t="s">
        <v>2599</v>
      </c>
      <c r="F968" s="6">
        <v>159124</v>
      </c>
      <c r="G968" s="6" t="s">
        <v>2609</v>
      </c>
      <c r="H968" s="6" t="s">
        <v>2616</v>
      </c>
      <c r="I968" s="6" t="s">
        <v>3059</v>
      </c>
      <c r="J968" s="6" t="s">
        <v>3307</v>
      </c>
      <c r="K968" s="6">
        <v>19</v>
      </c>
    </row>
    <row r="969" spans="1:11" x14ac:dyDescent="0.3">
      <c r="A969" s="6" t="s">
        <v>976</v>
      </c>
      <c r="B969" s="6" t="s">
        <v>2268</v>
      </c>
      <c r="C969" s="7">
        <v>36462</v>
      </c>
      <c r="D969" s="8">
        <v>40906</v>
      </c>
      <c r="E969" s="6" t="s">
        <v>2602</v>
      </c>
      <c r="F969" s="6">
        <v>150566</v>
      </c>
      <c r="G969" s="6" t="s">
        <v>2613</v>
      </c>
      <c r="H969" s="6" t="s">
        <v>2616</v>
      </c>
      <c r="I969" s="6" t="s">
        <v>2904</v>
      </c>
      <c r="J969" s="6" t="s">
        <v>3304</v>
      </c>
      <c r="K969" s="6">
        <v>14</v>
      </c>
    </row>
    <row r="970" spans="1:11" x14ac:dyDescent="0.3">
      <c r="A970" s="6" t="s">
        <v>977</v>
      </c>
      <c r="B970" s="6" t="s">
        <v>2269</v>
      </c>
      <c r="C970" s="7">
        <v>22290</v>
      </c>
      <c r="D970" s="8">
        <v>33303</v>
      </c>
      <c r="E970" s="6" t="s">
        <v>2600</v>
      </c>
      <c r="F970" s="6">
        <v>39292</v>
      </c>
      <c r="G970" s="6" t="s">
        <v>2606</v>
      </c>
      <c r="H970" s="6" t="s">
        <v>2617</v>
      </c>
      <c r="I970" s="6" t="s">
        <v>2982</v>
      </c>
      <c r="J970" s="6" t="s">
        <v>3307</v>
      </c>
      <c r="K970" s="6">
        <v>34</v>
      </c>
    </row>
    <row r="971" spans="1:11" x14ac:dyDescent="0.3">
      <c r="A971" s="6" t="s">
        <v>978</v>
      </c>
      <c r="B971" s="6" t="s">
        <v>2270</v>
      </c>
      <c r="C971" s="7">
        <v>22894</v>
      </c>
      <c r="D971" s="8">
        <v>42126</v>
      </c>
      <c r="E971" s="6" t="s">
        <v>2603</v>
      </c>
      <c r="F971" s="6">
        <v>197312</v>
      </c>
      <c r="G971" s="6" t="s">
        <v>2611</v>
      </c>
      <c r="H971" s="6" t="s">
        <v>2616</v>
      </c>
      <c r="I971" s="6" t="s">
        <v>3041</v>
      </c>
      <c r="J971" s="6" t="s">
        <v>3310</v>
      </c>
      <c r="K971" s="6">
        <v>10</v>
      </c>
    </row>
    <row r="972" spans="1:11" x14ac:dyDescent="0.3">
      <c r="A972" s="6" t="s">
        <v>979</v>
      </c>
      <c r="B972" s="6" t="s">
        <v>2271</v>
      </c>
      <c r="C972" s="7">
        <v>30800</v>
      </c>
      <c r="D972" s="8">
        <v>27129</v>
      </c>
      <c r="E972" s="6" t="s">
        <v>2602</v>
      </c>
      <c r="F972" s="6">
        <v>93126</v>
      </c>
      <c r="G972" s="6" t="s">
        <v>2610</v>
      </c>
      <c r="H972" s="6" t="s">
        <v>2617</v>
      </c>
      <c r="I972" s="6" t="s">
        <v>2971</v>
      </c>
      <c r="J972" s="6" t="s">
        <v>3308</v>
      </c>
      <c r="K972" s="6">
        <v>51</v>
      </c>
    </row>
    <row r="973" spans="1:11" x14ac:dyDescent="0.3">
      <c r="A973" s="6" t="s">
        <v>980</v>
      </c>
      <c r="B973" s="6" t="s">
        <v>2272</v>
      </c>
      <c r="C973" s="7">
        <v>35867</v>
      </c>
      <c r="D973" s="8">
        <v>42330</v>
      </c>
      <c r="E973" s="6" t="s">
        <v>2599</v>
      </c>
      <c r="F973" s="6">
        <v>62050</v>
      </c>
      <c r="G973" s="6" t="s">
        <v>2609</v>
      </c>
      <c r="H973" s="6" t="s">
        <v>2616</v>
      </c>
      <c r="I973" s="6" t="s">
        <v>3212</v>
      </c>
      <c r="J973" s="6" t="s">
        <v>3306</v>
      </c>
      <c r="K973" s="6">
        <v>10</v>
      </c>
    </row>
    <row r="974" spans="1:11" x14ac:dyDescent="0.3">
      <c r="A974" s="6" t="s">
        <v>981</v>
      </c>
      <c r="B974" s="6" t="s">
        <v>2273</v>
      </c>
      <c r="C974" s="7">
        <v>29482</v>
      </c>
      <c r="D974" s="8">
        <v>39923</v>
      </c>
      <c r="E974" s="6" t="s">
        <v>2599</v>
      </c>
      <c r="F974" s="6">
        <v>198074</v>
      </c>
      <c r="G974" s="6" t="s">
        <v>2608</v>
      </c>
      <c r="H974" s="6" t="s">
        <v>2616</v>
      </c>
      <c r="I974" s="6" t="s">
        <v>2798</v>
      </c>
      <c r="J974" s="6" t="s">
        <v>3307</v>
      </c>
      <c r="K974" s="6">
        <v>16</v>
      </c>
    </row>
    <row r="975" spans="1:11" x14ac:dyDescent="0.3">
      <c r="A975" s="6" t="s">
        <v>982</v>
      </c>
      <c r="B975" s="6" t="s">
        <v>2274</v>
      </c>
      <c r="C975" s="7">
        <v>33240</v>
      </c>
      <c r="D975" s="8">
        <v>36681</v>
      </c>
      <c r="E975" s="6" t="s">
        <v>2599</v>
      </c>
      <c r="F975" s="6">
        <v>148691</v>
      </c>
      <c r="G975" s="6" t="s">
        <v>2612</v>
      </c>
      <c r="H975" s="6" t="s">
        <v>2616</v>
      </c>
      <c r="I975" s="6" t="s">
        <v>3213</v>
      </c>
      <c r="J975" s="6" t="s">
        <v>3305</v>
      </c>
      <c r="K975" s="6">
        <v>25</v>
      </c>
    </row>
    <row r="976" spans="1:11" x14ac:dyDescent="0.3">
      <c r="A976" s="6" t="s">
        <v>983</v>
      </c>
      <c r="B976" s="6" t="s">
        <v>2275</v>
      </c>
      <c r="C976" s="7">
        <v>28781</v>
      </c>
      <c r="D976" s="8">
        <v>33024</v>
      </c>
      <c r="E976" s="6" t="s">
        <v>2603</v>
      </c>
      <c r="F976" s="6">
        <v>132770</v>
      </c>
      <c r="G976" s="6" t="s">
        <v>2614</v>
      </c>
      <c r="H976" s="6" t="s">
        <v>2616</v>
      </c>
      <c r="I976" s="6" t="s">
        <v>2798</v>
      </c>
      <c r="J976" s="6" t="s">
        <v>3304</v>
      </c>
      <c r="K976" s="6">
        <v>35</v>
      </c>
    </row>
    <row r="977" spans="1:11" x14ac:dyDescent="0.3">
      <c r="A977" s="6" t="s">
        <v>984</v>
      </c>
      <c r="B977" s="6" t="s">
        <v>2276</v>
      </c>
      <c r="C977" s="7">
        <v>29172</v>
      </c>
      <c r="D977" s="8">
        <v>42121</v>
      </c>
      <c r="E977" s="6" t="s">
        <v>2605</v>
      </c>
      <c r="F977" s="6">
        <v>66047</v>
      </c>
      <c r="G977" s="6" t="s">
        <v>2606</v>
      </c>
      <c r="H977" s="6" t="s">
        <v>2616</v>
      </c>
      <c r="I977" s="6" t="s">
        <v>2635</v>
      </c>
      <c r="J977" s="6" t="s">
        <v>3309</v>
      </c>
      <c r="K977" s="6">
        <v>10</v>
      </c>
    </row>
    <row r="978" spans="1:11" x14ac:dyDescent="0.3">
      <c r="A978" s="6" t="s">
        <v>985</v>
      </c>
      <c r="B978" s="6" t="s">
        <v>2277</v>
      </c>
      <c r="C978" s="7">
        <v>29582</v>
      </c>
      <c r="D978" s="8">
        <v>41996</v>
      </c>
      <c r="E978" s="6" t="s">
        <v>2603</v>
      </c>
      <c r="F978" s="6">
        <v>108287</v>
      </c>
      <c r="G978" s="6" t="s">
        <v>2615</v>
      </c>
      <c r="H978" s="6" t="s">
        <v>2616</v>
      </c>
      <c r="I978" s="6" t="s">
        <v>3214</v>
      </c>
      <c r="J978" s="6" t="s">
        <v>3306</v>
      </c>
      <c r="K978" s="6">
        <v>11</v>
      </c>
    </row>
    <row r="979" spans="1:11" x14ac:dyDescent="0.3">
      <c r="A979" s="6" t="s">
        <v>986</v>
      </c>
      <c r="B979" s="6" t="s">
        <v>2278</v>
      </c>
      <c r="C979" s="7">
        <v>23788</v>
      </c>
      <c r="D979" s="8">
        <v>36732</v>
      </c>
      <c r="E979" s="6" t="s">
        <v>2602</v>
      </c>
      <c r="F979" s="6">
        <v>161923</v>
      </c>
      <c r="G979" s="6" t="s">
        <v>2609</v>
      </c>
      <c r="H979" s="6" t="s">
        <v>2616</v>
      </c>
      <c r="I979" s="6" t="s">
        <v>2795</v>
      </c>
      <c r="J979" s="6" t="s">
        <v>3307</v>
      </c>
      <c r="K979" s="6">
        <v>25</v>
      </c>
    </row>
    <row r="980" spans="1:11" x14ac:dyDescent="0.3">
      <c r="A980" s="6" t="s">
        <v>987</v>
      </c>
      <c r="B980" s="6" t="s">
        <v>2279</v>
      </c>
      <c r="C980" s="7">
        <v>24541</v>
      </c>
      <c r="D980" s="8">
        <v>28261</v>
      </c>
      <c r="E980" s="6" t="s">
        <v>2602</v>
      </c>
      <c r="F980" s="6">
        <v>74994</v>
      </c>
      <c r="G980" s="6" t="s">
        <v>2615</v>
      </c>
      <c r="H980" s="6" t="s">
        <v>2617</v>
      </c>
      <c r="I980" s="6" t="s">
        <v>2751</v>
      </c>
      <c r="J980" s="6" t="s">
        <v>3308</v>
      </c>
      <c r="K980" s="6">
        <v>48</v>
      </c>
    </row>
    <row r="981" spans="1:11" x14ac:dyDescent="0.3">
      <c r="A981" s="6" t="s">
        <v>988</v>
      </c>
      <c r="B981" s="6" t="s">
        <v>2280</v>
      </c>
      <c r="C981" s="7">
        <v>27859</v>
      </c>
      <c r="D981" s="8">
        <v>41719</v>
      </c>
      <c r="E981" s="6" t="s">
        <v>2599</v>
      </c>
      <c r="F981" s="6">
        <v>153022</v>
      </c>
      <c r="G981" s="6" t="s">
        <v>2608</v>
      </c>
      <c r="H981" s="6" t="s">
        <v>2616</v>
      </c>
      <c r="I981" s="6" t="s">
        <v>3215</v>
      </c>
      <c r="J981" s="6" t="s">
        <v>3310</v>
      </c>
      <c r="K981" s="6">
        <v>11</v>
      </c>
    </row>
    <row r="982" spans="1:11" x14ac:dyDescent="0.3">
      <c r="A982" s="6" t="s">
        <v>989</v>
      </c>
      <c r="B982" s="6" t="s">
        <v>2281</v>
      </c>
      <c r="C982" s="7">
        <v>33073</v>
      </c>
      <c r="D982" s="8">
        <v>33457</v>
      </c>
      <c r="E982" s="6" t="s">
        <v>2602</v>
      </c>
      <c r="F982" s="6">
        <v>85190</v>
      </c>
      <c r="G982" s="6" t="s">
        <v>2610</v>
      </c>
      <c r="H982" s="6" t="s">
        <v>2617</v>
      </c>
      <c r="I982" s="6" t="s">
        <v>3039</v>
      </c>
      <c r="J982" s="6" t="s">
        <v>3309</v>
      </c>
      <c r="K982" s="6">
        <v>34</v>
      </c>
    </row>
    <row r="983" spans="1:11" x14ac:dyDescent="0.3">
      <c r="A983" s="6" t="s">
        <v>990</v>
      </c>
      <c r="B983" s="6" t="s">
        <v>2282</v>
      </c>
      <c r="C983" s="7">
        <v>30285</v>
      </c>
      <c r="D983" s="8">
        <v>32910</v>
      </c>
      <c r="E983" s="6" t="s">
        <v>2605</v>
      </c>
      <c r="F983" s="6">
        <v>181961</v>
      </c>
      <c r="G983" s="6" t="s">
        <v>2615</v>
      </c>
      <c r="H983" s="6" t="s">
        <v>2617</v>
      </c>
      <c r="I983" s="6" t="s">
        <v>2701</v>
      </c>
      <c r="J983" s="6" t="s">
        <v>3310</v>
      </c>
      <c r="K983" s="6">
        <v>35</v>
      </c>
    </row>
    <row r="984" spans="1:11" x14ac:dyDescent="0.3">
      <c r="A984" s="6" t="s">
        <v>991</v>
      </c>
      <c r="B984" s="6" t="s">
        <v>2283</v>
      </c>
      <c r="C984" s="7">
        <v>35894</v>
      </c>
      <c r="D984" s="8">
        <v>28939</v>
      </c>
      <c r="E984" s="6" t="s">
        <v>2604</v>
      </c>
      <c r="F984" s="6">
        <v>118887</v>
      </c>
      <c r="G984" s="6" t="s">
        <v>2607</v>
      </c>
      <c r="H984" s="6" t="s">
        <v>2616</v>
      </c>
      <c r="I984" s="6" t="s">
        <v>2703</v>
      </c>
      <c r="J984" s="6" t="s">
        <v>3305</v>
      </c>
      <c r="K984" s="6">
        <v>46</v>
      </c>
    </row>
    <row r="985" spans="1:11" x14ac:dyDescent="0.3">
      <c r="A985" s="6" t="s">
        <v>992</v>
      </c>
      <c r="B985" s="6" t="s">
        <v>2284</v>
      </c>
      <c r="C985" s="7">
        <v>27964</v>
      </c>
      <c r="D985" s="8">
        <v>37223</v>
      </c>
      <c r="E985" s="6" t="s">
        <v>2601</v>
      </c>
      <c r="F985" s="6">
        <v>66792</v>
      </c>
      <c r="G985" s="6" t="s">
        <v>2609</v>
      </c>
      <c r="H985" s="6" t="s">
        <v>2617</v>
      </c>
      <c r="I985" s="6" t="s">
        <v>3090</v>
      </c>
      <c r="J985" s="6" t="s">
        <v>3305</v>
      </c>
      <c r="K985" s="6">
        <v>24</v>
      </c>
    </row>
    <row r="986" spans="1:11" x14ac:dyDescent="0.3">
      <c r="A986" s="6" t="s">
        <v>993</v>
      </c>
      <c r="B986" s="6" t="s">
        <v>2285</v>
      </c>
      <c r="C986" s="7">
        <v>25407</v>
      </c>
      <c r="D986" s="8">
        <v>29159</v>
      </c>
      <c r="E986" s="6" t="s">
        <v>2600</v>
      </c>
      <c r="F986" s="6">
        <v>149307</v>
      </c>
      <c r="G986" s="6" t="s">
        <v>2608</v>
      </c>
      <c r="H986" s="6" t="s">
        <v>2616</v>
      </c>
      <c r="I986" s="6" t="s">
        <v>2707</v>
      </c>
      <c r="J986" s="6" t="s">
        <v>3308</v>
      </c>
      <c r="K986" s="6">
        <v>46</v>
      </c>
    </row>
    <row r="987" spans="1:11" x14ac:dyDescent="0.3">
      <c r="A987" s="6" t="s">
        <v>994</v>
      </c>
      <c r="B987" s="6" t="s">
        <v>2286</v>
      </c>
      <c r="C987" s="7">
        <v>37485</v>
      </c>
      <c r="D987" s="8">
        <v>33363</v>
      </c>
      <c r="E987" s="6" t="s">
        <v>2600</v>
      </c>
      <c r="F987" s="6">
        <v>151106</v>
      </c>
      <c r="G987" s="6" t="s">
        <v>2606</v>
      </c>
      <c r="H987" s="6" t="s">
        <v>2616</v>
      </c>
      <c r="I987" s="6" t="s">
        <v>2954</v>
      </c>
      <c r="J987" s="6" t="s">
        <v>3304</v>
      </c>
      <c r="K987" s="6">
        <v>34</v>
      </c>
    </row>
    <row r="988" spans="1:11" x14ac:dyDescent="0.3">
      <c r="A988" s="6" t="s">
        <v>995</v>
      </c>
      <c r="B988" s="6" t="s">
        <v>2287</v>
      </c>
      <c r="C988" s="7">
        <v>32869</v>
      </c>
      <c r="D988" s="8">
        <v>37180</v>
      </c>
      <c r="E988" s="6" t="s">
        <v>2603</v>
      </c>
      <c r="F988" s="6">
        <v>36739</v>
      </c>
      <c r="G988" s="6" t="s">
        <v>2606</v>
      </c>
      <c r="H988" s="6" t="s">
        <v>2616</v>
      </c>
      <c r="I988" s="6" t="s">
        <v>3216</v>
      </c>
      <c r="J988" s="6" t="s">
        <v>3308</v>
      </c>
      <c r="K988" s="6">
        <v>24</v>
      </c>
    </row>
    <row r="989" spans="1:11" x14ac:dyDescent="0.3">
      <c r="A989" s="6" t="s">
        <v>996</v>
      </c>
      <c r="B989" s="6" t="s">
        <v>2288</v>
      </c>
      <c r="C989" s="7">
        <v>30932</v>
      </c>
      <c r="D989" s="8">
        <v>27268</v>
      </c>
      <c r="E989" s="6" t="s">
        <v>2599</v>
      </c>
      <c r="F989" s="6">
        <v>155854</v>
      </c>
      <c r="G989" s="6" t="s">
        <v>2609</v>
      </c>
      <c r="H989" s="6" t="s">
        <v>2616</v>
      </c>
      <c r="I989" s="6" t="s">
        <v>2851</v>
      </c>
      <c r="J989" s="6" t="s">
        <v>3304</v>
      </c>
      <c r="K989" s="6">
        <v>51</v>
      </c>
    </row>
    <row r="990" spans="1:11" x14ac:dyDescent="0.3">
      <c r="A990" s="6" t="s">
        <v>997</v>
      </c>
      <c r="B990" s="6" t="s">
        <v>2289</v>
      </c>
      <c r="C990" s="7">
        <v>33181</v>
      </c>
      <c r="D990" s="8">
        <v>43523</v>
      </c>
      <c r="E990" s="6" t="s">
        <v>2602</v>
      </c>
      <c r="F990" s="6">
        <v>181441</v>
      </c>
      <c r="G990" s="6" t="s">
        <v>2609</v>
      </c>
      <c r="H990" s="6" t="s">
        <v>2617</v>
      </c>
      <c r="I990" s="6" t="s">
        <v>3143</v>
      </c>
      <c r="J990" s="6" t="s">
        <v>3310</v>
      </c>
      <c r="K990" s="6">
        <v>6</v>
      </c>
    </row>
    <row r="991" spans="1:11" x14ac:dyDescent="0.3">
      <c r="A991" s="6" t="s">
        <v>998</v>
      </c>
      <c r="B991" s="6" t="s">
        <v>2290</v>
      </c>
      <c r="C991" s="7">
        <v>31860</v>
      </c>
      <c r="D991" s="8">
        <v>26453</v>
      </c>
      <c r="E991" s="6" t="s">
        <v>2601</v>
      </c>
      <c r="F991" s="6">
        <v>73678</v>
      </c>
      <c r="G991" s="6" t="s">
        <v>2614</v>
      </c>
      <c r="H991" s="6" t="s">
        <v>2616</v>
      </c>
      <c r="I991" s="6" t="s">
        <v>3217</v>
      </c>
      <c r="J991" s="6" t="s">
        <v>3307</v>
      </c>
      <c r="K991" s="6">
        <v>53</v>
      </c>
    </row>
    <row r="992" spans="1:11" x14ac:dyDescent="0.3">
      <c r="A992" s="6" t="s">
        <v>999</v>
      </c>
      <c r="B992" s="6" t="s">
        <v>2291</v>
      </c>
      <c r="C992" s="7">
        <v>27124</v>
      </c>
      <c r="D992" s="8">
        <v>40551</v>
      </c>
      <c r="E992" s="6" t="s">
        <v>2600</v>
      </c>
      <c r="F992" s="6">
        <v>95853</v>
      </c>
      <c r="G992" s="6" t="s">
        <v>2608</v>
      </c>
      <c r="H992" s="6" t="s">
        <v>2617</v>
      </c>
      <c r="I992" s="6" t="s">
        <v>3218</v>
      </c>
      <c r="J992" s="6" t="s">
        <v>3306</v>
      </c>
      <c r="K992" s="6">
        <v>14</v>
      </c>
    </row>
    <row r="993" spans="1:11" x14ac:dyDescent="0.3">
      <c r="A993" s="6" t="s">
        <v>1000</v>
      </c>
      <c r="B993" s="6" t="s">
        <v>2292</v>
      </c>
      <c r="C993" s="7">
        <v>25476</v>
      </c>
      <c r="D993" s="8">
        <v>34449</v>
      </c>
      <c r="E993" s="6" t="s">
        <v>2604</v>
      </c>
      <c r="F993" s="6">
        <v>21806</v>
      </c>
      <c r="G993" s="6" t="s">
        <v>2606</v>
      </c>
      <c r="H993" s="6" t="s">
        <v>2617</v>
      </c>
      <c r="I993" s="6" t="s">
        <v>3219</v>
      </c>
      <c r="J993" s="6" t="s">
        <v>3304</v>
      </c>
      <c r="K993" s="6">
        <v>31</v>
      </c>
    </row>
    <row r="994" spans="1:11" x14ac:dyDescent="0.3">
      <c r="A994" s="6" t="s">
        <v>1001</v>
      </c>
      <c r="B994" s="6" t="s">
        <v>2293</v>
      </c>
      <c r="C994" s="7">
        <v>23908</v>
      </c>
      <c r="D994" s="8">
        <v>28774</v>
      </c>
      <c r="E994" s="6" t="s">
        <v>2605</v>
      </c>
      <c r="F994" s="6">
        <v>197019</v>
      </c>
      <c r="G994" s="6" t="s">
        <v>2609</v>
      </c>
      <c r="H994" s="6" t="s">
        <v>2616</v>
      </c>
      <c r="I994" s="6" t="s">
        <v>2996</v>
      </c>
      <c r="J994" s="6" t="s">
        <v>3306</v>
      </c>
      <c r="K994" s="6">
        <v>47</v>
      </c>
    </row>
    <row r="995" spans="1:11" x14ac:dyDescent="0.3">
      <c r="A995" s="6" t="s">
        <v>1002</v>
      </c>
      <c r="B995" s="6" t="s">
        <v>2294</v>
      </c>
      <c r="C995" s="7">
        <v>22669</v>
      </c>
      <c r="D995" s="8">
        <v>28215</v>
      </c>
      <c r="E995" s="6" t="s">
        <v>2603</v>
      </c>
      <c r="F995" s="6">
        <v>73816</v>
      </c>
      <c r="G995" s="6" t="s">
        <v>2609</v>
      </c>
      <c r="H995" s="6" t="s">
        <v>2617</v>
      </c>
      <c r="I995" s="6" t="s">
        <v>3220</v>
      </c>
      <c r="J995" s="6" t="s">
        <v>3309</v>
      </c>
      <c r="K995" s="6">
        <v>48</v>
      </c>
    </row>
    <row r="996" spans="1:11" x14ac:dyDescent="0.3">
      <c r="A996" s="6" t="s">
        <v>1003</v>
      </c>
      <c r="B996" s="6" t="s">
        <v>2295</v>
      </c>
      <c r="C996" s="7">
        <v>23585</v>
      </c>
      <c r="D996" s="8">
        <v>36539</v>
      </c>
      <c r="E996" s="6" t="s">
        <v>2603</v>
      </c>
      <c r="F996" s="6">
        <v>35738</v>
      </c>
      <c r="G996" s="6" t="s">
        <v>2606</v>
      </c>
      <c r="H996" s="6" t="s">
        <v>2616</v>
      </c>
      <c r="I996" s="6" t="s">
        <v>3221</v>
      </c>
      <c r="J996" s="6" t="s">
        <v>3306</v>
      </c>
      <c r="K996" s="6">
        <v>25</v>
      </c>
    </row>
    <row r="997" spans="1:11" x14ac:dyDescent="0.3">
      <c r="A997" s="6" t="s">
        <v>1004</v>
      </c>
      <c r="B997" s="6" t="s">
        <v>2296</v>
      </c>
      <c r="C997" s="7">
        <v>34459</v>
      </c>
      <c r="D997" s="8">
        <v>32511</v>
      </c>
      <c r="E997" s="6" t="s">
        <v>2599</v>
      </c>
      <c r="F997" s="6">
        <v>69515</v>
      </c>
      <c r="G997" s="6" t="s">
        <v>2610</v>
      </c>
      <c r="H997" s="6" t="s">
        <v>2616</v>
      </c>
      <c r="I997" s="6" t="s">
        <v>3222</v>
      </c>
      <c r="J997" s="6" t="s">
        <v>3307</v>
      </c>
      <c r="K997" s="6">
        <v>36</v>
      </c>
    </row>
    <row r="998" spans="1:11" x14ac:dyDescent="0.3">
      <c r="A998" s="6" t="s">
        <v>1005</v>
      </c>
      <c r="B998" s="6" t="s">
        <v>2297</v>
      </c>
      <c r="C998" s="7">
        <v>32653</v>
      </c>
      <c r="D998" s="8">
        <v>37293</v>
      </c>
      <c r="E998" s="6" t="s">
        <v>2604</v>
      </c>
      <c r="F998" s="6">
        <v>85440</v>
      </c>
      <c r="G998" s="6" t="s">
        <v>2615</v>
      </c>
      <c r="H998" s="6" t="s">
        <v>2617</v>
      </c>
      <c r="I998" s="6" t="s">
        <v>3169</v>
      </c>
      <c r="J998" s="6" t="s">
        <v>3307</v>
      </c>
      <c r="K998" s="6">
        <v>23</v>
      </c>
    </row>
    <row r="999" spans="1:11" x14ac:dyDescent="0.3">
      <c r="A999" s="6" t="s">
        <v>1006</v>
      </c>
      <c r="B999" s="6" t="s">
        <v>2298</v>
      </c>
      <c r="C999" s="7">
        <v>28200</v>
      </c>
      <c r="D999" s="8">
        <v>44706</v>
      </c>
      <c r="E999" s="6" t="s">
        <v>2604</v>
      </c>
      <c r="F999" s="6">
        <v>183014</v>
      </c>
      <c r="G999" s="6" t="s">
        <v>2610</v>
      </c>
      <c r="H999" s="6" t="s">
        <v>2617</v>
      </c>
      <c r="I999" s="6" t="s">
        <v>3186</v>
      </c>
      <c r="J999" s="6" t="s">
        <v>3304</v>
      </c>
      <c r="K999" s="6">
        <v>3</v>
      </c>
    </row>
    <row r="1000" spans="1:11" x14ac:dyDescent="0.3">
      <c r="A1000" s="6" t="s">
        <v>1007</v>
      </c>
      <c r="B1000" s="6" t="s">
        <v>2299</v>
      </c>
      <c r="C1000" s="7">
        <v>24291</v>
      </c>
      <c r="D1000" s="8">
        <v>34469</v>
      </c>
      <c r="E1000" s="6" t="s">
        <v>2605</v>
      </c>
      <c r="F1000" s="6">
        <v>87674</v>
      </c>
      <c r="G1000" s="6" t="s">
        <v>2607</v>
      </c>
      <c r="H1000" s="6" t="s">
        <v>2616</v>
      </c>
      <c r="I1000" s="6" t="s">
        <v>3166</v>
      </c>
      <c r="J1000" s="6" t="s">
        <v>3308</v>
      </c>
      <c r="K1000" s="6">
        <v>31</v>
      </c>
    </row>
    <row r="1001" spans="1:11" x14ac:dyDescent="0.3">
      <c r="A1001" s="6" t="s">
        <v>1008</v>
      </c>
      <c r="B1001" s="6" t="s">
        <v>2300</v>
      </c>
      <c r="C1001" s="7">
        <v>33830</v>
      </c>
      <c r="D1001" s="8">
        <v>25746</v>
      </c>
      <c r="E1001" s="6" t="s">
        <v>2599</v>
      </c>
      <c r="F1001" s="6">
        <v>103614</v>
      </c>
      <c r="G1001" s="6" t="s">
        <v>2615</v>
      </c>
      <c r="H1001" s="6" t="s">
        <v>2616</v>
      </c>
      <c r="I1001" s="6" t="s">
        <v>2800</v>
      </c>
      <c r="J1001" s="6" t="s">
        <v>3304</v>
      </c>
      <c r="K1001" s="6">
        <v>55</v>
      </c>
    </row>
    <row r="1002" spans="1:11" x14ac:dyDescent="0.3">
      <c r="A1002" s="6" t="s">
        <v>1009</v>
      </c>
      <c r="B1002" s="6" t="s">
        <v>2301</v>
      </c>
      <c r="C1002" s="7">
        <v>21849</v>
      </c>
      <c r="D1002" s="8">
        <v>36942</v>
      </c>
      <c r="E1002" s="6" t="s">
        <v>2599</v>
      </c>
      <c r="F1002" s="6">
        <v>179920</v>
      </c>
      <c r="G1002" s="6" t="s">
        <v>2610</v>
      </c>
      <c r="H1002" s="6" t="s">
        <v>2617</v>
      </c>
      <c r="I1002" s="6" t="s">
        <v>2903</v>
      </c>
      <c r="J1002" s="6" t="s">
        <v>3309</v>
      </c>
      <c r="K1002" s="6">
        <v>24</v>
      </c>
    </row>
    <row r="1003" spans="1:11" x14ac:dyDescent="0.3">
      <c r="A1003" s="6" t="s">
        <v>1010</v>
      </c>
      <c r="B1003" s="6" t="s">
        <v>2302</v>
      </c>
      <c r="C1003" s="7">
        <v>26119</v>
      </c>
      <c r="D1003" s="8">
        <v>38813</v>
      </c>
      <c r="E1003" s="6" t="s">
        <v>2602</v>
      </c>
      <c r="F1003" s="6">
        <v>155514</v>
      </c>
      <c r="G1003" s="6" t="s">
        <v>2615</v>
      </c>
      <c r="H1003" s="6" t="s">
        <v>2617</v>
      </c>
      <c r="I1003" s="6" t="s">
        <v>3148</v>
      </c>
      <c r="J1003" s="6" t="s">
        <v>3307</v>
      </c>
      <c r="K1003" s="6">
        <v>19</v>
      </c>
    </row>
    <row r="1004" spans="1:11" x14ac:dyDescent="0.3">
      <c r="A1004" s="6" t="s">
        <v>1011</v>
      </c>
      <c r="B1004" s="6" t="s">
        <v>2303</v>
      </c>
      <c r="C1004" s="7">
        <v>36269</v>
      </c>
      <c r="D1004" s="8">
        <v>38415</v>
      </c>
      <c r="E1004" s="6" t="s">
        <v>2602</v>
      </c>
      <c r="F1004" s="6">
        <v>120120</v>
      </c>
      <c r="G1004" s="6" t="s">
        <v>2612</v>
      </c>
      <c r="H1004" s="6" t="s">
        <v>2617</v>
      </c>
      <c r="I1004" s="6" t="s">
        <v>3133</v>
      </c>
      <c r="J1004" s="6" t="s">
        <v>3307</v>
      </c>
      <c r="K1004" s="6">
        <v>20</v>
      </c>
    </row>
    <row r="1005" spans="1:11" x14ac:dyDescent="0.3">
      <c r="A1005" s="6" t="s">
        <v>1012</v>
      </c>
      <c r="B1005" s="6" t="s">
        <v>2304</v>
      </c>
      <c r="C1005" s="7">
        <v>28261</v>
      </c>
      <c r="D1005" s="8">
        <v>37334</v>
      </c>
      <c r="E1005" s="6" t="s">
        <v>2604</v>
      </c>
      <c r="F1005" s="6">
        <v>24318</v>
      </c>
      <c r="G1005" s="6" t="s">
        <v>2609</v>
      </c>
      <c r="H1005" s="6" t="s">
        <v>2617</v>
      </c>
      <c r="I1005" s="6" t="s">
        <v>3036</v>
      </c>
      <c r="J1005" s="6" t="s">
        <v>3306</v>
      </c>
      <c r="K1005" s="6">
        <v>23</v>
      </c>
    </row>
    <row r="1006" spans="1:11" x14ac:dyDescent="0.3">
      <c r="A1006" s="6" t="s">
        <v>1013</v>
      </c>
      <c r="B1006" s="6" t="s">
        <v>2305</v>
      </c>
      <c r="C1006" s="7">
        <v>35475</v>
      </c>
      <c r="D1006" s="8">
        <v>44197</v>
      </c>
      <c r="E1006" s="6" t="s">
        <v>2599</v>
      </c>
      <c r="F1006" s="6">
        <v>45631</v>
      </c>
      <c r="G1006" s="6" t="s">
        <v>2615</v>
      </c>
      <c r="H1006" s="6" t="s">
        <v>2616</v>
      </c>
      <c r="I1006" s="6" t="s">
        <v>3223</v>
      </c>
      <c r="J1006" s="6" t="s">
        <v>3309</v>
      </c>
      <c r="K1006" s="6">
        <v>4</v>
      </c>
    </row>
    <row r="1007" spans="1:11" x14ac:dyDescent="0.3">
      <c r="A1007" s="6" t="s">
        <v>1014</v>
      </c>
      <c r="B1007" s="6" t="s">
        <v>2306</v>
      </c>
      <c r="C1007" s="7">
        <v>31852</v>
      </c>
      <c r="D1007" s="8">
        <v>42920</v>
      </c>
      <c r="E1007" s="6" t="s">
        <v>2600</v>
      </c>
      <c r="F1007" s="6">
        <v>123997</v>
      </c>
      <c r="G1007" s="6" t="s">
        <v>2607</v>
      </c>
      <c r="H1007" s="6" t="s">
        <v>2616</v>
      </c>
      <c r="I1007" s="6" t="s">
        <v>3224</v>
      </c>
      <c r="J1007" s="6" t="s">
        <v>3304</v>
      </c>
      <c r="K1007" s="6">
        <v>8</v>
      </c>
    </row>
    <row r="1008" spans="1:11" x14ac:dyDescent="0.3">
      <c r="A1008" s="6" t="s">
        <v>1015</v>
      </c>
      <c r="B1008" s="6" t="s">
        <v>2307</v>
      </c>
      <c r="C1008" s="7">
        <v>30553</v>
      </c>
      <c r="D1008" s="8">
        <v>30372</v>
      </c>
      <c r="E1008" s="6" t="s">
        <v>2599</v>
      </c>
      <c r="F1008" s="6">
        <v>175680</v>
      </c>
      <c r="G1008" s="6" t="s">
        <v>2614</v>
      </c>
      <c r="H1008" s="6" t="s">
        <v>2616</v>
      </c>
      <c r="I1008" s="6" t="s">
        <v>3225</v>
      </c>
      <c r="J1008" s="6" t="s">
        <v>3305</v>
      </c>
      <c r="K1008" s="6">
        <v>42</v>
      </c>
    </row>
    <row r="1009" spans="1:11" x14ac:dyDescent="0.3">
      <c r="A1009" s="6" t="s">
        <v>1016</v>
      </c>
      <c r="B1009" s="6" t="s">
        <v>2308</v>
      </c>
      <c r="C1009" s="7">
        <v>26387</v>
      </c>
      <c r="D1009" s="8">
        <v>34305</v>
      </c>
      <c r="E1009" s="6" t="s">
        <v>2605</v>
      </c>
      <c r="F1009" s="6">
        <v>168622</v>
      </c>
      <c r="G1009" s="6" t="s">
        <v>2608</v>
      </c>
      <c r="H1009" s="6" t="s">
        <v>2617</v>
      </c>
      <c r="I1009" s="6" t="s">
        <v>3033</v>
      </c>
      <c r="J1009" s="6" t="s">
        <v>3304</v>
      </c>
      <c r="K1009" s="6">
        <v>32</v>
      </c>
    </row>
    <row r="1010" spans="1:11" x14ac:dyDescent="0.3">
      <c r="A1010" s="6" t="s">
        <v>1017</v>
      </c>
      <c r="B1010" s="6" t="s">
        <v>2309</v>
      </c>
      <c r="C1010" s="7">
        <v>28988</v>
      </c>
      <c r="D1010" s="8">
        <v>38846</v>
      </c>
      <c r="E1010" s="6" t="s">
        <v>2602</v>
      </c>
      <c r="F1010" s="6">
        <v>80691</v>
      </c>
      <c r="G1010" s="6" t="s">
        <v>2606</v>
      </c>
      <c r="H1010" s="6" t="s">
        <v>2616</v>
      </c>
      <c r="I1010" s="6" t="s">
        <v>2825</v>
      </c>
      <c r="J1010" s="6" t="s">
        <v>3308</v>
      </c>
      <c r="K1010" s="6">
        <v>19</v>
      </c>
    </row>
    <row r="1011" spans="1:11" x14ac:dyDescent="0.3">
      <c r="A1011" s="6" t="s">
        <v>1018</v>
      </c>
      <c r="B1011" s="6" t="s">
        <v>2310</v>
      </c>
      <c r="C1011" s="7">
        <v>24625</v>
      </c>
      <c r="D1011" s="8">
        <v>27743</v>
      </c>
      <c r="E1011" s="6" t="s">
        <v>2601</v>
      </c>
      <c r="F1011" s="6">
        <v>163346</v>
      </c>
      <c r="G1011" s="6" t="s">
        <v>2610</v>
      </c>
      <c r="H1011" s="6" t="s">
        <v>2617</v>
      </c>
      <c r="I1011" s="6" t="s">
        <v>3226</v>
      </c>
      <c r="J1011" s="6" t="s">
        <v>3307</v>
      </c>
      <c r="K1011" s="6">
        <v>50</v>
      </c>
    </row>
    <row r="1012" spans="1:11" x14ac:dyDescent="0.3">
      <c r="A1012" s="6" t="s">
        <v>1019</v>
      </c>
      <c r="B1012" s="6" t="s">
        <v>2311</v>
      </c>
      <c r="C1012" s="7">
        <v>28145</v>
      </c>
      <c r="D1012" s="8">
        <v>43267</v>
      </c>
      <c r="E1012" s="6" t="s">
        <v>2599</v>
      </c>
      <c r="F1012" s="6">
        <v>184342</v>
      </c>
      <c r="G1012" s="6" t="s">
        <v>2609</v>
      </c>
      <c r="H1012" s="6" t="s">
        <v>2617</v>
      </c>
      <c r="I1012" s="6" t="s">
        <v>3179</v>
      </c>
      <c r="J1012" s="6" t="s">
        <v>3310</v>
      </c>
      <c r="K1012" s="6">
        <v>7</v>
      </c>
    </row>
    <row r="1013" spans="1:11" x14ac:dyDescent="0.3">
      <c r="A1013" s="6" t="s">
        <v>1020</v>
      </c>
      <c r="B1013" s="6" t="s">
        <v>2312</v>
      </c>
      <c r="C1013" s="7">
        <v>35189</v>
      </c>
      <c r="D1013" s="8">
        <v>41522</v>
      </c>
      <c r="E1013" s="6" t="s">
        <v>2599</v>
      </c>
      <c r="F1013" s="6">
        <v>34891</v>
      </c>
      <c r="G1013" s="6" t="s">
        <v>2609</v>
      </c>
      <c r="H1013" s="6" t="s">
        <v>2617</v>
      </c>
      <c r="I1013" s="6" t="s">
        <v>2815</v>
      </c>
      <c r="J1013" s="6" t="s">
        <v>3305</v>
      </c>
      <c r="K1013" s="6">
        <v>12</v>
      </c>
    </row>
    <row r="1014" spans="1:11" x14ac:dyDescent="0.3">
      <c r="A1014" s="6" t="s">
        <v>1021</v>
      </c>
      <c r="B1014" s="6" t="s">
        <v>2313</v>
      </c>
      <c r="C1014" s="7">
        <v>26913</v>
      </c>
      <c r="D1014" s="8">
        <v>30857</v>
      </c>
      <c r="E1014" s="6" t="s">
        <v>2604</v>
      </c>
      <c r="F1014" s="6">
        <v>168000</v>
      </c>
      <c r="G1014" s="6" t="s">
        <v>2615</v>
      </c>
      <c r="H1014" s="6" t="s">
        <v>2617</v>
      </c>
      <c r="I1014" s="6" t="s">
        <v>2898</v>
      </c>
      <c r="J1014" s="6" t="s">
        <v>3306</v>
      </c>
      <c r="K1014" s="6">
        <v>41</v>
      </c>
    </row>
    <row r="1015" spans="1:11" x14ac:dyDescent="0.3">
      <c r="A1015" s="6" t="s">
        <v>1022</v>
      </c>
      <c r="B1015" s="6" t="s">
        <v>2314</v>
      </c>
      <c r="C1015" s="7">
        <v>27575</v>
      </c>
      <c r="D1015" s="8">
        <v>44060</v>
      </c>
      <c r="E1015" s="6" t="s">
        <v>2603</v>
      </c>
      <c r="F1015" s="6">
        <v>105855</v>
      </c>
      <c r="G1015" s="6" t="s">
        <v>2609</v>
      </c>
      <c r="H1015" s="6" t="s">
        <v>2617</v>
      </c>
      <c r="I1015" s="6" t="s">
        <v>3075</v>
      </c>
      <c r="J1015" s="6" t="s">
        <v>3307</v>
      </c>
      <c r="K1015" s="6">
        <v>5</v>
      </c>
    </row>
    <row r="1016" spans="1:11" x14ac:dyDescent="0.3">
      <c r="A1016" s="6" t="s">
        <v>1023</v>
      </c>
      <c r="B1016" s="6" t="s">
        <v>2315</v>
      </c>
      <c r="C1016" s="7">
        <v>32615</v>
      </c>
      <c r="D1016" s="8">
        <v>26072</v>
      </c>
      <c r="E1016" s="6" t="s">
        <v>2600</v>
      </c>
      <c r="F1016" s="6">
        <v>96063</v>
      </c>
      <c r="G1016" s="6" t="s">
        <v>2607</v>
      </c>
      <c r="H1016" s="6" t="s">
        <v>2616</v>
      </c>
      <c r="I1016" s="6" t="s">
        <v>3048</v>
      </c>
      <c r="J1016" s="6" t="s">
        <v>3309</v>
      </c>
      <c r="K1016" s="6">
        <v>54</v>
      </c>
    </row>
    <row r="1017" spans="1:11" x14ac:dyDescent="0.3">
      <c r="A1017" s="6" t="s">
        <v>1024</v>
      </c>
      <c r="B1017" s="6" t="s">
        <v>2316</v>
      </c>
      <c r="C1017" s="7">
        <v>23710</v>
      </c>
      <c r="D1017" s="8">
        <v>36817</v>
      </c>
      <c r="E1017" s="6" t="s">
        <v>2599</v>
      </c>
      <c r="F1017" s="6">
        <v>154081</v>
      </c>
      <c r="G1017" s="6" t="s">
        <v>2611</v>
      </c>
      <c r="H1017" s="6" t="s">
        <v>2617</v>
      </c>
      <c r="I1017" s="6" t="s">
        <v>3227</v>
      </c>
      <c r="J1017" s="6" t="s">
        <v>3310</v>
      </c>
      <c r="K1017" s="6">
        <v>25</v>
      </c>
    </row>
    <row r="1018" spans="1:11" x14ac:dyDescent="0.3">
      <c r="A1018" s="6" t="s">
        <v>1025</v>
      </c>
      <c r="B1018" s="6" t="s">
        <v>2317</v>
      </c>
      <c r="C1018" s="7">
        <v>37445</v>
      </c>
      <c r="D1018" s="8">
        <v>33902</v>
      </c>
      <c r="E1018" s="6" t="s">
        <v>2603</v>
      </c>
      <c r="F1018" s="6">
        <v>117292</v>
      </c>
      <c r="G1018" s="6" t="s">
        <v>2607</v>
      </c>
      <c r="H1018" s="6" t="s">
        <v>2617</v>
      </c>
      <c r="I1018" s="6" t="s">
        <v>2683</v>
      </c>
      <c r="J1018" s="6" t="s">
        <v>3305</v>
      </c>
      <c r="K1018" s="6">
        <v>33</v>
      </c>
    </row>
    <row r="1019" spans="1:11" x14ac:dyDescent="0.3">
      <c r="A1019" s="6" t="s">
        <v>1026</v>
      </c>
      <c r="B1019" s="6" t="s">
        <v>2318</v>
      </c>
      <c r="C1019" s="7">
        <v>31109</v>
      </c>
      <c r="D1019" s="8">
        <v>28576</v>
      </c>
      <c r="E1019" s="6" t="s">
        <v>2605</v>
      </c>
      <c r="F1019" s="6">
        <v>170648</v>
      </c>
      <c r="G1019" s="6" t="s">
        <v>2606</v>
      </c>
      <c r="H1019" s="6" t="s">
        <v>2616</v>
      </c>
      <c r="I1019" s="6" t="s">
        <v>3228</v>
      </c>
      <c r="J1019" s="6" t="s">
        <v>3307</v>
      </c>
      <c r="K1019" s="6">
        <v>47</v>
      </c>
    </row>
    <row r="1020" spans="1:11" x14ac:dyDescent="0.3">
      <c r="A1020" s="6" t="s">
        <v>1027</v>
      </c>
      <c r="B1020" s="6" t="s">
        <v>2319</v>
      </c>
      <c r="C1020" s="7">
        <v>37563</v>
      </c>
      <c r="D1020" s="8">
        <v>41359</v>
      </c>
      <c r="E1020" s="6" t="s">
        <v>2604</v>
      </c>
      <c r="F1020" s="6">
        <v>21034</v>
      </c>
      <c r="G1020" s="6" t="s">
        <v>2610</v>
      </c>
      <c r="H1020" s="6" t="s">
        <v>2616</v>
      </c>
      <c r="I1020" s="6" t="s">
        <v>3229</v>
      </c>
      <c r="J1020" s="6" t="s">
        <v>3304</v>
      </c>
      <c r="K1020" s="6">
        <v>12</v>
      </c>
    </row>
    <row r="1021" spans="1:11" x14ac:dyDescent="0.3">
      <c r="A1021" s="6" t="s">
        <v>1028</v>
      </c>
      <c r="B1021" s="6" t="s">
        <v>2320</v>
      </c>
      <c r="C1021" s="7">
        <v>26954</v>
      </c>
      <c r="D1021" s="8">
        <v>42688</v>
      </c>
      <c r="E1021" s="6" t="s">
        <v>2599</v>
      </c>
      <c r="F1021" s="6">
        <v>78182</v>
      </c>
      <c r="G1021" s="6" t="s">
        <v>2606</v>
      </c>
      <c r="H1021" s="6" t="s">
        <v>2616</v>
      </c>
      <c r="I1021" s="6" t="s">
        <v>3230</v>
      </c>
      <c r="J1021" s="6" t="s">
        <v>3306</v>
      </c>
      <c r="K1021" s="6">
        <v>9</v>
      </c>
    </row>
    <row r="1022" spans="1:11" x14ac:dyDescent="0.3">
      <c r="A1022" s="6" t="s">
        <v>1029</v>
      </c>
      <c r="B1022" s="6" t="s">
        <v>2321</v>
      </c>
      <c r="C1022" s="7">
        <v>35083</v>
      </c>
      <c r="D1022" s="8">
        <v>26715</v>
      </c>
      <c r="E1022" s="6" t="s">
        <v>2605</v>
      </c>
      <c r="F1022" s="6">
        <v>184509</v>
      </c>
      <c r="G1022" s="6" t="s">
        <v>2608</v>
      </c>
      <c r="H1022" s="6" t="s">
        <v>2616</v>
      </c>
      <c r="I1022" s="6" t="s">
        <v>3231</v>
      </c>
      <c r="J1022" s="6" t="s">
        <v>3310</v>
      </c>
      <c r="K1022" s="6">
        <v>52</v>
      </c>
    </row>
    <row r="1023" spans="1:11" x14ac:dyDescent="0.3">
      <c r="A1023" s="6" t="s">
        <v>1030</v>
      </c>
      <c r="B1023" s="6" t="s">
        <v>2322</v>
      </c>
      <c r="C1023" s="7">
        <v>26900</v>
      </c>
      <c r="D1023" s="8">
        <v>38282</v>
      </c>
      <c r="E1023" s="6" t="s">
        <v>2603</v>
      </c>
      <c r="F1023" s="6">
        <v>90327</v>
      </c>
      <c r="G1023" s="6" t="s">
        <v>2606</v>
      </c>
      <c r="H1023" s="6" t="s">
        <v>2617</v>
      </c>
      <c r="I1023" s="6" t="s">
        <v>2944</v>
      </c>
      <c r="J1023" s="6" t="s">
        <v>3309</v>
      </c>
      <c r="K1023" s="6">
        <v>21</v>
      </c>
    </row>
    <row r="1024" spans="1:11" x14ac:dyDescent="0.3">
      <c r="A1024" s="6" t="s">
        <v>1031</v>
      </c>
      <c r="B1024" s="6" t="s">
        <v>2323</v>
      </c>
      <c r="C1024" s="7">
        <v>32185</v>
      </c>
      <c r="D1024" s="8">
        <v>39191</v>
      </c>
      <c r="E1024" s="6" t="s">
        <v>2602</v>
      </c>
      <c r="F1024" s="6">
        <v>148523</v>
      </c>
      <c r="G1024" s="6" t="s">
        <v>2613</v>
      </c>
      <c r="H1024" s="6" t="s">
        <v>2617</v>
      </c>
      <c r="I1024" s="6" t="s">
        <v>3110</v>
      </c>
      <c r="J1024" s="6" t="s">
        <v>3304</v>
      </c>
      <c r="K1024" s="6">
        <v>18</v>
      </c>
    </row>
    <row r="1025" spans="1:11" x14ac:dyDescent="0.3">
      <c r="A1025" s="6" t="s">
        <v>1032</v>
      </c>
      <c r="B1025" s="6" t="s">
        <v>2324</v>
      </c>
      <c r="C1025" s="7">
        <v>22189</v>
      </c>
      <c r="D1025" s="8">
        <v>43500</v>
      </c>
      <c r="E1025" s="6" t="s">
        <v>2599</v>
      </c>
      <c r="F1025" s="6">
        <v>23480</v>
      </c>
      <c r="G1025" s="6" t="s">
        <v>2615</v>
      </c>
      <c r="H1025" s="6" t="s">
        <v>2616</v>
      </c>
      <c r="I1025" s="6" t="s">
        <v>3232</v>
      </c>
      <c r="J1025" s="6" t="s">
        <v>3306</v>
      </c>
      <c r="K1025" s="6">
        <v>6</v>
      </c>
    </row>
    <row r="1026" spans="1:11" x14ac:dyDescent="0.3">
      <c r="A1026" s="6" t="s">
        <v>1033</v>
      </c>
      <c r="B1026" s="6" t="s">
        <v>2325</v>
      </c>
      <c r="C1026" s="7">
        <v>22734</v>
      </c>
      <c r="D1026" s="8">
        <v>37819</v>
      </c>
      <c r="E1026" s="6" t="s">
        <v>2604</v>
      </c>
      <c r="F1026" s="6">
        <v>30829</v>
      </c>
      <c r="G1026" s="6" t="s">
        <v>2614</v>
      </c>
      <c r="H1026" s="6" t="s">
        <v>2616</v>
      </c>
      <c r="I1026" s="6" t="s">
        <v>2983</v>
      </c>
      <c r="J1026" s="6" t="s">
        <v>3305</v>
      </c>
      <c r="K1026" s="6">
        <v>22</v>
      </c>
    </row>
    <row r="1027" spans="1:11" x14ac:dyDescent="0.3">
      <c r="A1027" s="6" t="s">
        <v>1034</v>
      </c>
      <c r="B1027" s="6" t="s">
        <v>2326</v>
      </c>
      <c r="C1027" s="7">
        <v>24612</v>
      </c>
      <c r="D1027" s="8">
        <v>35332</v>
      </c>
      <c r="E1027" s="6" t="s">
        <v>2603</v>
      </c>
      <c r="F1027" s="6">
        <v>67846</v>
      </c>
      <c r="G1027" s="6" t="s">
        <v>2613</v>
      </c>
      <c r="H1027" s="6" t="s">
        <v>2616</v>
      </c>
      <c r="I1027" s="6" t="s">
        <v>3213</v>
      </c>
      <c r="J1027" s="6" t="s">
        <v>3305</v>
      </c>
      <c r="K1027" s="6">
        <v>29</v>
      </c>
    </row>
    <row r="1028" spans="1:11" x14ac:dyDescent="0.3">
      <c r="A1028" s="6" t="s">
        <v>1035</v>
      </c>
      <c r="B1028" s="6" t="s">
        <v>2327</v>
      </c>
      <c r="C1028" s="7">
        <v>30700</v>
      </c>
      <c r="D1028" s="8">
        <v>29447</v>
      </c>
      <c r="E1028" s="6" t="s">
        <v>2604</v>
      </c>
      <c r="F1028" s="6">
        <v>162004</v>
      </c>
      <c r="G1028" s="6" t="s">
        <v>2606</v>
      </c>
      <c r="H1028" s="6" t="s">
        <v>2616</v>
      </c>
      <c r="I1028" s="6" t="s">
        <v>2629</v>
      </c>
      <c r="J1028" s="6" t="s">
        <v>3307</v>
      </c>
      <c r="K1028" s="6">
        <v>45</v>
      </c>
    </row>
    <row r="1029" spans="1:11" x14ac:dyDescent="0.3">
      <c r="A1029" s="6" t="s">
        <v>1036</v>
      </c>
      <c r="B1029" s="6" t="s">
        <v>2328</v>
      </c>
      <c r="C1029" s="7">
        <v>22687</v>
      </c>
      <c r="D1029" s="8">
        <v>33655</v>
      </c>
      <c r="E1029" s="6" t="s">
        <v>2601</v>
      </c>
      <c r="F1029" s="6">
        <v>72389</v>
      </c>
      <c r="G1029" s="6" t="s">
        <v>2615</v>
      </c>
      <c r="H1029" s="6" t="s">
        <v>2617</v>
      </c>
      <c r="I1029" s="6" t="s">
        <v>2882</v>
      </c>
      <c r="J1029" s="6" t="s">
        <v>3306</v>
      </c>
      <c r="K1029" s="6">
        <v>33</v>
      </c>
    </row>
    <row r="1030" spans="1:11" x14ac:dyDescent="0.3">
      <c r="A1030" s="6" t="s">
        <v>1037</v>
      </c>
      <c r="B1030" s="6" t="s">
        <v>2329</v>
      </c>
      <c r="C1030" s="7">
        <v>36956</v>
      </c>
      <c r="D1030" s="8">
        <v>31152</v>
      </c>
      <c r="E1030" s="6" t="s">
        <v>2600</v>
      </c>
      <c r="F1030" s="6">
        <v>128431</v>
      </c>
      <c r="G1030" s="6" t="s">
        <v>2606</v>
      </c>
      <c r="H1030" s="6" t="s">
        <v>2617</v>
      </c>
      <c r="I1030" s="6" t="s">
        <v>2804</v>
      </c>
      <c r="J1030" s="6" t="s">
        <v>3308</v>
      </c>
      <c r="K1030" s="6">
        <v>40</v>
      </c>
    </row>
    <row r="1031" spans="1:11" x14ac:dyDescent="0.3">
      <c r="A1031" s="6" t="s">
        <v>1038</v>
      </c>
      <c r="B1031" s="6" t="s">
        <v>2330</v>
      </c>
      <c r="C1031" s="7">
        <v>32807</v>
      </c>
      <c r="D1031" s="8">
        <v>33079</v>
      </c>
      <c r="E1031" s="6" t="s">
        <v>2604</v>
      </c>
      <c r="F1031" s="6">
        <v>146730</v>
      </c>
      <c r="G1031" s="6" t="s">
        <v>2611</v>
      </c>
      <c r="H1031" s="6" t="s">
        <v>2616</v>
      </c>
      <c r="I1031" s="6" t="s">
        <v>3113</v>
      </c>
      <c r="J1031" s="6" t="s">
        <v>3304</v>
      </c>
      <c r="K1031" s="6">
        <v>35</v>
      </c>
    </row>
    <row r="1032" spans="1:11" x14ac:dyDescent="0.3">
      <c r="A1032" s="6" t="s">
        <v>1039</v>
      </c>
      <c r="B1032" s="6" t="s">
        <v>2331</v>
      </c>
      <c r="C1032" s="7">
        <v>33305</v>
      </c>
      <c r="D1032" s="8">
        <v>41368</v>
      </c>
      <c r="E1032" s="6" t="s">
        <v>2600</v>
      </c>
      <c r="F1032" s="6">
        <v>98036</v>
      </c>
      <c r="G1032" s="6" t="s">
        <v>2606</v>
      </c>
      <c r="H1032" s="6" t="s">
        <v>2617</v>
      </c>
      <c r="I1032" s="6" t="s">
        <v>3233</v>
      </c>
      <c r="J1032" s="6" t="s">
        <v>3310</v>
      </c>
      <c r="K1032" s="6">
        <v>12</v>
      </c>
    </row>
    <row r="1033" spans="1:11" x14ac:dyDescent="0.3">
      <c r="A1033" s="6" t="s">
        <v>1040</v>
      </c>
      <c r="B1033" s="6" t="s">
        <v>2332</v>
      </c>
      <c r="C1033" s="7">
        <v>37585</v>
      </c>
      <c r="D1033" s="8">
        <v>29374</v>
      </c>
      <c r="E1033" s="6" t="s">
        <v>2604</v>
      </c>
      <c r="F1033" s="6">
        <v>177383</v>
      </c>
      <c r="G1033" s="6" t="s">
        <v>2608</v>
      </c>
      <c r="H1033" s="6" t="s">
        <v>2617</v>
      </c>
      <c r="I1033" s="6" t="s">
        <v>2888</v>
      </c>
      <c r="J1033" s="6" t="s">
        <v>3310</v>
      </c>
      <c r="K1033" s="6">
        <v>45</v>
      </c>
    </row>
    <row r="1034" spans="1:11" x14ac:dyDescent="0.3">
      <c r="A1034" s="6" t="s">
        <v>1041</v>
      </c>
      <c r="B1034" s="6" t="s">
        <v>2333</v>
      </c>
      <c r="C1034" s="7">
        <v>35107</v>
      </c>
      <c r="D1034" s="8">
        <v>32591</v>
      </c>
      <c r="E1034" s="6" t="s">
        <v>2601</v>
      </c>
      <c r="F1034" s="6">
        <v>134338</v>
      </c>
      <c r="G1034" s="6" t="s">
        <v>2614</v>
      </c>
      <c r="H1034" s="6" t="s">
        <v>2617</v>
      </c>
      <c r="I1034" s="6" t="s">
        <v>3132</v>
      </c>
      <c r="J1034" s="6" t="s">
        <v>3308</v>
      </c>
      <c r="K1034" s="6">
        <v>36</v>
      </c>
    </row>
    <row r="1035" spans="1:11" x14ac:dyDescent="0.3">
      <c r="A1035" s="6" t="s">
        <v>1042</v>
      </c>
      <c r="B1035" s="6" t="s">
        <v>2334</v>
      </c>
      <c r="C1035" s="7">
        <v>31542</v>
      </c>
      <c r="D1035" s="8">
        <v>26307</v>
      </c>
      <c r="E1035" s="6" t="s">
        <v>2602</v>
      </c>
      <c r="F1035" s="6">
        <v>48106</v>
      </c>
      <c r="G1035" s="6" t="s">
        <v>2614</v>
      </c>
      <c r="H1035" s="6" t="s">
        <v>2617</v>
      </c>
      <c r="I1035" s="6" t="s">
        <v>3032</v>
      </c>
      <c r="J1035" s="6" t="s">
        <v>3307</v>
      </c>
      <c r="K1035" s="6">
        <v>53</v>
      </c>
    </row>
    <row r="1036" spans="1:11" x14ac:dyDescent="0.3">
      <c r="A1036" s="6" t="s">
        <v>1043</v>
      </c>
      <c r="B1036" s="6" t="s">
        <v>2335</v>
      </c>
      <c r="C1036" s="7">
        <v>31044</v>
      </c>
      <c r="D1036" s="8">
        <v>43290</v>
      </c>
      <c r="E1036" s="6" t="s">
        <v>2600</v>
      </c>
      <c r="F1036" s="6">
        <v>163575</v>
      </c>
      <c r="G1036" s="6" t="s">
        <v>2612</v>
      </c>
      <c r="H1036" s="6" t="s">
        <v>2616</v>
      </c>
      <c r="I1036" s="6" t="s">
        <v>2665</v>
      </c>
      <c r="J1036" s="6" t="s">
        <v>3306</v>
      </c>
      <c r="K1036" s="6">
        <v>7</v>
      </c>
    </row>
    <row r="1037" spans="1:11" x14ac:dyDescent="0.3">
      <c r="A1037" s="6" t="s">
        <v>1044</v>
      </c>
      <c r="B1037" s="6" t="s">
        <v>2336</v>
      </c>
      <c r="C1037" s="7">
        <v>25529</v>
      </c>
      <c r="D1037" s="8">
        <v>32898</v>
      </c>
      <c r="E1037" s="6" t="s">
        <v>2602</v>
      </c>
      <c r="F1037" s="6">
        <v>55975</v>
      </c>
      <c r="G1037" s="6" t="s">
        <v>2607</v>
      </c>
      <c r="H1037" s="6" t="s">
        <v>2616</v>
      </c>
      <c r="I1037" s="6" t="s">
        <v>2925</v>
      </c>
      <c r="J1037" s="6" t="s">
        <v>3306</v>
      </c>
      <c r="K1037" s="6">
        <v>35</v>
      </c>
    </row>
    <row r="1038" spans="1:11" x14ac:dyDescent="0.3">
      <c r="A1038" s="6" t="s">
        <v>1045</v>
      </c>
      <c r="B1038" s="6" t="s">
        <v>2337</v>
      </c>
      <c r="C1038" s="7">
        <v>31705</v>
      </c>
      <c r="D1038" s="8">
        <v>41216</v>
      </c>
      <c r="E1038" s="6" t="s">
        <v>2600</v>
      </c>
      <c r="F1038" s="6">
        <v>192385</v>
      </c>
      <c r="G1038" s="6" t="s">
        <v>2613</v>
      </c>
      <c r="H1038" s="6" t="s">
        <v>2616</v>
      </c>
      <c r="I1038" s="6" t="s">
        <v>3234</v>
      </c>
      <c r="J1038" s="6" t="s">
        <v>3306</v>
      </c>
      <c r="K1038" s="6">
        <v>13</v>
      </c>
    </row>
    <row r="1039" spans="1:11" x14ac:dyDescent="0.3">
      <c r="A1039" s="6" t="s">
        <v>1046</v>
      </c>
      <c r="B1039" s="6" t="s">
        <v>2338</v>
      </c>
      <c r="C1039" s="7">
        <v>28440</v>
      </c>
      <c r="D1039" s="8">
        <v>38674</v>
      </c>
      <c r="E1039" s="6" t="s">
        <v>2605</v>
      </c>
      <c r="F1039" s="6">
        <v>163031</v>
      </c>
      <c r="G1039" s="6" t="s">
        <v>2612</v>
      </c>
      <c r="H1039" s="6" t="s">
        <v>2617</v>
      </c>
      <c r="I1039" s="6" t="s">
        <v>3028</v>
      </c>
      <c r="J1039" s="6" t="s">
        <v>3308</v>
      </c>
      <c r="K1039" s="6">
        <v>20</v>
      </c>
    </row>
    <row r="1040" spans="1:11" x14ac:dyDescent="0.3">
      <c r="A1040" s="6" t="s">
        <v>1047</v>
      </c>
      <c r="B1040" s="6" t="s">
        <v>2339</v>
      </c>
      <c r="C1040" s="7">
        <v>29945</v>
      </c>
      <c r="D1040" s="8">
        <v>34153</v>
      </c>
      <c r="E1040" s="6" t="s">
        <v>2601</v>
      </c>
      <c r="F1040" s="6">
        <v>199068</v>
      </c>
      <c r="G1040" s="6" t="s">
        <v>2615</v>
      </c>
      <c r="H1040" s="6" t="s">
        <v>2616</v>
      </c>
      <c r="I1040" s="6" t="s">
        <v>2888</v>
      </c>
      <c r="J1040" s="6" t="s">
        <v>3308</v>
      </c>
      <c r="K1040" s="6">
        <v>32</v>
      </c>
    </row>
    <row r="1041" spans="1:11" x14ac:dyDescent="0.3">
      <c r="A1041" s="6" t="s">
        <v>1048</v>
      </c>
      <c r="B1041" s="6" t="s">
        <v>2340</v>
      </c>
      <c r="C1041" s="7">
        <v>29225</v>
      </c>
      <c r="D1041" s="8">
        <v>42763</v>
      </c>
      <c r="E1041" s="6" t="s">
        <v>2601</v>
      </c>
      <c r="F1041" s="6">
        <v>97560</v>
      </c>
      <c r="G1041" s="6" t="s">
        <v>2608</v>
      </c>
      <c r="H1041" s="6" t="s">
        <v>2616</v>
      </c>
      <c r="I1041" s="6" t="s">
        <v>3235</v>
      </c>
      <c r="J1041" s="6" t="s">
        <v>3304</v>
      </c>
      <c r="K1041" s="6">
        <v>8</v>
      </c>
    </row>
    <row r="1042" spans="1:11" x14ac:dyDescent="0.3">
      <c r="A1042" s="6" t="s">
        <v>1049</v>
      </c>
      <c r="B1042" s="6" t="s">
        <v>2341</v>
      </c>
      <c r="C1042" s="7">
        <v>25033</v>
      </c>
      <c r="D1042" s="8">
        <v>41731</v>
      </c>
      <c r="E1042" s="6" t="s">
        <v>2603</v>
      </c>
      <c r="F1042" s="6">
        <v>135164</v>
      </c>
      <c r="G1042" s="6" t="s">
        <v>2615</v>
      </c>
      <c r="H1042" s="6" t="s">
        <v>2617</v>
      </c>
      <c r="I1042" s="6" t="s">
        <v>2675</v>
      </c>
      <c r="J1042" s="6" t="s">
        <v>3310</v>
      </c>
      <c r="K1042" s="6">
        <v>11</v>
      </c>
    </row>
    <row r="1043" spans="1:11" x14ac:dyDescent="0.3">
      <c r="A1043" s="6" t="s">
        <v>1050</v>
      </c>
      <c r="B1043" s="6" t="s">
        <v>2342</v>
      </c>
      <c r="C1043" s="7">
        <v>34669</v>
      </c>
      <c r="D1043" s="8">
        <v>41071</v>
      </c>
      <c r="E1043" s="6" t="s">
        <v>2604</v>
      </c>
      <c r="F1043" s="6">
        <v>191336</v>
      </c>
      <c r="G1043" s="6" t="s">
        <v>2606</v>
      </c>
      <c r="H1043" s="6" t="s">
        <v>2617</v>
      </c>
      <c r="I1043" s="6" t="s">
        <v>3006</v>
      </c>
      <c r="J1043" s="6" t="s">
        <v>3308</v>
      </c>
      <c r="K1043" s="6">
        <v>13</v>
      </c>
    </row>
    <row r="1044" spans="1:11" x14ac:dyDescent="0.3">
      <c r="A1044" s="6" t="s">
        <v>1051</v>
      </c>
      <c r="B1044" s="6" t="s">
        <v>2343</v>
      </c>
      <c r="C1044" s="7">
        <v>29394</v>
      </c>
      <c r="D1044" s="8">
        <v>43504</v>
      </c>
      <c r="E1044" s="6" t="s">
        <v>2599</v>
      </c>
      <c r="F1044" s="6">
        <v>167218</v>
      </c>
      <c r="G1044" s="6" t="s">
        <v>2610</v>
      </c>
      <c r="H1044" s="6" t="s">
        <v>2616</v>
      </c>
      <c r="I1044" s="6" t="s">
        <v>2859</v>
      </c>
      <c r="J1044" s="6" t="s">
        <v>3305</v>
      </c>
      <c r="K1044" s="6">
        <v>6</v>
      </c>
    </row>
    <row r="1045" spans="1:11" x14ac:dyDescent="0.3">
      <c r="A1045" s="6" t="s">
        <v>1052</v>
      </c>
      <c r="B1045" s="6" t="s">
        <v>2344</v>
      </c>
      <c r="C1045" s="7">
        <v>29975</v>
      </c>
      <c r="D1045" s="8">
        <v>27318</v>
      </c>
      <c r="E1045" s="6" t="s">
        <v>2603</v>
      </c>
      <c r="F1045" s="6">
        <v>69063</v>
      </c>
      <c r="G1045" s="6" t="s">
        <v>2610</v>
      </c>
      <c r="H1045" s="6" t="s">
        <v>2616</v>
      </c>
      <c r="I1045" s="6" t="s">
        <v>3018</v>
      </c>
      <c r="J1045" s="6" t="s">
        <v>3304</v>
      </c>
      <c r="K1045" s="6">
        <v>51</v>
      </c>
    </row>
    <row r="1046" spans="1:11" x14ac:dyDescent="0.3">
      <c r="A1046" s="6" t="s">
        <v>1053</v>
      </c>
      <c r="B1046" s="6" t="s">
        <v>2345</v>
      </c>
      <c r="C1046" s="7">
        <v>31018</v>
      </c>
      <c r="D1046" s="8">
        <v>25771</v>
      </c>
      <c r="E1046" s="6" t="s">
        <v>2600</v>
      </c>
      <c r="F1046" s="6">
        <v>83432</v>
      </c>
      <c r="G1046" s="6" t="s">
        <v>2609</v>
      </c>
      <c r="H1046" s="6" t="s">
        <v>2616</v>
      </c>
      <c r="I1046" s="6" t="s">
        <v>2657</v>
      </c>
      <c r="J1046" s="6" t="s">
        <v>3306</v>
      </c>
      <c r="K1046" s="6">
        <v>55</v>
      </c>
    </row>
    <row r="1047" spans="1:11" x14ac:dyDescent="0.3">
      <c r="A1047" s="6" t="s">
        <v>1054</v>
      </c>
      <c r="B1047" s="6" t="s">
        <v>2346</v>
      </c>
      <c r="C1047" s="7">
        <v>26053</v>
      </c>
      <c r="D1047" s="8">
        <v>35077</v>
      </c>
      <c r="E1047" s="6" t="s">
        <v>2604</v>
      </c>
      <c r="F1047" s="6">
        <v>148752</v>
      </c>
      <c r="G1047" s="6" t="s">
        <v>2612</v>
      </c>
      <c r="H1047" s="6" t="s">
        <v>2617</v>
      </c>
      <c r="I1047" s="6" t="s">
        <v>2654</v>
      </c>
      <c r="J1047" s="6" t="s">
        <v>3307</v>
      </c>
      <c r="K1047" s="6">
        <v>29</v>
      </c>
    </row>
    <row r="1048" spans="1:11" x14ac:dyDescent="0.3">
      <c r="A1048" s="6" t="s">
        <v>1055</v>
      </c>
      <c r="B1048" s="6" t="s">
        <v>2347</v>
      </c>
      <c r="C1048" s="7">
        <v>34540</v>
      </c>
      <c r="D1048" s="8">
        <v>30958</v>
      </c>
      <c r="E1048" s="6" t="s">
        <v>2604</v>
      </c>
      <c r="F1048" s="6">
        <v>179311</v>
      </c>
      <c r="G1048" s="6" t="s">
        <v>2615</v>
      </c>
      <c r="H1048" s="6" t="s">
        <v>2617</v>
      </c>
      <c r="I1048" s="6" t="s">
        <v>3000</v>
      </c>
      <c r="J1048" s="6" t="s">
        <v>3307</v>
      </c>
      <c r="K1048" s="6">
        <v>41</v>
      </c>
    </row>
    <row r="1049" spans="1:11" x14ac:dyDescent="0.3">
      <c r="A1049" s="6" t="s">
        <v>1056</v>
      </c>
      <c r="B1049" s="6" t="s">
        <v>2348</v>
      </c>
      <c r="C1049" s="7">
        <v>23887</v>
      </c>
      <c r="D1049" s="8">
        <v>30750</v>
      </c>
      <c r="E1049" s="6" t="s">
        <v>2603</v>
      </c>
      <c r="F1049" s="6">
        <v>164522</v>
      </c>
      <c r="G1049" s="6" t="s">
        <v>2608</v>
      </c>
      <c r="H1049" s="6" t="s">
        <v>2616</v>
      </c>
      <c r="I1049" s="6" t="s">
        <v>3025</v>
      </c>
      <c r="J1049" s="6" t="s">
        <v>3307</v>
      </c>
      <c r="K1049" s="6">
        <v>41</v>
      </c>
    </row>
    <row r="1050" spans="1:11" x14ac:dyDescent="0.3">
      <c r="A1050" s="6" t="s">
        <v>1057</v>
      </c>
      <c r="B1050" s="6" t="s">
        <v>2349</v>
      </c>
      <c r="C1050" s="7">
        <v>33940</v>
      </c>
      <c r="D1050" s="8">
        <v>37432</v>
      </c>
      <c r="E1050" s="6" t="s">
        <v>2602</v>
      </c>
      <c r="F1050" s="6">
        <v>148308</v>
      </c>
      <c r="G1050" s="6" t="s">
        <v>2612</v>
      </c>
      <c r="H1050" s="6" t="s">
        <v>2617</v>
      </c>
      <c r="I1050" s="6" t="s">
        <v>2855</v>
      </c>
      <c r="J1050" s="6" t="s">
        <v>3306</v>
      </c>
      <c r="K1050" s="6">
        <v>23</v>
      </c>
    </row>
    <row r="1051" spans="1:11" x14ac:dyDescent="0.3">
      <c r="A1051" s="6" t="s">
        <v>1058</v>
      </c>
      <c r="B1051" s="6" t="s">
        <v>2350</v>
      </c>
      <c r="C1051" s="7">
        <v>30753</v>
      </c>
      <c r="D1051" s="8">
        <v>34400</v>
      </c>
      <c r="E1051" s="6" t="s">
        <v>2602</v>
      </c>
      <c r="F1051" s="6">
        <v>78252</v>
      </c>
      <c r="G1051" s="6" t="s">
        <v>2612</v>
      </c>
      <c r="H1051" s="6" t="s">
        <v>2616</v>
      </c>
      <c r="I1051" s="6" t="s">
        <v>2702</v>
      </c>
      <c r="J1051" s="6" t="s">
        <v>3307</v>
      </c>
      <c r="K1051" s="6">
        <v>31</v>
      </c>
    </row>
    <row r="1052" spans="1:11" x14ac:dyDescent="0.3">
      <c r="A1052" s="6" t="s">
        <v>1059</v>
      </c>
      <c r="B1052" s="6" t="s">
        <v>2351</v>
      </c>
      <c r="C1052" s="7">
        <v>32945</v>
      </c>
      <c r="D1052" s="8">
        <v>36597</v>
      </c>
      <c r="E1052" s="6" t="s">
        <v>2600</v>
      </c>
      <c r="F1052" s="6">
        <v>148061</v>
      </c>
      <c r="G1052" s="6" t="s">
        <v>2612</v>
      </c>
      <c r="H1052" s="6" t="s">
        <v>2617</v>
      </c>
      <c r="I1052" s="6" t="s">
        <v>2873</v>
      </c>
      <c r="J1052" s="6" t="s">
        <v>3305</v>
      </c>
      <c r="K1052" s="6">
        <v>25</v>
      </c>
    </row>
    <row r="1053" spans="1:11" x14ac:dyDescent="0.3">
      <c r="A1053" s="6" t="s">
        <v>1060</v>
      </c>
      <c r="B1053" s="6" t="s">
        <v>2352</v>
      </c>
      <c r="C1053" s="7">
        <v>35285</v>
      </c>
      <c r="D1053" s="8">
        <v>36715</v>
      </c>
      <c r="E1053" s="6" t="s">
        <v>2600</v>
      </c>
      <c r="F1053" s="6">
        <v>158805</v>
      </c>
      <c r="G1053" s="6" t="s">
        <v>2613</v>
      </c>
      <c r="H1053" s="6" t="s">
        <v>2616</v>
      </c>
      <c r="I1053" s="6" t="s">
        <v>2861</v>
      </c>
      <c r="J1053" s="6" t="s">
        <v>3305</v>
      </c>
      <c r="K1053" s="6">
        <v>25</v>
      </c>
    </row>
    <row r="1054" spans="1:11" x14ac:dyDescent="0.3">
      <c r="A1054" s="6" t="s">
        <v>1061</v>
      </c>
      <c r="B1054" s="6" t="s">
        <v>2353</v>
      </c>
      <c r="C1054" s="7">
        <v>35960</v>
      </c>
      <c r="D1054" s="8">
        <v>38276</v>
      </c>
      <c r="E1054" s="6" t="s">
        <v>2599</v>
      </c>
      <c r="F1054" s="6">
        <v>93316</v>
      </c>
      <c r="G1054" s="6" t="s">
        <v>2606</v>
      </c>
      <c r="H1054" s="6" t="s">
        <v>2616</v>
      </c>
      <c r="I1054" s="6" t="s">
        <v>2837</v>
      </c>
      <c r="J1054" s="6" t="s">
        <v>3304</v>
      </c>
      <c r="K1054" s="6">
        <v>21</v>
      </c>
    </row>
    <row r="1055" spans="1:11" x14ac:dyDescent="0.3">
      <c r="A1055" s="6" t="s">
        <v>1062</v>
      </c>
      <c r="B1055" s="6" t="s">
        <v>2354</v>
      </c>
      <c r="C1055" s="7">
        <v>23406</v>
      </c>
      <c r="D1055" s="8">
        <v>44851</v>
      </c>
      <c r="E1055" s="6" t="s">
        <v>2599</v>
      </c>
      <c r="F1055" s="6">
        <v>194294</v>
      </c>
      <c r="G1055" s="6" t="s">
        <v>2611</v>
      </c>
      <c r="H1055" s="6" t="s">
        <v>2616</v>
      </c>
      <c r="I1055" s="6" t="s">
        <v>3236</v>
      </c>
      <c r="J1055" s="6" t="s">
        <v>3309</v>
      </c>
      <c r="K1055" s="6">
        <v>3</v>
      </c>
    </row>
    <row r="1056" spans="1:11" x14ac:dyDescent="0.3">
      <c r="A1056" s="6" t="s">
        <v>1063</v>
      </c>
      <c r="B1056" s="6" t="s">
        <v>2355</v>
      </c>
      <c r="C1056" s="7">
        <v>30108</v>
      </c>
      <c r="D1056" s="8">
        <v>42227</v>
      </c>
      <c r="E1056" s="6" t="s">
        <v>2605</v>
      </c>
      <c r="F1056" s="6">
        <v>112927</v>
      </c>
      <c r="G1056" s="6" t="s">
        <v>2607</v>
      </c>
      <c r="H1056" s="6" t="s">
        <v>2616</v>
      </c>
      <c r="I1056" s="6" t="s">
        <v>3237</v>
      </c>
      <c r="J1056" s="6" t="s">
        <v>3306</v>
      </c>
      <c r="K1056" s="6">
        <v>10</v>
      </c>
    </row>
    <row r="1057" spans="1:11" x14ac:dyDescent="0.3">
      <c r="A1057" s="6" t="s">
        <v>1064</v>
      </c>
      <c r="B1057" s="6" t="s">
        <v>2356</v>
      </c>
      <c r="C1057" s="7">
        <v>35534</v>
      </c>
      <c r="D1057" s="8">
        <v>26151</v>
      </c>
      <c r="E1057" s="6" t="s">
        <v>2604</v>
      </c>
      <c r="F1057" s="6">
        <v>93813</v>
      </c>
      <c r="G1057" s="6" t="s">
        <v>2609</v>
      </c>
      <c r="H1057" s="6" t="s">
        <v>2616</v>
      </c>
      <c r="I1057" s="6" t="s">
        <v>3238</v>
      </c>
      <c r="J1057" s="6" t="s">
        <v>3307</v>
      </c>
      <c r="K1057" s="6">
        <v>54</v>
      </c>
    </row>
    <row r="1058" spans="1:11" x14ac:dyDescent="0.3">
      <c r="A1058" s="6" t="s">
        <v>1065</v>
      </c>
      <c r="B1058" s="6" t="s">
        <v>2357</v>
      </c>
      <c r="C1058" s="7">
        <v>35116</v>
      </c>
      <c r="D1058" s="8">
        <v>27588</v>
      </c>
      <c r="E1058" s="6" t="s">
        <v>2600</v>
      </c>
      <c r="F1058" s="6">
        <v>77518</v>
      </c>
      <c r="G1058" s="6" t="s">
        <v>2614</v>
      </c>
      <c r="H1058" s="6" t="s">
        <v>2616</v>
      </c>
      <c r="I1058" s="6" t="s">
        <v>3239</v>
      </c>
      <c r="J1058" s="6" t="s">
        <v>3304</v>
      </c>
      <c r="K1058" s="6">
        <v>50</v>
      </c>
    </row>
    <row r="1059" spans="1:11" x14ac:dyDescent="0.3">
      <c r="A1059" s="6" t="s">
        <v>1066</v>
      </c>
      <c r="B1059" s="6" t="s">
        <v>2358</v>
      </c>
      <c r="C1059" s="7">
        <v>37405</v>
      </c>
      <c r="D1059" s="8">
        <v>42378</v>
      </c>
      <c r="E1059" s="6" t="s">
        <v>2600</v>
      </c>
      <c r="F1059" s="6">
        <v>191402</v>
      </c>
      <c r="G1059" s="6" t="s">
        <v>2609</v>
      </c>
      <c r="H1059" s="6" t="s">
        <v>2617</v>
      </c>
      <c r="I1059" s="6" t="s">
        <v>3103</v>
      </c>
      <c r="J1059" s="6" t="s">
        <v>3310</v>
      </c>
      <c r="K1059" s="6">
        <v>9</v>
      </c>
    </row>
    <row r="1060" spans="1:11" x14ac:dyDescent="0.3">
      <c r="A1060" s="6" t="s">
        <v>1067</v>
      </c>
      <c r="B1060" s="6" t="s">
        <v>2359</v>
      </c>
      <c r="C1060" s="7">
        <v>34872</v>
      </c>
      <c r="D1060" s="8">
        <v>40205</v>
      </c>
      <c r="E1060" s="6" t="s">
        <v>2603</v>
      </c>
      <c r="F1060" s="6">
        <v>185430</v>
      </c>
      <c r="G1060" s="6" t="s">
        <v>2615</v>
      </c>
      <c r="H1060" s="6" t="s">
        <v>2616</v>
      </c>
      <c r="I1060" s="6" t="s">
        <v>3143</v>
      </c>
      <c r="J1060" s="6" t="s">
        <v>3308</v>
      </c>
      <c r="K1060" s="6">
        <v>15</v>
      </c>
    </row>
    <row r="1061" spans="1:11" x14ac:dyDescent="0.3">
      <c r="A1061" s="6" t="s">
        <v>1068</v>
      </c>
      <c r="B1061" s="6" t="s">
        <v>2360</v>
      </c>
      <c r="C1061" s="7">
        <v>31876</v>
      </c>
      <c r="D1061" s="8">
        <v>34506</v>
      </c>
      <c r="E1061" s="6" t="s">
        <v>2599</v>
      </c>
      <c r="F1061" s="6">
        <v>39431</v>
      </c>
      <c r="G1061" s="6" t="s">
        <v>2607</v>
      </c>
      <c r="H1061" s="6" t="s">
        <v>2616</v>
      </c>
      <c r="I1061" s="6" t="s">
        <v>3240</v>
      </c>
      <c r="J1061" s="6" t="s">
        <v>3305</v>
      </c>
      <c r="K1061" s="6">
        <v>31</v>
      </c>
    </row>
    <row r="1062" spans="1:11" x14ac:dyDescent="0.3">
      <c r="A1062" s="6" t="s">
        <v>1069</v>
      </c>
      <c r="B1062" s="6" t="s">
        <v>2361</v>
      </c>
      <c r="C1062" s="7">
        <v>26971</v>
      </c>
      <c r="D1062" s="8">
        <v>36029</v>
      </c>
      <c r="E1062" s="6" t="s">
        <v>2603</v>
      </c>
      <c r="F1062" s="6">
        <v>146589</v>
      </c>
      <c r="G1062" s="6" t="s">
        <v>2613</v>
      </c>
      <c r="H1062" s="6" t="s">
        <v>2617</v>
      </c>
      <c r="I1062" s="6" t="s">
        <v>3241</v>
      </c>
      <c r="J1062" s="6" t="s">
        <v>3304</v>
      </c>
      <c r="K1062" s="6">
        <v>27</v>
      </c>
    </row>
    <row r="1063" spans="1:11" x14ac:dyDescent="0.3">
      <c r="A1063" s="6" t="s">
        <v>1070</v>
      </c>
      <c r="B1063" s="6" t="s">
        <v>2362</v>
      </c>
      <c r="C1063" s="7">
        <v>27248</v>
      </c>
      <c r="D1063" s="8">
        <v>32788</v>
      </c>
      <c r="E1063" s="6" t="s">
        <v>2604</v>
      </c>
      <c r="F1063" s="6">
        <v>122514</v>
      </c>
      <c r="G1063" s="6" t="s">
        <v>2611</v>
      </c>
      <c r="H1063" s="6" t="s">
        <v>2617</v>
      </c>
      <c r="I1063" s="6" t="s">
        <v>3242</v>
      </c>
      <c r="J1063" s="6" t="s">
        <v>3310</v>
      </c>
      <c r="K1063" s="6">
        <v>36</v>
      </c>
    </row>
    <row r="1064" spans="1:11" x14ac:dyDescent="0.3">
      <c r="A1064" s="6" t="s">
        <v>1071</v>
      </c>
      <c r="B1064" s="6" t="s">
        <v>2363</v>
      </c>
      <c r="C1064" s="7">
        <v>35702</v>
      </c>
      <c r="D1064" s="8">
        <v>30979</v>
      </c>
      <c r="E1064" s="6" t="s">
        <v>2604</v>
      </c>
      <c r="F1064" s="6">
        <v>187945</v>
      </c>
      <c r="G1064" s="6" t="s">
        <v>2608</v>
      </c>
      <c r="H1064" s="6" t="s">
        <v>2616</v>
      </c>
      <c r="I1064" s="6" t="s">
        <v>2741</v>
      </c>
      <c r="J1064" s="6" t="s">
        <v>3309</v>
      </c>
      <c r="K1064" s="6">
        <v>41</v>
      </c>
    </row>
    <row r="1065" spans="1:11" x14ac:dyDescent="0.3">
      <c r="A1065" s="6" t="s">
        <v>1072</v>
      </c>
      <c r="B1065" s="6" t="s">
        <v>2364</v>
      </c>
      <c r="C1065" s="7">
        <v>31526</v>
      </c>
      <c r="D1065" s="8">
        <v>25707</v>
      </c>
      <c r="E1065" s="6" t="s">
        <v>2604</v>
      </c>
      <c r="F1065" s="6">
        <v>96966</v>
      </c>
      <c r="G1065" s="6" t="s">
        <v>2611</v>
      </c>
      <c r="H1065" s="6" t="s">
        <v>2616</v>
      </c>
      <c r="I1065" s="6" t="s">
        <v>2843</v>
      </c>
      <c r="J1065" s="6" t="s">
        <v>3307</v>
      </c>
      <c r="K1065" s="6">
        <v>55</v>
      </c>
    </row>
    <row r="1066" spans="1:11" x14ac:dyDescent="0.3">
      <c r="A1066" s="6" t="s">
        <v>1073</v>
      </c>
      <c r="B1066" s="6" t="s">
        <v>2365</v>
      </c>
      <c r="C1066" s="7">
        <v>32015</v>
      </c>
      <c r="D1066" s="8">
        <v>27582</v>
      </c>
      <c r="E1066" s="6" t="s">
        <v>2599</v>
      </c>
      <c r="F1066" s="6">
        <v>157725</v>
      </c>
      <c r="G1066" s="6" t="s">
        <v>2615</v>
      </c>
      <c r="H1066" s="6" t="s">
        <v>2617</v>
      </c>
      <c r="I1066" s="6" t="s">
        <v>2951</v>
      </c>
      <c r="J1066" s="6" t="s">
        <v>3309</v>
      </c>
      <c r="K1066" s="6">
        <v>50</v>
      </c>
    </row>
    <row r="1067" spans="1:11" x14ac:dyDescent="0.3">
      <c r="A1067" s="6" t="s">
        <v>1074</v>
      </c>
      <c r="B1067" s="6" t="s">
        <v>2366</v>
      </c>
      <c r="C1067" s="7">
        <v>35588</v>
      </c>
      <c r="D1067" s="8">
        <v>28977</v>
      </c>
      <c r="E1067" s="6" t="s">
        <v>2604</v>
      </c>
      <c r="F1067" s="6">
        <v>65509</v>
      </c>
      <c r="G1067" s="6" t="s">
        <v>2614</v>
      </c>
      <c r="H1067" s="6" t="s">
        <v>2617</v>
      </c>
      <c r="I1067" s="6" t="s">
        <v>3243</v>
      </c>
      <c r="J1067" s="6" t="s">
        <v>3310</v>
      </c>
      <c r="K1067" s="6">
        <v>46</v>
      </c>
    </row>
    <row r="1068" spans="1:11" x14ac:dyDescent="0.3">
      <c r="A1068" s="6" t="s">
        <v>1075</v>
      </c>
      <c r="B1068" s="6" t="s">
        <v>2367</v>
      </c>
      <c r="C1068" s="7">
        <v>23017</v>
      </c>
      <c r="D1068" s="8">
        <v>42974</v>
      </c>
      <c r="E1068" s="6" t="s">
        <v>2599</v>
      </c>
      <c r="F1068" s="6">
        <v>42956</v>
      </c>
      <c r="G1068" s="6" t="s">
        <v>2609</v>
      </c>
      <c r="H1068" s="6" t="s">
        <v>2616</v>
      </c>
      <c r="I1068" s="6" t="s">
        <v>2917</v>
      </c>
      <c r="J1068" s="6" t="s">
        <v>3306</v>
      </c>
      <c r="K1068" s="6">
        <v>8</v>
      </c>
    </row>
    <row r="1069" spans="1:11" x14ac:dyDescent="0.3">
      <c r="A1069" s="6" t="s">
        <v>1076</v>
      </c>
      <c r="B1069" s="6" t="s">
        <v>2368</v>
      </c>
      <c r="C1069" s="7">
        <v>24618</v>
      </c>
      <c r="D1069" s="8">
        <v>32244</v>
      </c>
      <c r="E1069" s="6" t="s">
        <v>2602</v>
      </c>
      <c r="F1069" s="6">
        <v>163964</v>
      </c>
      <c r="G1069" s="6" t="s">
        <v>2611</v>
      </c>
      <c r="H1069" s="6" t="s">
        <v>2617</v>
      </c>
      <c r="I1069" s="6" t="s">
        <v>3244</v>
      </c>
      <c r="J1069" s="6" t="s">
        <v>3305</v>
      </c>
      <c r="K1069" s="6">
        <v>37</v>
      </c>
    </row>
    <row r="1070" spans="1:11" x14ac:dyDescent="0.3">
      <c r="A1070" s="6" t="s">
        <v>1077</v>
      </c>
      <c r="B1070" s="6" t="s">
        <v>2369</v>
      </c>
      <c r="C1070" s="7">
        <v>35581</v>
      </c>
      <c r="D1070" s="8">
        <v>34117</v>
      </c>
      <c r="E1070" s="6" t="s">
        <v>2601</v>
      </c>
      <c r="F1070" s="6">
        <v>73697</v>
      </c>
      <c r="G1070" s="6" t="s">
        <v>2610</v>
      </c>
      <c r="H1070" s="6" t="s">
        <v>2617</v>
      </c>
      <c r="I1070" s="6" t="s">
        <v>2775</v>
      </c>
      <c r="J1070" s="6" t="s">
        <v>3308</v>
      </c>
      <c r="K1070" s="6">
        <v>32</v>
      </c>
    </row>
    <row r="1071" spans="1:11" x14ac:dyDescent="0.3">
      <c r="A1071" s="6" t="s">
        <v>1078</v>
      </c>
      <c r="B1071" s="6" t="s">
        <v>2370</v>
      </c>
      <c r="C1071" s="7">
        <v>35611</v>
      </c>
      <c r="D1071" s="8">
        <v>29990</v>
      </c>
      <c r="E1071" s="6" t="s">
        <v>2599</v>
      </c>
      <c r="F1071" s="6">
        <v>182150</v>
      </c>
      <c r="G1071" s="6" t="s">
        <v>2606</v>
      </c>
      <c r="H1071" s="6" t="s">
        <v>2617</v>
      </c>
      <c r="I1071" s="6" t="s">
        <v>3245</v>
      </c>
      <c r="J1071" s="6" t="s">
        <v>3309</v>
      </c>
      <c r="K1071" s="6">
        <v>43</v>
      </c>
    </row>
    <row r="1072" spans="1:11" x14ac:dyDescent="0.3">
      <c r="A1072" s="6" t="s">
        <v>1079</v>
      </c>
      <c r="B1072" s="6" t="s">
        <v>2371</v>
      </c>
      <c r="C1072" s="7">
        <v>24837</v>
      </c>
      <c r="D1072" s="8">
        <v>38840</v>
      </c>
      <c r="E1072" s="6" t="s">
        <v>2602</v>
      </c>
      <c r="F1072" s="6">
        <v>95176</v>
      </c>
      <c r="G1072" s="6" t="s">
        <v>2607</v>
      </c>
      <c r="H1072" s="6" t="s">
        <v>2617</v>
      </c>
      <c r="I1072" s="6" t="s">
        <v>3246</v>
      </c>
      <c r="J1072" s="6" t="s">
        <v>3308</v>
      </c>
      <c r="K1072" s="6">
        <v>19</v>
      </c>
    </row>
    <row r="1073" spans="1:11" x14ac:dyDescent="0.3">
      <c r="A1073" s="6" t="s">
        <v>1080</v>
      </c>
      <c r="B1073" s="6" t="s">
        <v>2372</v>
      </c>
      <c r="C1073" s="7">
        <v>27137</v>
      </c>
      <c r="D1073" s="8">
        <v>34036</v>
      </c>
      <c r="E1073" s="6" t="s">
        <v>2603</v>
      </c>
      <c r="F1073" s="6">
        <v>138159</v>
      </c>
      <c r="G1073" s="6" t="s">
        <v>2607</v>
      </c>
      <c r="H1073" s="6" t="s">
        <v>2616</v>
      </c>
      <c r="I1073" s="6" t="s">
        <v>3012</v>
      </c>
      <c r="J1073" s="6" t="s">
        <v>3304</v>
      </c>
      <c r="K1073" s="6">
        <v>32</v>
      </c>
    </row>
    <row r="1074" spans="1:11" x14ac:dyDescent="0.3">
      <c r="A1074" s="6" t="s">
        <v>1081</v>
      </c>
      <c r="B1074" s="6" t="s">
        <v>2373</v>
      </c>
      <c r="C1074" s="7">
        <v>30393</v>
      </c>
      <c r="D1074" s="8">
        <v>28898</v>
      </c>
      <c r="E1074" s="6" t="s">
        <v>2601</v>
      </c>
      <c r="F1074" s="6">
        <v>59034</v>
      </c>
      <c r="G1074" s="6" t="s">
        <v>2613</v>
      </c>
      <c r="H1074" s="6" t="s">
        <v>2617</v>
      </c>
      <c r="I1074" s="6" t="s">
        <v>3053</v>
      </c>
      <c r="J1074" s="6" t="s">
        <v>3305</v>
      </c>
      <c r="K1074" s="6">
        <v>46</v>
      </c>
    </row>
    <row r="1075" spans="1:11" x14ac:dyDescent="0.3">
      <c r="A1075" s="6" t="s">
        <v>1082</v>
      </c>
      <c r="B1075" s="6" t="s">
        <v>2374</v>
      </c>
      <c r="C1075" s="7">
        <v>33414</v>
      </c>
      <c r="D1075" s="8">
        <v>33547</v>
      </c>
      <c r="E1075" s="6" t="s">
        <v>2601</v>
      </c>
      <c r="F1075" s="6">
        <v>40772</v>
      </c>
      <c r="G1075" s="6" t="s">
        <v>2612</v>
      </c>
      <c r="H1075" s="6" t="s">
        <v>2617</v>
      </c>
      <c r="I1075" s="6" t="s">
        <v>2797</v>
      </c>
      <c r="J1075" s="6" t="s">
        <v>3306</v>
      </c>
      <c r="K1075" s="6">
        <v>34</v>
      </c>
    </row>
    <row r="1076" spans="1:11" x14ac:dyDescent="0.3">
      <c r="A1076" s="6" t="s">
        <v>1083</v>
      </c>
      <c r="B1076" s="6" t="s">
        <v>2375</v>
      </c>
      <c r="C1076" s="7">
        <v>23406</v>
      </c>
      <c r="D1076" s="8">
        <v>34063</v>
      </c>
      <c r="E1076" s="6" t="s">
        <v>2603</v>
      </c>
      <c r="F1076" s="6">
        <v>198331</v>
      </c>
      <c r="G1076" s="6" t="s">
        <v>2606</v>
      </c>
      <c r="H1076" s="6" t="s">
        <v>2616</v>
      </c>
      <c r="I1076" s="6" t="s">
        <v>3027</v>
      </c>
      <c r="J1076" s="6" t="s">
        <v>3310</v>
      </c>
      <c r="K1076" s="6">
        <v>32</v>
      </c>
    </row>
    <row r="1077" spans="1:11" x14ac:dyDescent="0.3">
      <c r="A1077" s="6" t="s">
        <v>1084</v>
      </c>
      <c r="B1077" s="6" t="s">
        <v>2376</v>
      </c>
      <c r="C1077" s="7">
        <v>26999</v>
      </c>
      <c r="D1077" s="8">
        <v>43254</v>
      </c>
      <c r="E1077" s="6" t="s">
        <v>2604</v>
      </c>
      <c r="F1077" s="6">
        <v>36978</v>
      </c>
      <c r="G1077" s="6" t="s">
        <v>2612</v>
      </c>
      <c r="H1077" s="6" t="s">
        <v>2617</v>
      </c>
      <c r="I1077" s="6" t="s">
        <v>3247</v>
      </c>
      <c r="J1077" s="6" t="s">
        <v>3309</v>
      </c>
      <c r="K1077" s="6">
        <v>7</v>
      </c>
    </row>
    <row r="1078" spans="1:11" x14ac:dyDescent="0.3">
      <c r="A1078" s="6" t="s">
        <v>1085</v>
      </c>
      <c r="B1078" s="6" t="s">
        <v>2377</v>
      </c>
      <c r="C1078" s="7">
        <v>34218</v>
      </c>
      <c r="D1078" s="8">
        <v>40095</v>
      </c>
      <c r="E1078" s="6" t="s">
        <v>2603</v>
      </c>
      <c r="F1078" s="6">
        <v>24840</v>
      </c>
      <c r="G1078" s="6" t="s">
        <v>2611</v>
      </c>
      <c r="H1078" s="6" t="s">
        <v>2616</v>
      </c>
      <c r="I1078" s="6" t="s">
        <v>3030</v>
      </c>
      <c r="J1078" s="6" t="s">
        <v>3304</v>
      </c>
      <c r="K1078" s="6">
        <v>16</v>
      </c>
    </row>
    <row r="1079" spans="1:11" x14ac:dyDescent="0.3">
      <c r="A1079" s="6" t="s">
        <v>1086</v>
      </c>
      <c r="B1079" s="6" t="s">
        <v>2378</v>
      </c>
      <c r="C1079" s="7">
        <v>26177</v>
      </c>
      <c r="D1079" s="8">
        <v>30204</v>
      </c>
      <c r="E1079" s="6" t="s">
        <v>2600</v>
      </c>
      <c r="F1079" s="6">
        <v>43618</v>
      </c>
      <c r="G1079" s="6" t="s">
        <v>2609</v>
      </c>
      <c r="H1079" s="6" t="s">
        <v>2617</v>
      </c>
      <c r="I1079" s="6" t="s">
        <v>3248</v>
      </c>
      <c r="J1079" s="6" t="s">
        <v>3308</v>
      </c>
      <c r="K1079" s="6">
        <v>43</v>
      </c>
    </row>
    <row r="1080" spans="1:11" x14ac:dyDescent="0.3">
      <c r="A1080" s="6" t="s">
        <v>1087</v>
      </c>
      <c r="B1080" s="6" t="s">
        <v>2379</v>
      </c>
      <c r="C1080" s="7">
        <v>26696</v>
      </c>
      <c r="D1080" s="8">
        <v>37505</v>
      </c>
      <c r="E1080" s="6" t="s">
        <v>2603</v>
      </c>
      <c r="F1080" s="6">
        <v>108968</v>
      </c>
      <c r="G1080" s="6" t="s">
        <v>2611</v>
      </c>
      <c r="H1080" s="6" t="s">
        <v>2616</v>
      </c>
      <c r="I1080" s="6" t="s">
        <v>3249</v>
      </c>
      <c r="J1080" s="6" t="s">
        <v>3305</v>
      </c>
      <c r="K1080" s="6">
        <v>23</v>
      </c>
    </row>
    <row r="1081" spans="1:11" x14ac:dyDescent="0.3">
      <c r="A1081" s="6" t="s">
        <v>1088</v>
      </c>
      <c r="B1081" s="6" t="s">
        <v>2380</v>
      </c>
      <c r="C1081" s="7">
        <v>32714</v>
      </c>
      <c r="D1081" s="8">
        <v>29789</v>
      </c>
      <c r="E1081" s="6" t="s">
        <v>2605</v>
      </c>
      <c r="F1081" s="6">
        <v>123262</v>
      </c>
      <c r="G1081" s="6" t="s">
        <v>2614</v>
      </c>
      <c r="H1081" s="6" t="s">
        <v>2617</v>
      </c>
      <c r="I1081" s="6" t="s">
        <v>3250</v>
      </c>
      <c r="J1081" s="6" t="s">
        <v>3307</v>
      </c>
      <c r="K1081" s="6">
        <v>44</v>
      </c>
    </row>
    <row r="1082" spans="1:11" x14ac:dyDescent="0.3">
      <c r="A1082" s="6" t="s">
        <v>1089</v>
      </c>
      <c r="B1082" s="6" t="s">
        <v>2381</v>
      </c>
      <c r="C1082" s="7">
        <v>26246</v>
      </c>
      <c r="D1082" s="8">
        <v>38233</v>
      </c>
      <c r="E1082" s="6" t="s">
        <v>2603</v>
      </c>
      <c r="F1082" s="6">
        <v>28792</v>
      </c>
      <c r="G1082" s="6" t="s">
        <v>2606</v>
      </c>
      <c r="H1082" s="6" t="s">
        <v>2616</v>
      </c>
      <c r="I1082" s="6" t="s">
        <v>2858</v>
      </c>
      <c r="J1082" s="6" t="s">
        <v>3306</v>
      </c>
      <c r="K1082" s="6">
        <v>21</v>
      </c>
    </row>
    <row r="1083" spans="1:11" x14ac:dyDescent="0.3">
      <c r="A1083" s="6" t="s">
        <v>1090</v>
      </c>
      <c r="B1083" s="6" t="s">
        <v>2382</v>
      </c>
      <c r="C1083" s="7">
        <v>21714</v>
      </c>
      <c r="D1083" s="8">
        <v>26848</v>
      </c>
      <c r="E1083" s="6" t="s">
        <v>2604</v>
      </c>
      <c r="F1083" s="6">
        <v>127121</v>
      </c>
      <c r="G1083" s="6" t="s">
        <v>2606</v>
      </c>
      <c r="H1083" s="6" t="s">
        <v>2617</v>
      </c>
      <c r="I1083" s="6" t="s">
        <v>3251</v>
      </c>
      <c r="J1083" s="6" t="s">
        <v>3307</v>
      </c>
      <c r="K1083" s="6">
        <v>52</v>
      </c>
    </row>
    <row r="1084" spans="1:11" x14ac:dyDescent="0.3">
      <c r="A1084" s="6" t="s">
        <v>1091</v>
      </c>
      <c r="B1084" s="6" t="s">
        <v>2383</v>
      </c>
      <c r="C1084" s="7">
        <v>36546</v>
      </c>
      <c r="D1084" s="8">
        <v>41875</v>
      </c>
      <c r="E1084" s="6" t="s">
        <v>2599</v>
      </c>
      <c r="F1084" s="6">
        <v>34904</v>
      </c>
      <c r="G1084" s="6" t="s">
        <v>2614</v>
      </c>
      <c r="H1084" s="6" t="s">
        <v>2617</v>
      </c>
      <c r="I1084" s="6" t="s">
        <v>3120</v>
      </c>
      <c r="J1084" s="6" t="s">
        <v>3307</v>
      </c>
      <c r="K1084" s="6">
        <v>11</v>
      </c>
    </row>
    <row r="1085" spans="1:11" x14ac:dyDescent="0.3">
      <c r="A1085" s="6" t="s">
        <v>1092</v>
      </c>
      <c r="B1085" s="6" t="s">
        <v>2384</v>
      </c>
      <c r="C1085" s="7">
        <v>31859</v>
      </c>
      <c r="D1085" s="8">
        <v>36529</v>
      </c>
      <c r="E1085" s="6" t="s">
        <v>2600</v>
      </c>
      <c r="F1085" s="6">
        <v>69067</v>
      </c>
      <c r="G1085" s="6" t="s">
        <v>2608</v>
      </c>
      <c r="H1085" s="6" t="s">
        <v>2617</v>
      </c>
      <c r="I1085" s="6" t="s">
        <v>3126</v>
      </c>
      <c r="J1085" s="6" t="s">
        <v>3310</v>
      </c>
      <c r="K1085" s="6">
        <v>25</v>
      </c>
    </row>
    <row r="1086" spans="1:11" x14ac:dyDescent="0.3">
      <c r="A1086" s="6" t="s">
        <v>1093</v>
      </c>
      <c r="B1086" s="6" t="s">
        <v>2385</v>
      </c>
      <c r="C1086" s="7">
        <v>24385</v>
      </c>
      <c r="D1086" s="8">
        <v>39033</v>
      </c>
      <c r="E1086" s="6" t="s">
        <v>2601</v>
      </c>
      <c r="F1086" s="6">
        <v>63594</v>
      </c>
      <c r="G1086" s="6" t="s">
        <v>2610</v>
      </c>
      <c r="H1086" s="6" t="s">
        <v>2617</v>
      </c>
      <c r="I1086" s="6" t="s">
        <v>2712</v>
      </c>
      <c r="J1086" s="6" t="s">
        <v>3307</v>
      </c>
      <c r="K1086" s="6">
        <v>19</v>
      </c>
    </row>
    <row r="1087" spans="1:11" x14ac:dyDescent="0.3">
      <c r="A1087" s="6" t="s">
        <v>1094</v>
      </c>
      <c r="B1087" s="6" t="s">
        <v>2386</v>
      </c>
      <c r="C1087" s="7">
        <v>21678</v>
      </c>
      <c r="D1087" s="8">
        <v>31181</v>
      </c>
      <c r="E1087" s="6" t="s">
        <v>2605</v>
      </c>
      <c r="F1087" s="6">
        <v>198015</v>
      </c>
      <c r="G1087" s="6" t="s">
        <v>2615</v>
      </c>
      <c r="H1087" s="6" t="s">
        <v>2617</v>
      </c>
      <c r="I1087" s="6" t="s">
        <v>2827</v>
      </c>
      <c r="J1087" s="6" t="s">
        <v>3304</v>
      </c>
      <c r="K1087" s="6">
        <v>40</v>
      </c>
    </row>
    <row r="1088" spans="1:11" x14ac:dyDescent="0.3">
      <c r="A1088" s="6" t="s">
        <v>1095</v>
      </c>
      <c r="B1088" s="6" t="s">
        <v>2387</v>
      </c>
      <c r="C1088" s="7">
        <v>29986</v>
      </c>
      <c r="D1088" s="8">
        <v>39764</v>
      </c>
      <c r="E1088" s="6" t="s">
        <v>2599</v>
      </c>
      <c r="F1088" s="6">
        <v>197711</v>
      </c>
      <c r="G1088" s="6" t="s">
        <v>2611</v>
      </c>
      <c r="H1088" s="6" t="s">
        <v>2616</v>
      </c>
      <c r="I1088" s="6" t="s">
        <v>3127</v>
      </c>
      <c r="J1088" s="6" t="s">
        <v>3308</v>
      </c>
      <c r="K1088" s="6">
        <v>17</v>
      </c>
    </row>
    <row r="1089" spans="1:11" x14ac:dyDescent="0.3">
      <c r="A1089" s="6" t="s">
        <v>1096</v>
      </c>
      <c r="B1089" s="6" t="s">
        <v>2388</v>
      </c>
      <c r="C1089" s="7">
        <v>28143</v>
      </c>
      <c r="D1089" s="8">
        <v>27573</v>
      </c>
      <c r="E1089" s="6" t="s">
        <v>2599</v>
      </c>
      <c r="F1089" s="6">
        <v>126954</v>
      </c>
      <c r="G1089" s="6" t="s">
        <v>2610</v>
      </c>
      <c r="H1089" s="6" t="s">
        <v>2616</v>
      </c>
      <c r="I1089" s="6" t="s">
        <v>3252</v>
      </c>
      <c r="J1089" s="6" t="s">
        <v>3306</v>
      </c>
      <c r="K1089" s="6">
        <v>50</v>
      </c>
    </row>
    <row r="1090" spans="1:11" x14ac:dyDescent="0.3">
      <c r="A1090" s="6" t="s">
        <v>1097</v>
      </c>
      <c r="B1090" s="6" t="s">
        <v>2389</v>
      </c>
      <c r="C1090" s="7">
        <v>31857</v>
      </c>
      <c r="D1090" s="8">
        <v>41800</v>
      </c>
      <c r="E1090" s="6" t="s">
        <v>2603</v>
      </c>
      <c r="F1090" s="6">
        <v>84147</v>
      </c>
      <c r="G1090" s="6" t="s">
        <v>2611</v>
      </c>
      <c r="H1090" s="6" t="s">
        <v>2617</v>
      </c>
      <c r="I1090" s="6" t="s">
        <v>3253</v>
      </c>
      <c r="J1090" s="6" t="s">
        <v>3308</v>
      </c>
      <c r="K1090" s="6">
        <v>11</v>
      </c>
    </row>
    <row r="1091" spans="1:11" x14ac:dyDescent="0.3">
      <c r="A1091" s="6" t="s">
        <v>1098</v>
      </c>
      <c r="B1091" s="6" t="s">
        <v>2390</v>
      </c>
      <c r="C1091" s="7">
        <v>27237</v>
      </c>
      <c r="D1091" s="8">
        <v>31836</v>
      </c>
      <c r="E1091" s="6" t="s">
        <v>2602</v>
      </c>
      <c r="F1091" s="6">
        <v>129936</v>
      </c>
      <c r="G1091" s="6" t="s">
        <v>2613</v>
      </c>
      <c r="H1091" s="6" t="s">
        <v>2616</v>
      </c>
      <c r="I1091" s="6" t="s">
        <v>3254</v>
      </c>
      <c r="J1091" s="6" t="s">
        <v>3308</v>
      </c>
      <c r="K1091" s="6">
        <v>38</v>
      </c>
    </row>
    <row r="1092" spans="1:11" x14ac:dyDescent="0.3">
      <c r="A1092" s="6" t="s">
        <v>1099</v>
      </c>
      <c r="B1092" s="6" t="s">
        <v>2391</v>
      </c>
      <c r="C1092" s="7">
        <v>37523</v>
      </c>
      <c r="D1092" s="8">
        <v>34674</v>
      </c>
      <c r="E1092" s="6" t="s">
        <v>2600</v>
      </c>
      <c r="F1092" s="6">
        <v>163435</v>
      </c>
      <c r="G1092" s="6" t="s">
        <v>2612</v>
      </c>
      <c r="H1092" s="6" t="s">
        <v>2617</v>
      </c>
      <c r="I1092" s="6" t="s">
        <v>3110</v>
      </c>
      <c r="J1092" s="6" t="s">
        <v>3310</v>
      </c>
      <c r="K1092" s="6">
        <v>31</v>
      </c>
    </row>
    <row r="1093" spans="1:11" x14ac:dyDescent="0.3">
      <c r="A1093" s="6" t="s">
        <v>1100</v>
      </c>
      <c r="B1093" s="6" t="s">
        <v>2392</v>
      </c>
      <c r="C1093" s="7">
        <v>34597</v>
      </c>
      <c r="D1093" s="8">
        <v>33086</v>
      </c>
      <c r="E1093" s="6" t="s">
        <v>2599</v>
      </c>
      <c r="F1093" s="6">
        <v>58501</v>
      </c>
      <c r="G1093" s="6" t="s">
        <v>2609</v>
      </c>
      <c r="H1093" s="6" t="s">
        <v>2617</v>
      </c>
      <c r="I1093" s="6" t="s">
        <v>3157</v>
      </c>
      <c r="J1093" s="6" t="s">
        <v>3305</v>
      </c>
      <c r="K1093" s="6">
        <v>35</v>
      </c>
    </row>
    <row r="1094" spans="1:11" x14ac:dyDescent="0.3">
      <c r="A1094" s="6" t="s">
        <v>1101</v>
      </c>
      <c r="B1094" s="6" t="s">
        <v>2393</v>
      </c>
      <c r="C1094" s="7">
        <v>25065</v>
      </c>
      <c r="D1094" s="8">
        <v>28557</v>
      </c>
      <c r="E1094" s="6" t="s">
        <v>2602</v>
      </c>
      <c r="F1094" s="6">
        <v>77919</v>
      </c>
      <c r="G1094" s="6" t="s">
        <v>2607</v>
      </c>
      <c r="H1094" s="6" t="s">
        <v>2616</v>
      </c>
      <c r="I1094" s="6" t="s">
        <v>3255</v>
      </c>
      <c r="J1094" s="6" t="s">
        <v>3305</v>
      </c>
      <c r="K1094" s="6">
        <v>47</v>
      </c>
    </row>
    <row r="1095" spans="1:11" x14ac:dyDescent="0.3">
      <c r="A1095" s="6" t="s">
        <v>1102</v>
      </c>
      <c r="B1095" s="6" t="s">
        <v>2394</v>
      </c>
      <c r="C1095" s="7">
        <v>24329</v>
      </c>
      <c r="D1095" s="8">
        <v>33100</v>
      </c>
      <c r="E1095" s="6" t="s">
        <v>2605</v>
      </c>
      <c r="F1095" s="6">
        <v>134532</v>
      </c>
      <c r="G1095" s="6" t="s">
        <v>2613</v>
      </c>
      <c r="H1095" s="6" t="s">
        <v>2616</v>
      </c>
      <c r="I1095" s="6" t="s">
        <v>3256</v>
      </c>
      <c r="J1095" s="6" t="s">
        <v>3309</v>
      </c>
      <c r="K1095" s="6">
        <v>35</v>
      </c>
    </row>
    <row r="1096" spans="1:11" x14ac:dyDescent="0.3">
      <c r="A1096" s="6" t="s">
        <v>1103</v>
      </c>
      <c r="B1096" s="6" t="s">
        <v>2395</v>
      </c>
      <c r="C1096" s="7">
        <v>22742</v>
      </c>
      <c r="D1096" s="8">
        <v>39105</v>
      </c>
      <c r="E1096" s="6" t="s">
        <v>2600</v>
      </c>
      <c r="F1096" s="6">
        <v>36563</v>
      </c>
      <c r="G1096" s="6" t="s">
        <v>2612</v>
      </c>
      <c r="H1096" s="6" t="s">
        <v>2616</v>
      </c>
      <c r="I1096" s="6" t="s">
        <v>2716</v>
      </c>
      <c r="J1096" s="6" t="s">
        <v>3305</v>
      </c>
      <c r="K1096" s="6">
        <v>18</v>
      </c>
    </row>
    <row r="1097" spans="1:11" x14ac:dyDescent="0.3">
      <c r="A1097" s="6" t="s">
        <v>1104</v>
      </c>
      <c r="B1097" s="6" t="s">
        <v>2396</v>
      </c>
      <c r="C1097" s="7">
        <v>34453</v>
      </c>
      <c r="D1097" s="8">
        <v>34264</v>
      </c>
      <c r="E1097" s="6" t="s">
        <v>2601</v>
      </c>
      <c r="F1097" s="6">
        <v>113420</v>
      </c>
      <c r="G1097" s="6" t="s">
        <v>2609</v>
      </c>
      <c r="H1097" s="6" t="s">
        <v>2617</v>
      </c>
      <c r="I1097" s="6" t="s">
        <v>3257</v>
      </c>
      <c r="J1097" s="6" t="s">
        <v>3308</v>
      </c>
      <c r="K1097" s="6">
        <v>32</v>
      </c>
    </row>
    <row r="1098" spans="1:11" x14ac:dyDescent="0.3">
      <c r="A1098" s="6" t="s">
        <v>1105</v>
      </c>
      <c r="B1098" s="6" t="s">
        <v>2397</v>
      </c>
      <c r="C1098" s="7">
        <v>21898</v>
      </c>
      <c r="D1098" s="8">
        <v>26471</v>
      </c>
      <c r="E1098" s="6" t="s">
        <v>2600</v>
      </c>
      <c r="F1098" s="6">
        <v>110126</v>
      </c>
      <c r="G1098" s="6" t="s">
        <v>2609</v>
      </c>
      <c r="H1098" s="6" t="s">
        <v>2616</v>
      </c>
      <c r="I1098" s="6" t="s">
        <v>3258</v>
      </c>
      <c r="J1098" s="6" t="s">
        <v>3305</v>
      </c>
      <c r="K1098" s="6">
        <v>53</v>
      </c>
    </row>
    <row r="1099" spans="1:11" x14ac:dyDescent="0.3">
      <c r="A1099" s="6" t="s">
        <v>1106</v>
      </c>
      <c r="B1099" s="6" t="s">
        <v>2398</v>
      </c>
      <c r="C1099" s="7">
        <v>28147</v>
      </c>
      <c r="D1099" s="8">
        <v>40107</v>
      </c>
      <c r="E1099" s="6" t="s">
        <v>2600</v>
      </c>
      <c r="F1099" s="6">
        <v>85929</v>
      </c>
      <c r="G1099" s="6" t="s">
        <v>2608</v>
      </c>
      <c r="H1099" s="6" t="s">
        <v>2616</v>
      </c>
      <c r="I1099" s="6" t="s">
        <v>2721</v>
      </c>
      <c r="J1099" s="6" t="s">
        <v>3306</v>
      </c>
      <c r="K1099" s="6">
        <v>16</v>
      </c>
    </row>
    <row r="1100" spans="1:11" x14ac:dyDescent="0.3">
      <c r="A1100" s="6" t="s">
        <v>1107</v>
      </c>
      <c r="B1100" s="6" t="s">
        <v>2399</v>
      </c>
      <c r="C1100" s="7">
        <v>30122</v>
      </c>
      <c r="D1100" s="8">
        <v>26536</v>
      </c>
      <c r="E1100" s="6" t="s">
        <v>2605</v>
      </c>
      <c r="F1100" s="6">
        <v>24886</v>
      </c>
      <c r="G1100" s="6" t="s">
        <v>2612</v>
      </c>
      <c r="H1100" s="6" t="s">
        <v>2616</v>
      </c>
      <c r="I1100" s="6" t="s">
        <v>3259</v>
      </c>
      <c r="J1100" s="6" t="s">
        <v>3305</v>
      </c>
      <c r="K1100" s="6">
        <v>53</v>
      </c>
    </row>
    <row r="1101" spans="1:11" x14ac:dyDescent="0.3">
      <c r="A1101" s="6" t="s">
        <v>1108</v>
      </c>
      <c r="B1101" s="6" t="s">
        <v>2400</v>
      </c>
      <c r="C1101" s="7">
        <v>28308</v>
      </c>
      <c r="D1101" s="8">
        <v>31224</v>
      </c>
      <c r="E1101" s="6" t="s">
        <v>2603</v>
      </c>
      <c r="F1101" s="6">
        <v>82379</v>
      </c>
      <c r="G1101" s="6" t="s">
        <v>2610</v>
      </c>
      <c r="H1101" s="6" t="s">
        <v>2616</v>
      </c>
      <c r="I1101" s="6" t="s">
        <v>3260</v>
      </c>
      <c r="J1101" s="6" t="s">
        <v>3310</v>
      </c>
      <c r="K1101" s="6">
        <v>40</v>
      </c>
    </row>
    <row r="1102" spans="1:11" x14ac:dyDescent="0.3">
      <c r="A1102" s="6" t="s">
        <v>1109</v>
      </c>
      <c r="B1102" s="6" t="s">
        <v>2401</v>
      </c>
      <c r="C1102" s="7">
        <v>22872</v>
      </c>
      <c r="D1102" s="8">
        <v>36778</v>
      </c>
      <c r="E1102" s="6" t="s">
        <v>2605</v>
      </c>
      <c r="F1102" s="6">
        <v>76515</v>
      </c>
      <c r="G1102" s="6" t="s">
        <v>2610</v>
      </c>
      <c r="H1102" s="6" t="s">
        <v>2617</v>
      </c>
      <c r="I1102" s="6" t="s">
        <v>2638</v>
      </c>
      <c r="J1102" s="6" t="s">
        <v>3305</v>
      </c>
      <c r="K1102" s="6">
        <v>25</v>
      </c>
    </row>
    <row r="1103" spans="1:11" x14ac:dyDescent="0.3">
      <c r="A1103" s="6" t="s">
        <v>1110</v>
      </c>
      <c r="B1103" s="6" t="s">
        <v>2402</v>
      </c>
      <c r="C1103" s="7">
        <v>35146</v>
      </c>
      <c r="D1103" s="8">
        <v>39874</v>
      </c>
      <c r="E1103" s="6" t="s">
        <v>2603</v>
      </c>
      <c r="F1103" s="6">
        <v>27631</v>
      </c>
      <c r="G1103" s="6" t="s">
        <v>2611</v>
      </c>
      <c r="H1103" s="6" t="s">
        <v>2616</v>
      </c>
      <c r="I1103" s="6" t="s">
        <v>3261</v>
      </c>
      <c r="J1103" s="6" t="s">
        <v>3307</v>
      </c>
      <c r="K1103" s="6">
        <v>16</v>
      </c>
    </row>
    <row r="1104" spans="1:11" x14ac:dyDescent="0.3">
      <c r="A1104" s="6" t="s">
        <v>1111</v>
      </c>
      <c r="B1104" s="6" t="s">
        <v>2403</v>
      </c>
      <c r="C1104" s="7">
        <v>31459</v>
      </c>
      <c r="D1104" s="8">
        <v>34949</v>
      </c>
      <c r="E1104" s="6" t="s">
        <v>2599</v>
      </c>
      <c r="F1104" s="6">
        <v>155045</v>
      </c>
      <c r="G1104" s="6" t="s">
        <v>2610</v>
      </c>
      <c r="H1104" s="6" t="s">
        <v>2616</v>
      </c>
      <c r="I1104" s="6" t="s">
        <v>3262</v>
      </c>
      <c r="J1104" s="6" t="s">
        <v>3305</v>
      </c>
      <c r="K1104" s="6">
        <v>30</v>
      </c>
    </row>
    <row r="1105" spans="1:11" x14ac:dyDescent="0.3">
      <c r="A1105" s="6" t="s">
        <v>1112</v>
      </c>
      <c r="B1105" s="6" t="s">
        <v>2404</v>
      </c>
      <c r="C1105" s="7">
        <v>27873</v>
      </c>
      <c r="D1105" s="8">
        <v>42045</v>
      </c>
      <c r="E1105" s="6" t="s">
        <v>2601</v>
      </c>
      <c r="F1105" s="6">
        <v>118621</v>
      </c>
      <c r="G1105" s="6" t="s">
        <v>2613</v>
      </c>
      <c r="H1105" s="6" t="s">
        <v>2616</v>
      </c>
      <c r="I1105" s="6" t="s">
        <v>2689</v>
      </c>
      <c r="J1105" s="6" t="s">
        <v>3306</v>
      </c>
      <c r="K1105" s="6">
        <v>10</v>
      </c>
    </row>
    <row r="1106" spans="1:11" x14ac:dyDescent="0.3">
      <c r="A1106" s="6" t="s">
        <v>1113</v>
      </c>
      <c r="B1106" s="6" t="s">
        <v>2405</v>
      </c>
      <c r="C1106" s="7">
        <v>32371</v>
      </c>
      <c r="D1106" s="8">
        <v>33758</v>
      </c>
      <c r="E1106" s="6" t="s">
        <v>2600</v>
      </c>
      <c r="F1106" s="6">
        <v>120149</v>
      </c>
      <c r="G1106" s="6" t="s">
        <v>2611</v>
      </c>
      <c r="H1106" s="6" t="s">
        <v>2616</v>
      </c>
      <c r="I1106" s="6" t="s">
        <v>2935</v>
      </c>
      <c r="J1106" s="6" t="s">
        <v>3307</v>
      </c>
      <c r="K1106" s="6">
        <v>33</v>
      </c>
    </row>
    <row r="1107" spans="1:11" x14ac:dyDescent="0.3">
      <c r="A1107" s="6" t="s">
        <v>1114</v>
      </c>
      <c r="B1107" s="6" t="s">
        <v>2406</v>
      </c>
      <c r="C1107" s="7">
        <v>32653</v>
      </c>
      <c r="D1107" s="8">
        <v>27351</v>
      </c>
      <c r="E1107" s="6" t="s">
        <v>2603</v>
      </c>
      <c r="F1107" s="6">
        <v>106253</v>
      </c>
      <c r="G1107" s="6" t="s">
        <v>2614</v>
      </c>
      <c r="H1107" s="6" t="s">
        <v>2616</v>
      </c>
      <c r="I1107" s="6" t="s">
        <v>3153</v>
      </c>
      <c r="J1107" s="6" t="s">
        <v>3310</v>
      </c>
      <c r="K1107" s="6">
        <v>51</v>
      </c>
    </row>
    <row r="1108" spans="1:11" x14ac:dyDescent="0.3">
      <c r="A1108" s="6" t="s">
        <v>1115</v>
      </c>
      <c r="B1108" s="6" t="s">
        <v>2407</v>
      </c>
      <c r="C1108" s="7">
        <v>23622</v>
      </c>
      <c r="D1108" s="8">
        <v>27403</v>
      </c>
      <c r="E1108" s="6" t="s">
        <v>2605</v>
      </c>
      <c r="F1108" s="6">
        <v>87922</v>
      </c>
      <c r="G1108" s="6" t="s">
        <v>2611</v>
      </c>
      <c r="H1108" s="6" t="s">
        <v>2617</v>
      </c>
      <c r="I1108" s="6" t="s">
        <v>3263</v>
      </c>
      <c r="J1108" s="6" t="s">
        <v>3310</v>
      </c>
      <c r="K1108" s="6">
        <v>50</v>
      </c>
    </row>
    <row r="1109" spans="1:11" x14ac:dyDescent="0.3">
      <c r="A1109" s="6" t="s">
        <v>1116</v>
      </c>
      <c r="B1109" s="6" t="s">
        <v>2408</v>
      </c>
      <c r="C1109" s="7">
        <v>23051</v>
      </c>
      <c r="D1109" s="8">
        <v>32745</v>
      </c>
      <c r="E1109" s="6" t="s">
        <v>2599</v>
      </c>
      <c r="F1109" s="6">
        <v>67188</v>
      </c>
      <c r="G1109" s="6" t="s">
        <v>2613</v>
      </c>
      <c r="H1109" s="6" t="s">
        <v>2617</v>
      </c>
      <c r="I1109" s="6" t="s">
        <v>3193</v>
      </c>
      <c r="J1109" s="6" t="s">
        <v>3307</v>
      </c>
      <c r="K1109" s="6">
        <v>36</v>
      </c>
    </row>
    <row r="1110" spans="1:11" x14ac:dyDescent="0.3">
      <c r="A1110" s="6" t="s">
        <v>1117</v>
      </c>
      <c r="B1110" s="6" t="s">
        <v>2409</v>
      </c>
      <c r="C1110" s="7">
        <v>31602</v>
      </c>
      <c r="D1110" s="8">
        <v>42691</v>
      </c>
      <c r="E1110" s="6" t="s">
        <v>2603</v>
      </c>
      <c r="F1110" s="6">
        <v>81184</v>
      </c>
      <c r="G1110" s="6" t="s">
        <v>2613</v>
      </c>
      <c r="H1110" s="6" t="s">
        <v>2616</v>
      </c>
      <c r="I1110" s="6" t="s">
        <v>2667</v>
      </c>
      <c r="J1110" s="6" t="s">
        <v>3304</v>
      </c>
      <c r="K1110" s="6">
        <v>9</v>
      </c>
    </row>
    <row r="1111" spans="1:11" x14ac:dyDescent="0.3">
      <c r="A1111" s="6" t="s">
        <v>1118</v>
      </c>
      <c r="B1111" s="6" t="s">
        <v>2410</v>
      </c>
      <c r="C1111" s="7">
        <v>28982</v>
      </c>
      <c r="D1111" s="8">
        <v>26581</v>
      </c>
      <c r="E1111" s="6" t="s">
        <v>2601</v>
      </c>
      <c r="F1111" s="6">
        <v>80279</v>
      </c>
      <c r="G1111" s="6" t="s">
        <v>2611</v>
      </c>
      <c r="H1111" s="6" t="s">
        <v>2617</v>
      </c>
      <c r="I1111" s="6" t="s">
        <v>2931</v>
      </c>
      <c r="J1111" s="6" t="s">
        <v>3305</v>
      </c>
      <c r="K1111" s="6">
        <v>53</v>
      </c>
    </row>
    <row r="1112" spans="1:11" x14ac:dyDescent="0.3">
      <c r="A1112" s="6" t="s">
        <v>1119</v>
      </c>
      <c r="B1112" s="6" t="s">
        <v>2411</v>
      </c>
      <c r="C1112" s="7">
        <v>35270</v>
      </c>
      <c r="D1112" s="8">
        <v>30661</v>
      </c>
      <c r="E1112" s="6" t="s">
        <v>2600</v>
      </c>
      <c r="F1112" s="6">
        <v>119139</v>
      </c>
      <c r="G1112" s="6" t="s">
        <v>2611</v>
      </c>
      <c r="H1112" s="6" t="s">
        <v>2617</v>
      </c>
      <c r="I1112" s="6" t="s">
        <v>2889</v>
      </c>
      <c r="J1112" s="6" t="s">
        <v>3307</v>
      </c>
      <c r="K1112" s="6">
        <v>42</v>
      </c>
    </row>
    <row r="1113" spans="1:11" x14ac:dyDescent="0.3">
      <c r="A1113" s="6" t="s">
        <v>1120</v>
      </c>
      <c r="B1113" s="6" t="s">
        <v>2412</v>
      </c>
      <c r="C1113" s="7">
        <v>27542</v>
      </c>
      <c r="D1113" s="8">
        <v>29482</v>
      </c>
      <c r="E1113" s="6" t="s">
        <v>2605</v>
      </c>
      <c r="F1113" s="6">
        <v>139590</v>
      </c>
      <c r="G1113" s="6" t="s">
        <v>2608</v>
      </c>
      <c r="H1113" s="6" t="s">
        <v>2616</v>
      </c>
      <c r="I1113" s="6" t="s">
        <v>2751</v>
      </c>
      <c r="J1113" s="6" t="s">
        <v>3306</v>
      </c>
      <c r="K1113" s="6">
        <v>45</v>
      </c>
    </row>
    <row r="1114" spans="1:11" x14ac:dyDescent="0.3">
      <c r="A1114" s="6" t="s">
        <v>1121</v>
      </c>
      <c r="B1114" s="6" t="s">
        <v>2413</v>
      </c>
      <c r="C1114" s="7">
        <v>27349</v>
      </c>
      <c r="D1114" s="8">
        <v>44163</v>
      </c>
      <c r="E1114" s="6" t="s">
        <v>2601</v>
      </c>
      <c r="F1114" s="6">
        <v>24941</v>
      </c>
      <c r="G1114" s="6" t="s">
        <v>2606</v>
      </c>
      <c r="H1114" s="6" t="s">
        <v>2617</v>
      </c>
      <c r="I1114" s="6" t="s">
        <v>2861</v>
      </c>
      <c r="J1114" s="6" t="s">
        <v>3305</v>
      </c>
      <c r="K1114" s="6">
        <v>5</v>
      </c>
    </row>
    <row r="1115" spans="1:11" x14ac:dyDescent="0.3">
      <c r="A1115" s="6" t="s">
        <v>1122</v>
      </c>
      <c r="B1115" s="6" t="s">
        <v>2414</v>
      </c>
      <c r="C1115" s="7">
        <v>23381</v>
      </c>
      <c r="D1115" s="8">
        <v>42943</v>
      </c>
      <c r="E1115" s="6" t="s">
        <v>2600</v>
      </c>
      <c r="F1115" s="6">
        <v>199151</v>
      </c>
      <c r="G1115" s="6" t="s">
        <v>2613</v>
      </c>
      <c r="H1115" s="6" t="s">
        <v>2617</v>
      </c>
      <c r="I1115" s="6" t="s">
        <v>3264</v>
      </c>
      <c r="J1115" s="6" t="s">
        <v>3310</v>
      </c>
      <c r="K1115" s="6">
        <v>8</v>
      </c>
    </row>
    <row r="1116" spans="1:11" x14ac:dyDescent="0.3">
      <c r="A1116" s="6" t="s">
        <v>1123</v>
      </c>
      <c r="B1116" s="6" t="s">
        <v>2415</v>
      </c>
      <c r="C1116" s="7">
        <v>28460</v>
      </c>
      <c r="D1116" s="8">
        <v>43235</v>
      </c>
      <c r="E1116" s="6" t="s">
        <v>2600</v>
      </c>
      <c r="F1116" s="6">
        <v>160880</v>
      </c>
      <c r="G1116" s="6" t="s">
        <v>2610</v>
      </c>
      <c r="H1116" s="6" t="s">
        <v>2616</v>
      </c>
      <c r="I1116" s="6" t="s">
        <v>2666</v>
      </c>
      <c r="J1116" s="6" t="s">
        <v>3310</v>
      </c>
      <c r="K1116" s="6">
        <v>7</v>
      </c>
    </row>
    <row r="1117" spans="1:11" x14ac:dyDescent="0.3">
      <c r="A1117" s="6" t="s">
        <v>1124</v>
      </c>
      <c r="B1117" s="6" t="s">
        <v>2416</v>
      </c>
      <c r="C1117" s="7">
        <v>23842</v>
      </c>
      <c r="D1117" s="8">
        <v>26300</v>
      </c>
      <c r="E1117" s="6" t="s">
        <v>2603</v>
      </c>
      <c r="F1117" s="6">
        <v>58775</v>
      </c>
      <c r="G1117" s="6" t="s">
        <v>2610</v>
      </c>
      <c r="H1117" s="6" t="s">
        <v>2616</v>
      </c>
      <c r="I1117" s="6" t="s">
        <v>3133</v>
      </c>
      <c r="J1117" s="6" t="s">
        <v>3306</v>
      </c>
      <c r="K1117" s="6">
        <v>53</v>
      </c>
    </row>
    <row r="1118" spans="1:11" x14ac:dyDescent="0.3">
      <c r="A1118" s="6" t="s">
        <v>1125</v>
      </c>
      <c r="B1118" s="6" t="s">
        <v>2417</v>
      </c>
      <c r="C1118" s="7">
        <v>22297</v>
      </c>
      <c r="D1118" s="8">
        <v>33574</v>
      </c>
      <c r="E1118" s="6" t="s">
        <v>2604</v>
      </c>
      <c r="F1118" s="6">
        <v>161400</v>
      </c>
      <c r="G1118" s="6" t="s">
        <v>2612</v>
      </c>
      <c r="H1118" s="6" t="s">
        <v>2617</v>
      </c>
      <c r="I1118" s="6" t="s">
        <v>3185</v>
      </c>
      <c r="J1118" s="6" t="s">
        <v>3308</v>
      </c>
      <c r="K1118" s="6">
        <v>34</v>
      </c>
    </row>
    <row r="1119" spans="1:11" x14ac:dyDescent="0.3">
      <c r="A1119" s="6" t="s">
        <v>1126</v>
      </c>
      <c r="B1119" s="6" t="s">
        <v>2418</v>
      </c>
      <c r="C1119" s="7">
        <v>28998</v>
      </c>
      <c r="D1119" s="8">
        <v>39337</v>
      </c>
      <c r="E1119" s="6" t="s">
        <v>2599</v>
      </c>
      <c r="F1119" s="6">
        <v>162914</v>
      </c>
      <c r="G1119" s="6" t="s">
        <v>2608</v>
      </c>
      <c r="H1119" s="6" t="s">
        <v>2616</v>
      </c>
      <c r="I1119" s="6" t="s">
        <v>3189</v>
      </c>
      <c r="J1119" s="6" t="s">
        <v>3310</v>
      </c>
      <c r="K1119" s="6">
        <v>18</v>
      </c>
    </row>
    <row r="1120" spans="1:11" x14ac:dyDescent="0.3">
      <c r="A1120" s="6" t="s">
        <v>1127</v>
      </c>
      <c r="B1120" s="6" t="s">
        <v>2419</v>
      </c>
      <c r="C1120" s="7">
        <v>30909</v>
      </c>
      <c r="D1120" s="8">
        <v>38057</v>
      </c>
      <c r="E1120" s="6" t="s">
        <v>2600</v>
      </c>
      <c r="F1120" s="6">
        <v>170261</v>
      </c>
      <c r="G1120" s="6" t="s">
        <v>2609</v>
      </c>
      <c r="H1120" s="6" t="s">
        <v>2616</v>
      </c>
      <c r="I1120" s="6" t="s">
        <v>3265</v>
      </c>
      <c r="J1120" s="6" t="s">
        <v>3310</v>
      </c>
      <c r="K1120" s="6">
        <v>21</v>
      </c>
    </row>
    <row r="1121" spans="1:11" x14ac:dyDescent="0.3">
      <c r="A1121" s="6" t="s">
        <v>1128</v>
      </c>
      <c r="B1121" s="6" t="s">
        <v>2420</v>
      </c>
      <c r="C1121" s="7">
        <v>30433</v>
      </c>
      <c r="D1121" s="8">
        <v>27151</v>
      </c>
      <c r="E1121" s="6" t="s">
        <v>2603</v>
      </c>
      <c r="F1121" s="6">
        <v>151922</v>
      </c>
      <c r="G1121" s="6" t="s">
        <v>2614</v>
      </c>
      <c r="H1121" s="6" t="s">
        <v>2616</v>
      </c>
      <c r="I1121" s="6" t="s">
        <v>2826</v>
      </c>
      <c r="J1121" s="6" t="s">
        <v>3309</v>
      </c>
      <c r="K1121" s="6">
        <v>51</v>
      </c>
    </row>
    <row r="1122" spans="1:11" x14ac:dyDescent="0.3">
      <c r="A1122" s="6" t="s">
        <v>1129</v>
      </c>
      <c r="B1122" s="6" t="s">
        <v>2421</v>
      </c>
      <c r="C1122" s="7">
        <v>35282</v>
      </c>
      <c r="D1122" s="8">
        <v>29249</v>
      </c>
      <c r="E1122" s="6" t="s">
        <v>2603</v>
      </c>
      <c r="F1122" s="6">
        <v>77266</v>
      </c>
      <c r="G1122" s="6" t="s">
        <v>2610</v>
      </c>
      <c r="H1122" s="6" t="s">
        <v>2617</v>
      </c>
      <c r="I1122" s="6" t="s">
        <v>2983</v>
      </c>
      <c r="J1122" s="6" t="s">
        <v>3307</v>
      </c>
      <c r="K1122" s="6">
        <v>45</v>
      </c>
    </row>
    <row r="1123" spans="1:11" x14ac:dyDescent="0.3">
      <c r="A1123" s="6" t="s">
        <v>1130</v>
      </c>
      <c r="B1123" s="6" t="s">
        <v>2422</v>
      </c>
      <c r="C1123" s="7">
        <v>23285</v>
      </c>
      <c r="D1123" s="8">
        <v>27120</v>
      </c>
      <c r="E1123" s="6" t="s">
        <v>2600</v>
      </c>
      <c r="F1123" s="6">
        <v>93385</v>
      </c>
      <c r="G1123" s="6" t="s">
        <v>2606</v>
      </c>
      <c r="H1123" s="6" t="s">
        <v>2616</v>
      </c>
      <c r="I1123" s="6" t="s">
        <v>3266</v>
      </c>
      <c r="J1123" s="6" t="s">
        <v>3306</v>
      </c>
      <c r="K1123" s="6">
        <v>51</v>
      </c>
    </row>
    <row r="1124" spans="1:11" x14ac:dyDescent="0.3">
      <c r="A1124" s="6" t="s">
        <v>1131</v>
      </c>
      <c r="B1124" s="6" t="s">
        <v>2423</v>
      </c>
      <c r="C1124" s="7">
        <v>26975</v>
      </c>
      <c r="D1124" s="8">
        <v>33757</v>
      </c>
      <c r="E1124" s="6" t="s">
        <v>2604</v>
      </c>
      <c r="F1124" s="6">
        <v>83978</v>
      </c>
      <c r="G1124" s="6" t="s">
        <v>2608</v>
      </c>
      <c r="H1124" s="6" t="s">
        <v>2616</v>
      </c>
      <c r="I1124" s="6" t="s">
        <v>2789</v>
      </c>
      <c r="J1124" s="6" t="s">
        <v>3307</v>
      </c>
      <c r="K1124" s="6">
        <v>33</v>
      </c>
    </row>
    <row r="1125" spans="1:11" x14ac:dyDescent="0.3">
      <c r="A1125" s="6" t="s">
        <v>1132</v>
      </c>
      <c r="B1125" s="6" t="s">
        <v>2424</v>
      </c>
      <c r="C1125" s="7">
        <v>32440</v>
      </c>
      <c r="D1125" s="8">
        <v>41449</v>
      </c>
      <c r="E1125" s="6" t="s">
        <v>2600</v>
      </c>
      <c r="F1125" s="6">
        <v>49068</v>
      </c>
      <c r="G1125" s="6" t="s">
        <v>2613</v>
      </c>
      <c r="H1125" s="6" t="s">
        <v>2617</v>
      </c>
      <c r="I1125" s="6" t="s">
        <v>2789</v>
      </c>
      <c r="J1125" s="6" t="s">
        <v>3308</v>
      </c>
      <c r="K1125" s="6">
        <v>12</v>
      </c>
    </row>
    <row r="1126" spans="1:11" x14ac:dyDescent="0.3">
      <c r="A1126" s="6" t="s">
        <v>1133</v>
      </c>
      <c r="B1126" s="6" t="s">
        <v>2425</v>
      </c>
      <c r="C1126" s="7">
        <v>35687</v>
      </c>
      <c r="D1126" s="8">
        <v>32018</v>
      </c>
      <c r="E1126" s="6" t="s">
        <v>2602</v>
      </c>
      <c r="F1126" s="6">
        <v>110974</v>
      </c>
      <c r="G1126" s="6" t="s">
        <v>2611</v>
      </c>
      <c r="H1126" s="6" t="s">
        <v>2617</v>
      </c>
      <c r="I1126" s="6" t="s">
        <v>3070</v>
      </c>
      <c r="J1126" s="6" t="s">
        <v>3309</v>
      </c>
      <c r="K1126" s="6">
        <v>38</v>
      </c>
    </row>
    <row r="1127" spans="1:11" x14ac:dyDescent="0.3">
      <c r="A1127" s="6" t="s">
        <v>1134</v>
      </c>
      <c r="B1127" s="6" t="s">
        <v>2426</v>
      </c>
      <c r="C1127" s="7">
        <v>30560</v>
      </c>
      <c r="D1127" s="8">
        <v>38358</v>
      </c>
      <c r="E1127" s="6" t="s">
        <v>2600</v>
      </c>
      <c r="F1127" s="6">
        <v>157159</v>
      </c>
      <c r="G1127" s="6" t="s">
        <v>2613</v>
      </c>
      <c r="H1127" s="6" t="s">
        <v>2617</v>
      </c>
      <c r="I1127" s="6" t="s">
        <v>3089</v>
      </c>
      <c r="J1127" s="6" t="s">
        <v>3309</v>
      </c>
      <c r="K1127" s="6">
        <v>20</v>
      </c>
    </row>
    <row r="1128" spans="1:11" x14ac:dyDescent="0.3">
      <c r="A1128" s="6" t="s">
        <v>1135</v>
      </c>
      <c r="B1128" s="6" t="s">
        <v>2427</v>
      </c>
      <c r="C1128" s="7">
        <v>34015</v>
      </c>
      <c r="D1128" s="8">
        <v>28324</v>
      </c>
      <c r="E1128" s="6" t="s">
        <v>2605</v>
      </c>
      <c r="F1128" s="6">
        <v>139935</v>
      </c>
      <c r="G1128" s="6" t="s">
        <v>2611</v>
      </c>
      <c r="H1128" s="6" t="s">
        <v>2616</v>
      </c>
      <c r="I1128" s="6" t="s">
        <v>3007</v>
      </c>
      <c r="J1128" s="6" t="s">
        <v>3305</v>
      </c>
      <c r="K1128" s="6">
        <v>48</v>
      </c>
    </row>
    <row r="1129" spans="1:11" x14ac:dyDescent="0.3">
      <c r="A1129" s="6" t="s">
        <v>1136</v>
      </c>
      <c r="B1129" s="6" t="s">
        <v>2428</v>
      </c>
      <c r="C1129" s="7">
        <v>23297</v>
      </c>
      <c r="D1129" s="8">
        <v>31978</v>
      </c>
      <c r="E1129" s="6" t="s">
        <v>2602</v>
      </c>
      <c r="F1129" s="6">
        <v>77362</v>
      </c>
      <c r="G1129" s="6" t="s">
        <v>2614</v>
      </c>
      <c r="H1129" s="6" t="s">
        <v>2617</v>
      </c>
      <c r="I1129" s="6" t="s">
        <v>3211</v>
      </c>
      <c r="J1129" s="6" t="s">
        <v>3310</v>
      </c>
      <c r="K1129" s="6">
        <v>38</v>
      </c>
    </row>
    <row r="1130" spans="1:11" x14ac:dyDescent="0.3">
      <c r="A1130" s="6" t="s">
        <v>1137</v>
      </c>
      <c r="B1130" s="6" t="s">
        <v>2429</v>
      </c>
      <c r="C1130" s="7">
        <v>26685</v>
      </c>
      <c r="D1130" s="8">
        <v>34496</v>
      </c>
      <c r="E1130" s="6" t="s">
        <v>2601</v>
      </c>
      <c r="F1130" s="6">
        <v>178455</v>
      </c>
      <c r="G1130" s="6" t="s">
        <v>2607</v>
      </c>
      <c r="H1130" s="6" t="s">
        <v>2616</v>
      </c>
      <c r="I1130" s="6" t="s">
        <v>3008</v>
      </c>
      <c r="J1130" s="6" t="s">
        <v>3308</v>
      </c>
      <c r="K1130" s="6">
        <v>31</v>
      </c>
    </row>
    <row r="1131" spans="1:11" x14ac:dyDescent="0.3">
      <c r="A1131" s="6" t="s">
        <v>1138</v>
      </c>
      <c r="B1131" s="6" t="s">
        <v>2430</v>
      </c>
      <c r="C1131" s="7">
        <v>27443</v>
      </c>
      <c r="D1131" s="8">
        <v>44438</v>
      </c>
      <c r="E1131" s="6" t="s">
        <v>2601</v>
      </c>
      <c r="F1131" s="6">
        <v>34387</v>
      </c>
      <c r="G1131" s="6" t="s">
        <v>2608</v>
      </c>
      <c r="H1131" s="6" t="s">
        <v>2617</v>
      </c>
      <c r="I1131" s="6" t="s">
        <v>2923</v>
      </c>
      <c r="J1131" s="6" t="s">
        <v>3307</v>
      </c>
      <c r="K1131" s="6">
        <v>4</v>
      </c>
    </row>
    <row r="1132" spans="1:11" x14ac:dyDescent="0.3">
      <c r="A1132" s="6" t="s">
        <v>1139</v>
      </c>
      <c r="B1132" s="6" t="s">
        <v>2431</v>
      </c>
      <c r="C1132" s="7">
        <v>27466</v>
      </c>
      <c r="D1132" s="8">
        <v>30406</v>
      </c>
      <c r="E1132" s="6" t="s">
        <v>2604</v>
      </c>
      <c r="F1132" s="6">
        <v>112007</v>
      </c>
      <c r="G1132" s="6" t="s">
        <v>2609</v>
      </c>
      <c r="H1132" s="6" t="s">
        <v>2617</v>
      </c>
      <c r="I1132" s="6" t="s">
        <v>3267</v>
      </c>
      <c r="J1132" s="6" t="s">
        <v>3304</v>
      </c>
      <c r="K1132" s="6">
        <v>42</v>
      </c>
    </row>
    <row r="1133" spans="1:11" x14ac:dyDescent="0.3">
      <c r="A1133" s="6" t="s">
        <v>1140</v>
      </c>
      <c r="B1133" s="6" t="s">
        <v>2432</v>
      </c>
      <c r="C1133" s="7">
        <v>33272</v>
      </c>
      <c r="D1133" s="8">
        <v>42624</v>
      </c>
      <c r="E1133" s="6" t="s">
        <v>2604</v>
      </c>
      <c r="F1133" s="6">
        <v>140378</v>
      </c>
      <c r="G1133" s="6" t="s">
        <v>2610</v>
      </c>
      <c r="H1133" s="6" t="s">
        <v>2616</v>
      </c>
      <c r="I1133" s="6" t="s">
        <v>2970</v>
      </c>
      <c r="J1133" s="6" t="s">
        <v>3307</v>
      </c>
      <c r="K1133" s="6">
        <v>9</v>
      </c>
    </row>
    <row r="1134" spans="1:11" x14ac:dyDescent="0.3">
      <c r="A1134" s="6" t="s">
        <v>1141</v>
      </c>
      <c r="B1134" s="6" t="s">
        <v>2433</v>
      </c>
      <c r="C1134" s="7">
        <v>31285</v>
      </c>
      <c r="D1134" s="8">
        <v>29380</v>
      </c>
      <c r="E1134" s="6" t="s">
        <v>2604</v>
      </c>
      <c r="F1134" s="6">
        <v>126509</v>
      </c>
      <c r="G1134" s="6" t="s">
        <v>2615</v>
      </c>
      <c r="H1134" s="6" t="s">
        <v>2616</v>
      </c>
      <c r="I1134" s="6" t="s">
        <v>2656</v>
      </c>
      <c r="J1134" s="6" t="s">
        <v>3306</v>
      </c>
      <c r="K1134" s="6">
        <v>45</v>
      </c>
    </row>
    <row r="1135" spans="1:11" x14ac:dyDescent="0.3">
      <c r="A1135" s="6" t="s">
        <v>1142</v>
      </c>
      <c r="B1135" s="6" t="s">
        <v>2434</v>
      </c>
      <c r="C1135" s="7">
        <v>22690</v>
      </c>
      <c r="D1135" s="8">
        <v>36219</v>
      </c>
      <c r="E1135" s="6" t="s">
        <v>2605</v>
      </c>
      <c r="F1135" s="6">
        <v>154195</v>
      </c>
      <c r="G1135" s="6" t="s">
        <v>2609</v>
      </c>
      <c r="H1135" s="6" t="s">
        <v>2616</v>
      </c>
      <c r="I1135" s="6" t="s">
        <v>2665</v>
      </c>
      <c r="J1135" s="6" t="s">
        <v>3307</v>
      </c>
      <c r="K1135" s="6">
        <v>26</v>
      </c>
    </row>
    <row r="1136" spans="1:11" x14ac:dyDescent="0.3">
      <c r="A1136" s="6" t="s">
        <v>1143</v>
      </c>
      <c r="B1136" s="6" t="s">
        <v>2435</v>
      </c>
      <c r="C1136" s="7">
        <v>25557</v>
      </c>
      <c r="D1136" s="8">
        <v>42192</v>
      </c>
      <c r="E1136" s="6" t="s">
        <v>2602</v>
      </c>
      <c r="F1136" s="6">
        <v>190339</v>
      </c>
      <c r="G1136" s="6" t="s">
        <v>2607</v>
      </c>
      <c r="H1136" s="6" t="s">
        <v>2616</v>
      </c>
      <c r="I1136" s="6" t="s">
        <v>3141</v>
      </c>
      <c r="J1136" s="6" t="s">
        <v>3308</v>
      </c>
      <c r="K1136" s="6">
        <v>10</v>
      </c>
    </row>
    <row r="1137" spans="1:11" x14ac:dyDescent="0.3">
      <c r="A1137" s="6" t="s">
        <v>1144</v>
      </c>
      <c r="B1137" s="6" t="s">
        <v>2436</v>
      </c>
      <c r="C1137" s="7">
        <v>29638</v>
      </c>
      <c r="D1137" s="8">
        <v>34660</v>
      </c>
      <c r="E1137" s="6" t="s">
        <v>2599</v>
      </c>
      <c r="F1137" s="6">
        <v>73588</v>
      </c>
      <c r="G1137" s="6" t="s">
        <v>2614</v>
      </c>
      <c r="H1137" s="6" t="s">
        <v>2616</v>
      </c>
      <c r="I1137" s="6" t="s">
        <v>3268</v>
      </c>
      <c r="J1137" s="6" t="s">
        <v>3304</v>
      </c>
      <c r="K1137" s="6">
        <v>31</v>
      </c>
    </row>
    <row r="1138" spans="1:11" x14ac:dyDescent="0.3">
      <c r="A1138" s="6" t="s">
        <v>1145</v>
      </c>
      <c r="B1138" s="6" t="s">
        <v>2437</v>
      </c>
      <c r="C1138" s="7">
        <v>24667</v>
      </c>
      <c r="D1138" s="8">
        <v>28344</v>
      </c>
      <c r="E1138" s="6" t="s">
        <v>2604</v>
      </c>
      <c r="F1138" s="6">
        <v>60333</v>
      </c>
      <c r="G1138" s="6" t="s">
        <v>2608</v>
      </c>
      <c r="H1138" s="6" t="s">
        <v>2617</v>
      </c>
      <c r="I1138" s="6" t="s">
        <v>2921</v>
      </c>
      <c r="J1138" s="6" t="s">
        <v>3309</v>
      </c>
      <c r="K1138" s="6">
        <v>48</v>
      </c>
    </row>
    <row r="1139" spans="1:11" x14ac:dyDescent="0.3">
      <c r="A1139" s="6" t="s">
        <v>1146</v>
      </c>
      <c r="B1139" s="6" t="s">
        <v>2438</v>
      </c>
      <c r="C1139" s="7">
        <v>32481</v>
      </c>
      <c r="D1139" s="8">
        <v>28251</v>
      </c>
      <c r="E1139" s="6" t="s">
        <v>2602</v>
      </c>
      <c r="F1139" s="6">
        <v>93197</v>
      </c>
      <c r="G1139" s="6" t="s">
        <v>2606</v>
      </c>
      <c r="H1139" s="6" t="s">
        <v>2617</v>
      </c>
      <c r="I1139" s="6" t="s">
        <v>2930</v>
      </c>
      <c r="J1139" s="6" t="s">
        <v>3308</v>
      </c>
      <c r="K1139" s="6">
        <v>48</v>
      </c>
    </row>
    <row r="1140" spans="1:11" x14ac:dyDescent="0.3">
      <c r="A1140" s="6" t="s">
        <v>1147</v>
      </c>
      <c r="B1140" s="6" t="s">
        <v>2439</v>
      </c>
      <c r="C1140" s="7">
        <v>23057</v>
      </c>
      <c r="D1140" s="8">
        <v>35452</v>
      </c>
      <c r="E1140" s="6" t="s">
        <v>2601</v>
      </c>
      <c r="F1140" s="6">
        <v>24315</v>
      </c>
      <c r="G1140" s="6" t="s">
        <v>2611</v>
      </c>
      <c r="H1140" s="6" t="s">
        <v>2617</v>
      </c>
      <c r="I1140" s="6" t="s">
        <v>3269</v>
      </c>
      <c r="J1140" s="6" t="s">
        <v>3304</v>
      </c>
      <c r="K1140" s="6">
        <v>28</v>
      </c>
    </row>
    <row r="1141" spans="1:11" x14ac:dyDescent="0.3">
      <c r="A1141" s="6" t="s">
        <v>1148</v>
      </c>
      <c r="B1141" s="6" t="s">
        <v>2440</v>
      </c>
      <c r="C1141" s="7">
        <v>35544</v>
      </c>
      <c r="D1141" s="8">
        <v>26125</v>
      </c>
      <c r="E1141" s="6" t="s">
        <v>2603</v>
      </c>
      <c r="F1141" s="6">
        <v>142631</v>
      </c>
      <c r="G1141" s="6" t="s">
        <v>2607</v>
      </c>
      <c r="H1141" s="6" t="s">
        <v>2616</v>
      </c>
      <c r="I1141" s="6" t="s">
        <v>2795</v>
      </c>
      <c r="J1141" s="6" t="s">
        <v>3305</v>
      </c>
      <c r="K1141" s="6">
        <v>54</v>
      </c>
    </row>
    <row r="1142" spans="1:11" x14ac:dyDescent="0.3">
      <c r="A1142" s="6" t="s">
        <v>1149</v>
      </c>
      <c r="B1142" s="6" t="s">
        <v>2441</v>
      </c>
      <c r="C1142" s="7">
        <v>25082</v>
      </c>
      <c r="D1142" s="8">
        <v>32732</v>
      </c>
      <c r="E1142" s="6" t="s">
        <v>2603</v>
      </c>
      <c r="F1142" s="6">
        <v>137609</v>
      </c>
      <c r="G1142" s="6" t="s">
        <v>2608</v>
      </c>
      <c r="H1142" s="6" t="s">
        <v>2617</v>
      </c>
      <c r="I1142" s="6" t="s">
        <v>3088</v>
      </c>
      <c r="J1142" s="6" t="s">
        <v>3305</v>
      </c>
      <c r="K1142" s="6">
        <v>36</v>
      </c>
    </row>
    <row r="1143" spans="1:11" x14ac:dyDescent="0.3">
      <c r="A1143" s="6" t="s">
        <v>1150</v>
      </c>
      <c r="B1143" s="6" t="s">
        <v>2442</v>
      </c>
      <c r="C1143" s="7">
        <v>21809</v>
      </c>
      <c r="D1143" s="8">
        <v>42291</v>
      </c>
      <c r="E1143" s="6" t="s">
        <v>2600</v>
      </c>
      <c r="F1143" s="6">
        <v>194559</v>
      </c>
      <c r="G1143" s="6" t="s">
        <v>2613</v>
      </c>
      <c r="H1143" s="6" t="s">
        <v>2616</v>
      </c>
      <c r="I1143" s="6" t="s">
        <v>3270</v>
      </c>
      <c r="J1143" s="6" t="s">
        <v>3310</v>
      </c>
      <c r="K1143" s="6">
        <v>10</v>
      </c>
    </row>
    <row r="1144" spans="1:11" x14ac:dyDescent="0.3">
      <c r="A1144" s="6" t="s">
        <v>1151</v>
      </c>
      <c r="B1144" s="6" t="s">
        <v>2443</v>
      </c>
      <c r="C1144" s="7">
        <v>25327</v>
      </c>
      <c r="D1144" s="8">
        <v>34360</v>
      </c>
      <c r="E1144" s="6" t="s">
        <v>2604</v>
      </c>
      <c r="F1144" s="6">
        <v>70059</v>
      </c>
      <c r="G1144" s="6" t="s">
        <v>2613</v>
      </c>
      <c r="H1144" s="6" t="s">
        <v>2617</v>
      </c>
      <c r="I1144" s="6" t="s">
        <v>2670</v>
      </c>
      <c r="J1144" s="6" t="s">
        <v>3308</v>
      </c>
      <c r="K1144" s="6">
        <v>31</v>
      </c>
    </row>
    <row r="1145" spans="1:11" x14ac:dyDescent="0.3">
      <c r="A1145" s="6" t="s">
        <v>1152</v>
      </c>
      <c r="B1145" s="6" t="s">
        <v>2444</v>
      </c>
      <c r="C1145" s="7">
        <v>25843</v>
      </c>
      <c r="D1145" s="8">
        <v>30728</v>
      </c>
      <c r="E1145" s="6" t="s">
        <v>2605</v>
      </c>
      <c r="F1145" s="6">
        <v>182563</v>
      </c>
      <c r="G1145" s="6" t="s">
        <v>2610</v>
      </c>
      <c r="H1145" s="6" t="s">
        <v>2616</v>
      </c>
      <c r="I1145" s="6" t="s">
        <v>2900</v>
      </c>
      <c r="J1145" s="6" t="s">
        <v>3306</v>
      </c>
      <c r="K1145" s="6">
        <v>41</v>
      </c>
    </row>
    <row r="1146" spans="1:11" x14ac:dyDescent="0.3">
      <c r="A1146" s="6" t="s">
        <v>1153</v>
      </c>
      <c r="B1146" s="6" t="s">
        <v>2445</v>
      </c>
      <c r="C1146" s="7">
        <v>26072</v>
      </c>
      <c r="D1146" s="8">
        <v>43376</v>
      </c>
      <c r="E1146" s="6" t="s">
        <v>2602</v>
      </c>
      <c r="F1146" s="6">
        <v>174931</v>
      </c>
      <c r="G1146" s="6" t="s">
        <v>2611</v>
      </c>
      <c r="H1146" s="6" t="s">
        <v>2616</v>
      </c>
      <c r="I1146" s="6" t="s">
        <v>3271</v>
      </c>
      <c r="J1146" s="6" t="s">
        <v>3308</v>
      </c>
      <c r="K1146" s="6">
        <v>7</v>
      </c>
    </row>
    <row r="1147" spans="1:11" x14ac:dyDescent="0.3">
      <c r="A1147" s="6" t="s">
        <v>1154</v>
      </c>
      <c r="B1147" s="6" t="s">
        <v>2446</v>
      </c>
      <c r="C1147" s="7">
        <v>35699</v>
      </c>
      <c r="D1147" s="8">
        <v>42991</v>
      </c>
      <c r="E1147" s="6" t="s">
        <v>2603</v>
      </c>
      <c r="F1147" s="6">
        <v>92102</v>
      </c>
      <c r="G1147" s="6" t="s">
        <v>2610</v>
      </c>
      <c r="H1147" s="6" t="s">
        <v>2616</v>
      </c>
      <c r="I1147" s="6" t="s">
        <v>3129</v>
      </c>
      <c r="J1147" s="6" t="s">
        <v>3304</v>
      </c>
      <c r="K1147" s="6">
        <v>8</v>
      </c>
    </row>
    <row r="1148" spans="1:11" x14ac:dyDescent="0.3">
      <c r="A1148" s="6" t="s">
        <v>1155</v>
      </c>
      <c r="B1148" s="6" t="s">
        <v>2447</v>
      </c>
      <c r="C1148" s="7">
        <v>31973</v>
      </c>
      <c r="D1148" s="8">
        <v>34478</v>
      </c>
      <c r="E1148" s="6" t="s">
        <v>2600</v>
      </c>
      <c r="F1148" s="6">
        <v>196389</v>
      </c>
      <c r="G1148" s="6" t="s">
        <v>2606</v>
      </c>
      <c r="H1148" s="6" t="s">
        <v>2616</v>
      </c>
      <c r="I1148" s="6" t="s">
        <v>2639</v>
      </c>
      <c r="J1148" s="6" t="s">
        <v>3304</v>
      </c>
      <c r="K1148" s="6">
        <v>31</v>
      </c>
    </row>
    <row r="1149" spans="1:11" x14ac:dyDescent="0.3">
      <c r="A1149" s="6" t="s">
        <v>1156</v>
      </c>
      <c r="B1149" s="6" t="s">
        <v>2448</v>
      </c>
      <c r="C1149" s="7">
        <v>34207</v>
      </c>
      <c r="D1149" s="8">
        <v>29036</v>
      </c>
      <c r="E1149" s="6" t="s">
        <v>2603</v>
      </c>
      <c r="F1149" s="6">
        <v>193532</v>
      </c>
      <c r="G1149" s="6" t="s">
        <v>2607</v>
      </c>
      <c r="H1149" s="6" t="s">
        <v>2617</v>
      </c>
      <c r="I1149" s="6" t="s">
        <v>3064</v>
      </c>
      <c r="J1149" s="6" t="s">
        <v>3306</v>
      </c>
      <c r="K1149" s="6">
        <v>46</v>
      </c>
    </row>
    <row r="1150" spans="1:11" x14ac:dyDescent="0.3">
      <c r="A1150" s="6" t="s">
        <v>1157</v>
      </c>
      <c r="B1150" s="6" t="s">
        <v>2449</v>
      </c>
      <c r="C1150" s="7">
        <v>22973</v>
      </c>
      <c r="D1150" s="8">
        <v>43414</v>
      </c>
      <c r="E1150" s="6" t="s">
        <v>2602</v>
      </c>
      <c r="F1150" s="6">
        <v>134856</v>
      </c>
      <c r="G1150" s="6" t="s">
        <v>2607</v>
      </c>
      <c r="H1150" s="6" t="s">
        <v>2616</v>
      </c>
      <c r="I1150" s="6" t="s">
        <v>3115</v>
      </c>
      <c r="J1150" s="6" t="s">
        <v>3309</v>
      </c>
      <c r="K1150" s="6">
        <v>7</v>
      </c>
    </row>
    <row r="1151" spans="1:11" x14ac:dyDescent="0.3">
      <c r="A1151" s="6" t="s">
        <v>1158</v>
      </c>
      <c r="B1151" s="6" t="s">
        <v>2450</v>
      </c>
      <c r="C1151" s="7">
        <v>22299</v>
      </c>
      <c r="D1151" s="8">
        <v>33896</v>
      </c>
      <c r="E1151" s="6" t="s">
        <v>2601</v>
      </c>
      <c r="F1151" s="6">
        <v>95054</v>
      </c>
      <c r="G1151" s="6" t="s">
        <v>2613</v>
      </c>
      <c r="H1151" s="6" t="s">
        <v>2616</v>
      </c>
      <c r="I1151" s="6" t="s">
        <v>3272</v>
      </c>
      <c r="J1151" s="6" t="s">
        <v>3304</v>
      </c>
      <c r="K1151" s="6">
        <v>33</v>
      </c>
    </row>
    <row r="1152" spans="1:11" x14ac:dyDescent="0.3">
      <c r="A1152" s="6" t="s">
        <v>1159</v>
      </c>
      <c r="B1152" s="6" t="s">
        <v>2451</v>
      </c>
      <c r="C1152" s="7">
        <v>32301</v>
      </c>
      <c r="D1152" s="8">
        <v>28064</v>
      </c>
      <c r="E1152" s="6" t="s">
        <v>2605</v>
      </c>
      <c r="F1152" s="6">
        <v>191255</v>
      </c>
      <c r="G1152" s="6" t="s">
        <v>2607</v>
      </c>
      <c r="H1152" s="6" t="s">
        <v>2617</v>
      </c>
      <c r="I1152" s="6" t="s">
        <v>3055</v>
      </c>
      <c r="J1152" s="6" t="s">
        <v>3310</v>
      </c>
      <c r="K1152" s="6">
        <v>49</v>
      </c>
    </row>
    <row r="1153" spans="1:11" x14ac:dyDescent="0.3">
      <c r="A1153" s="6" t="s">
        <v>1160</v>
      </c>
      <c r="B1153" s="6" t="s">
        <v>2452</v>
      </c>
      <c r="C1153" s="7">
        <v>31449</v>
      </c>
      <c r="D1153" s="8">
        <v>27500</v>
      </c>
      <c r="E1153" s="6" t="s">
        <v>2605</v>
      </c>
      <c r="F1153" s="6">
        <v>110728</v>
      </c>
      <c r="G1153" s="6" t="s">
        <v>2613</v>
      </c>
      <c r="H1153" s="6" t="s">
        <v>2616</v>
      </c>
      <c r="I1153" s="6" t="s">
        <v>2905</v>
      </c>
      <c r="J1153" s="6" t="s">
        <v>3307</v>
      </c>
      <c r="K1153" s="6">
        <v>50</v>
      </c>
    </row>
    <row r="1154" spans="1:11" x14ac:dyDescent="0.3">
      <c r="A1154" s="6" t="s">
        <v>1161</v>
      </c>
      <c r="B1154" s="6" t="s">
        <v>2453</v>
      </c>
      <c r="C1154" s="7">
        <v>25790</v>
      </c>
      <c r="D1154" s="8">
        <v>43856</v>
      </c>
      <c r="E1154" s="6" t="s">
        <v>2605</v>
      </c>
      <c r="F1154" s="6">
        <v>27621</v>
      </c>
      <c r="G1154" s="6" t="s">
        <v>2615</v>
      </c>
      <c r="H1154" s="6" t="s">
        <v>2617</v>
      </c>
      <c r="I1154" s="6" t="s">
        <v>2980</v>
      </c>
      <c r="J1154" s="6" t="s">
        <v>3304</v>
      </c>
      <c r="K1154" s="6">
        <v>5</v>
      </c>
    </row>
    <row r="1155" spans="1:11" x14ac:dyDescent="0.3">
      <c r="A1155" s="6" t="s">
        <v>1162</v>
      </c>
      <c r="B1155" s="6" t="s">
        <v>2454</v>
      </c>
      <c r="C1155" s="7">
        <v>32486</v>
      </c>
      <c r="D1155" s="8">
        <v>30100</v>
      </c>
      <c r="E1155" s="6" t="s">
        <v>2605</v>
      </c>
      <c r="F1155" s="6">
        <v>133114</v>
      </c>
      <c r="G1155" s="6" t="s">
        <v>2610</v>
      </c>
      <c r="H1155" s="6" t="s">
        <v>2616</v>
      </c>
      <c r="I1155" s="6" t="s">
        <v>2733</v>
      </c>
      <c r="J1155" s="6" t="s">
        <v>3304</v>
      </c>
      <c r="K1155" s="6">
        <v>43</v>
      </c>
    </row>
    <row r="1156" spans="1:11" x14ac:dyDescent="0.3">
      <c r="A1156" s="6" t="s">
        <v>1163</v>
      </c>
      <c r="B1156" s="6" t="s">
        <v>2455</v>
      </c>
      <c r="C1156" s="7">
        <v>23716</v>
      </c>
      <c r="D1156" s="8">
        <v>31506</v>
      </c>
      <c r="E1156" s="6" t="s">
        <v>2600</v>
      </c>
      <c r="F1156" s="6">
        <v>176130</v>
      </c>
      <c r="G1156" s="6" t="s">
        <v>2608</v>
      </c>
      <c r="H1156" s="6" t="s">
        <v>2616</v>
      </c>
      <c r="I1156" s="6" t="s">
        <v>3273</v>
      </c>
      <c r="J1156" s="6" t="s">
        <v>3305</v>
      </c>
      <c r="K1156" s="6">
        <v>39</v>
      </c>
    </row>
    <row r="1157" spans="1:11" x14ac:dyDescent="0.3">
      <c r="A1157" s="6" t="s">
        <v>1164</v>
      </c>
      <c r="B1157" s="6" t="s">
        <v>2456</v>
      </c>
      <c r="C1157" s="7">
        <v>21634</v>
      </c>
      <c r="D1157" s="8">
        <v>31216</v>
      </c>
      <c r="E1157" s="6" t="s">
        <v>2599</v>
      </c>
      <c r="F1157" s="6">
        <v>191419</v>
      </c>
      <c r="G1157" s="6" t="s">
        <v>2612</v>
      </c>
      <c r="H1157" s="6" t="s">
        <v>2616</v>
      </c>
      <c r="I1157" s="6" t="s">
        <v>2883</v>
      </c>
      <c r="J1157" s="6" t="s">
        <v>3308</v>
      </c>
      <c r="K1157" s="6">
        <v>40</v>
      </c>
    </row>
    <row r="1158" spans="1:11" x14ac:dyDescent="0.3">
      <c r="A1158" s="6" t="s">
        <v>1165</v>
      </c>
      <c r="B1158" s="6" t="s">
        <v>2457</v>
      </c>
      <c r="C1158" s="7">
        <v>22318</v>
      </c>
      <c r="D1158" s="8">
        <v>43415</v>
      </c>
      <c r="E1158" s="6" t="s">
        <v>2599</v>
      </c>
      <c r="F1158" s="6">
        <v>29167</v>
      </c>
      <c r="G1158" s="6" t="s">
        <v>2613</v>
      </c>
      <c r="H1158" s="6" t="s">
        <v>2616</v>
      </c>
      <c r="I1158" s="6" t="s">
        <v>3274</v>
      </c>
      <c r="J1158" s="6" t="s">
        <v>3307</v>
      </c>
      <c r="K1158" s="6">
        <v>7</v>
      </c>
    </row>
    <row r="1159" spans="1:11" x14ac:dyDescent="0.3">
      <c r="A1159" s="6" t="s">
        <v>1166</v>
      </c>
      <c r="B1159" s="6" t="s">
        <v>2458</v>
      </c>
      <c r="C1159" s="7">
        <v>35177</v>
      </c>
      <c r="D1159" s="8">
        <v>35600</v>
      </c>
      <c r="E1159" s="6" t="s">
        <v>2599</v>
      </c>
      <c r="F1159" s="6">
        <v>174302</v>
      </c>
      <c r="G1159" s="6" t="s">
        <v>2608</v>
      </c>
      <c r="H1159" s="6" t="s">
        <v>2616</v>
      </c>
      <c r="I1159" s="6" t="s">
        <v>2944</v>
      </c>
      <c r="J1159" s="6" t="s">
        <v>3309</v>
      </c>
      <c r="K1159" s="6">
        <v>28</v>
      </c>
    </row>
    <row r="1160" spans="1:11" x14ac:dyDescent="0.3">
      <c r="A1160" s="6" t="s">
        <v>1167</v>
      </c>
      <c r="B1160" s="6" t="s">
        <v>2459</v>
      </c>
      <c r="C1160" s="7">
        <v>31269</v>
      </c>
      <c r="D1160" s="8">
        <v>43011</v>
      </c>
      <c r="E1160" s="6" t="s">
        <v>2601</v>
      </c>
      <c r="F1160" s="6">
        <v>109829</v>
      </c>
      <c r="G1160" s="6" t="s">
        <v>2607</v>
      </c>
      <c r="H1160" s="6" t="s">
        <v>2617</v>
      </c>
      <c r="I1160" s="6" t="s">
        <v>3275</v>
      </c>
      <c r="J1160" s="6" t="s">
        <v>3306</v>
      </c>
      <c r="K1160" s="6">
        <v>8</v>
      </c>
    </row>
    <row r="1161" spans="1:11" x14ac:dyDescent="0.3">
      <c r="A1161" s="6" t="s">
        <v>1168</v>
      </c>
      <c r="B1161" s="6" t="s">
        <v>2460</v>
      </c>
      <c r="C1161" s="7">
        <v>22452</v>
      </c>
      <c r="D1161" s="8">
        <v>27737</v>
      </c>
      <c r="E1161" s="6" t="s">
        <v>2605</v>
      </c>
      <c r="F1161" s="6">
        <v>130376</v>
      </c>
      <c r="G1161" s="6" t="s">
        <v>2606</v>
      </c>
      <c r="H1161" s="6" t="s">
        <v>2617</v>
      </c>
      <c r="I1161" s="6" t="s">
        <v>2920</v>
      </c>
      <c r="J1161" s="6" t="s">
        <v>3306</v>
      </c>
      <c r="K1161" s="6">
        <v>50</v>
      </c>
    </row>
    <row r="1162" spans="1:11" x14ac:dyDescent="0.3">
      <c r="A1162" s="6" t="s">
        <v>1169</v>
      </c>
      <c r="B1162" s="6" t="s">
        <v>2461</v>
      </c>
      <c r="C1162" s="7">
        <v>27170</v>
      </c>
      <c r="D1162" s="8">
        <v>33220</v>
      </c>
      <c r="E1162" s="6" t="s">
        <v>2603</v>
      </c>
      <c r="F1162" s="6">
        <v>61330</v>
      </c>
      <c r="G1162" s="6" t="s">
        <v>2608</v>
      </c>
      <c r="H1162" s="6" t="s">
        <v>2617</v>
      </c>
      <c r="I1162" s="6" t="s">
        <v>3018</v>
      </c>
      <c r="J1162" s="6" t="s">
        <v>3310</v>
      </c>
      <c r="K1162" s="6">
        <v>35</v>
      </c>
    </row>
    <row r="1163" spans="1:11" x14ac:dyDescent="0.3">
      <c r="A1163" s="6" t="s">
        <v>1170</v>
      </c>
      <c r="B1163" s="6" t="s">
        <v>2462</v>
      </c>
      <c r="C1163" s="7">
        <v>24522</v>
      </c>
      <c r="D1163" s="8">
        <v>32689</v>
      </c>
      <c r="E1163" s="6" t="s">
        <v>2601</v>
      </c>
      <c r="F1163" s="6">
        <v>196894</v>
      </c>
      <c r="G1163" s="6" t="s">
        <v>2608</v>
      </c>
      <c r="H1163" s="6" t="s">
        <v>2617</v>
      </c>
      <c r="I1163" s="6" t="s">
        <v>2905</v>
      </c>
      <c r="J1163" s="6" t="s">
        <v>3309</v>
      </c>
      <c r="K1163" s="6">
        <v>36</v>
      </c>
    </row>
    <row r="1164" spans="1:11" x14ac:dyDescent="0.3">
      <c r="A1164" s="6" t="s">
        <v>1171</v>
      </c>
      <c r="B1164" s="6" t="s">
        <v>2463</v>
      </c>
      <c r="C1164" s="7">
        <v>35806</v>
      </c>
      <c r="D1164" s="8">
        <v>29289</v>
      </c>
      <c r="E1164" s="6" t="s">
        <v>2602</v>
      </c>
      <c r="F1164" s="6">
        <v>138567</v>
      </c>
      <c r="G1164" s="6" t="s">
        <v>2610</v>
      </c>
      <c r="H1164" s="6" t="s">
        <v>2617</v>
      </c>
      <c r="I1164" s="6" t="s">
        <v>2759</v>
      </c>
      <c r="J1164" s="6" t="s">
        <v>3305</v>
      </c>
      <c r="K1164" s="6">
        <v>45</v>
      </c>
    </row>
    <row r="1165" spans="1:11" x14ac:dyDescent="0.3">
      <c r="A1165" s="6" t="s">
        <v>1172</v>
      </c>
      <c r="B1165" s="6" t="s">
        <v>2464</v>
      </c>
      <c r="C1165" s="7">
        <v>35747</v>
      </c>
      <c r="D1165" s="8">
        <v>28025</v>
      </c>
      <c r="E1165" s="6" t="s">
        <v>2605</v>
      </c>
      <c r="F1165" s="6">
        <v>143316</v>
      </c>
      <c r="G1165" s="6" t="s">
        <v>2607</v>
      </c>
      <c r="H1165" s="6" t="s">
        <v>2616</v>
      </c>
      <c r="I1165" s="6" t="s">
        <v>2820</v>
      </c>
      <c r="J1165" s="6" t="s">
        <v>3307</v>
      </c>
      <c r="K1165" s="6">
        <v>49</v>
      </c>
    </row>
    <row r="1166" spans="1:11" x14ac:dyDescent="0.3">
      <c r="A1166" s="6" t="s">
        <v>1173</v>
      </c>
      <c r="B1166" s="6" t="s">
        <v>2465</v>
      </c>
      <c r="C1166" s="7">
        <v>31245</v>
      </c>
      <c r="D1166" s="8">
        <v>34489</v>
      </c>
      <c r="E1166" s="6" t="s">
        <v>2601</v>
      </c>
      <c r="F1166" s="6">
        <v>77991</v>
      </c>
      <c r="G1166" s="6" t="s">
        <v>2614</v>
      </c>
      <c r="H1166" s="6" t="s">
        <v>2617</v>
      </c>
      <c r="I1166" s="6" t="s">
        <v>2953</v>
      </c>
      <c r="J1166" s="6" t="s">
        <v>3307</v>
      </c>
      <c r="K1166" s="6">
        <v>31</v>
      </c>
    </row>
    <row r="1167" spans="1:11" x14ac:dyDescent="0.3">
      <c r="A1167" s="6" t="s">
        <v>1174</v>
      </c>
      <c r="B1167" s="6" t="s">
        <v>2466</v>
      </c>
      <c r="C1167" s="7">
        <v>34852</v>
      </c>
      <c r="D1167" s="8">
        <v>34913</v>
      </c>
      <c r="E1167" s="6" t="s">
        <v>2604</v>
      </c>
      <c r="F1167" s="6">
        <v>62480</v>
      </c>
      <c r="G1167" s="6" t="s">
        <v>2614</v>
      </c>
      <c r="H1167" s="6" t="s">
        <v>2617</v>
      </c>
      <c r="I1167" s="6" t="s">
        <v>3188</v>
      </c>
      <c r="J1167" s="6" t="s">
        <v>3306</v>
      </c>
      <c r="K1167" s="6">
        <v>30</v>
      </c>
    </row>
    <row r="1168" spans="1:11" x14ac:dyDescent="0.3">
      <c r="A1168" s="6" t="s">
        <v>1175</v>
      </c>
      <c r="B1168" s="6" t="s">
        <v>2467</v>
      </c>
      <c r="C1168" s="7">
        <v>31667</v>
      </c>
      <c r="D1168" s="8">
        <v>43970</v>
      </c>
      <c r="E1168" s="6" t="s">
        <v>2603</v>
      </c>
      <c r="F1168" s="6">
        <v>47150</v>
      </c>
      <c r="G1168" s="6" t="s">
        <v>2612</v>
      </c>
      <c r="H1168" s="6" t="s">
        <v>2617</v>
      </c>
      <c r="I1168" s="6" t="s">
        <v>3276</v>
      </c>
      <c r="J1168" s="6" t="s">
        <v>3308</v>
      </c>
      <c r="K1168" s="6">
        <v>5</v>
      </c>
    </row>
    <row r="1169" spans="1:11" x14ac:dyDescent="0.3">
      <c r="A1169" s="6" t="s">
        <v>1176</v>
      </c>
      <c r="B1169" s="6" t="s">
        <v>2468</v>
      </c>
      <c r="C1169" s="7">
        <v>31955</v>
      </c>
      <c r="D1169" s="8">
        <v>37612</v>
      </c>
      <c r="E1169" s="6" t="s">
        <v>2600</v>
      </c>
      <c r="F1169" s="6">
        <v>151759</v>
      </c>
      <c r="G1169" s="6" t="s">
        <v>2607</v>
      </c>
      <c r="H1169" s="6" t="s">
        <v>2616</v>
      </c>
      <c r="I1169" s="6" t="s">
        <v>2887</v>
      </c>
      <c r="J1169" s="6" t="s">
        <v>3307</v>
      </c>
      <c r="K1169" s="6">
        <v>23</v>
      </c>
    </row>
    <row r="1170" spans="1:11" x14ac:dyDescent="0.3">
      <c r="A1170" s="6" t="s">
        <v>1177</v>
      </c>
      <c r="B1170" s="6" t="s">
        <v>2469</v>
      </c>
      <c r="C1170" s="7">
        <v>26779</v>
      </c>
      <c r="D1170" s="8">
        <v>44547</v>
      </c>
      <c r="E1170" s="6" t="s">
        <v>2601</v>
      </c>
      <c r="F1170" s="6">
        <v>166128</v>
      </c>
      <c r="G1170" s="6" t="s">
        <v>2609</v>
      </c>
      <c r="H1170" s="6" t="s">
        <v>2616</v>
      </c>
      <c r="I1170" s="6" t="s">
        <v>3277</v>
      </c>
      <c r="J1170" s="6" t="s">
        <v>3306</v>
      </c>
      <c r="K1170" s="6">
        <v>4</v>
      </c>
    </row>
    <row r="1171" spans="1:11" x14ac:dyDescent="0.3">
      <c r="A1171" s="6" t="s">
        <v>1178</v>
      </c>
      <c r="B1171" s="6" t="s">
        <v>2470</v>
      </c>
      <c r="C1171" s="7">
        <v>36623</v>
      </c>
      <c r="D1171" s="8">
        <v>38658</v>
      </c>
      <c r="E1171" s="6" t="s">
        <v>2603</v>
      </c>
      <c r="F1171" s="6">
        <v>160582</v>
      </c>
      <c r="G1171" s="6" t="s">
        <v>2609</v>
      </c>
      <c r="H1171" s="6" t="s">
        <v>2617</v>
      </c>
      <c r="I1171" s="6" t="s">
        <v>3030</v>
      </c>
      <c r="J1171" s="6" t="s">
        <v>3307</v>
      </c>
      <c r="K1171" s="6">
        <v>20</v>
      </c>
    </row>
    <row r="1172" spans="1:11" x14ac:dyDescent="0.3">
      <c r="A1172" s="6" t="s">
        <v>1179</v>
      </c>
      <c r="B1172" s="6" t="s">
        <v>2471</v>
      </c>
      <c r="C1172" s="7">
        <v>27318</v>
      </c>
      <c r="D1172" s="8">
        <v>30226</v>
      </c>
      <c r="E1172" s="6" t="s">
        <v>2605</v>
      </c>
      <c r="F1172" s="6">
        <v>97317</v>
      </c>
      <c r="G1172" s="6" t="s">
        <v>2607</v>
      </c>
      <c r="H1172" s="6" t="s">
        <v>2616</v>
      </c>
      <c r="I1172" s="6" t="s">
        <v>3278</v>
      </c>
      <c r="J1172" s="6" t="s">
        <v>3304</v>
      </c>
      <c r="K1172" s="6">
        <v>43</v>
      </c>
    </row>
    <row r="1173" spans="1:11" x14ac:dyDescent="0.3">
      <c r="A1173" s="6" t="s">
        <v>1180</v>
      </c>
      <c r="B1173" s="6" t="s">
        <v>2472</v>
      </c>
      <c r="C1173" s="7">
        <v>22657</v>
      </c>
      <c r="D1173" s="8">
        <v>42766</v>
      </c>
      <c r="E1173" s="6" t="s">
        <v>2604</v>
      </c>
      <c r="F1173" s="6">
        <v>23795</v>
      </c>
      <c r="G1173" s="6" t="s">
        <v>2608</v>
      </c>
      <c r="H1173" s="6" t="s">
        <v>2617</v>
      </c>
      <c r="I1173" s="6" t="s">
        <v>2812</v>
      </c>
      <c r="J1173" s="6" t="s">
        <v>3306</v>
      </c>
      <c r="K1173" s="6">
        <v>8</v>
      </c>
    </row>
    <row r="1174" spans="1:11" x14ac:dyDescent="0.3">
      <c r="A1174" s="6" t="s">
        <v>1181</v>
      </c>
      <c r="B1174" s="6" t="s">
        <v>2473</v>
      </c>
      <c r="C1174" s="7">
        <v>23854</v>
      </c>
      <c r="D1174" s="8">
        <v>26966</v>
      </c>
      <c r="E1174" s="6" t="s">
        <v>2603</v>
      </c>
      <c r="F1174" s="6">
        <v>163896</v>
      </c>
      <c r="G1174" s="6" t="s">
        <v>2610</v>
      </c>
      <c r="H1174" s="6" t="s">
        <v>2617</v>
      </c>
      <c r="I1174" s="6" t="s">
        <v>2923</v>
      </c>
      <c r="J1174" s="6" t="s">
        <v>3304</v>
      </c>
      <c r="K1174" s="6">
        <v>52</v>
      </c>
    </row>
    <row r="1175" spans="1:11" x14ac:dyDescent="0.3">
      <c r="A1175" s="6" t="s">
        <v>1182</v>
      </c>
      <c r="B1175" s="6" t="s">
        <v>2474</v>
      </c>
      <c r="C1175" s="7">
        <v>27353</v>
      </c>
      <c r="D1175" s="8">
        <v>25731</v>
      </c>
      <c r="E1175" s="6" t="s">
        <v>2600</v>
      </c>
      <c r="F1175" s="6">
        <v>48094</v>
      </c>
      <c r="G1175" s="6" t="s">
        <v>2614</v>
      </c>
      <c r="H1175" s="6" t="s">
        <v>2616</v>
      </c>
      <c r="I1175" s="6" t="s">
        <v>3193</v>
      </c>
      <c r="J1175" s="6" t="s">
        <v>3308</v>
      </c>
      <c r="K1175" s="6">
        <v>55</v>
      </c>
    </row>
    <row r="1176" spans="1:11" x14ac:dyDescent="0.3">
      <c r="A1176" s="6" t="s">
        <v>1183</v>
      </c>
      <c r="B1176" s="6" t="s">
        <v>2475</v>
      </c>
      <c r="C1176" s="7">
        <v>34086</v>
      </c>
      <c r="D1176" s="8">
        <v>41289</v>
      </c>
      <c r="E1176" s="6" t="s">
        <v>2604</v>
      </c>
      <c r="F1176" s="6">
        <v>115780</v>
      </c>
      <c r="G1176" s="6" t="s">
        <v>2613</v>
      </c>
      <c r="H1176" s="6" t="s">
        <v>2617</v>
      </c>
      <c r="I1176" s="6" t="s">
        <v>3091</v>
      </c>
      <c r="J1176" s="6" t="s">
        <v>3310</v>
      </c>
      <c r="K1176" s="6">
        <v>12</v>
      </c>
    </row>
    <row r="1177" spans="1:11" x14ac:dyDescent="0.3">
      <c r="A1177" s="6" t="s">
        <v>1184</v>
      </c>
      <c r="B1177" s="6" t="s">
        <v>2476</v>
      </c>
      <c r="C1177" s="7">
        <v>28423</v>
      </c>
      <c r="D1177" s="8">
        <v>41543</v>
      </c>
      <c r="E1177" s="6" t="s">
        <v>2604</v>
      </c>
      <c r="F1177" s="6">
        <v>167512</v>
      </c>
      <c r="G1177" s="6" t="s">
        <v>2615</v>
      </c>
      <c r="H1177" s="6" t="s">
        <v>2617</v>
      </c>
      <c r="I1177" s="6" t="s">
        <v>2875</v>
      </c>
      <c r="J1177" s="6" t="s">
        <v>3304</v>
      </c>
      <c r="K1177" s="6">
        <v>12</v>
      </c>
    </row>
    <row r="1178" spans="1:11" x14ac:dyDescent="0.3">
      <c r="A1178" s="6" t="s">
        <v>1185</v>
      </c>
      <c r="B1178" s="6" t="s">
        <v>2477</v>
      </c>
      <c r="C1178" s="7">
        <v>36068</v>
      </c>
      <c r="D1178" s="8">
        <v>41952</v>
      </c>
      <c r="E1178" s="6" t="s">
        <v>2603</v>
      </c>
      <c r="F1178" s="6">
        <v>89333</v>
      </c>
      <c r="G1178" s="6" t="s">
        <v>2614</v>
      </c>
      <c r="H1178" s="6" t="s">
        <v>2617</v>
      </c>
      <c r="I1178" s="6" t="s">
        <v>2780</v>
      </c>
      <c r="J1178" s="6" t="s">
        <v>3308</v>
      </c>
      <c r="K1178" s="6">
        <v>11</v>
      </c>
    </row>
    <row r="1179" spans="1:11" x14ac:dyDescent="0.3">
      <c r="A1179" s="6" t="s">
        <v>1186</v>
      </c>
      <c r="B1179" s="6" t="s">
        <v>2478</v>
      </c>
      <c r="C1179" s="7">
        <v>25772</v>
      </c>
      <c r="D1179" s="8">
        <v>31040</v>
      </c>
      <c r="E1179" s="6" t="s">
        <v>2604</v>
      </c>
      <c r="F1179" s="6">
        <v>42656</v>
      </c>
      <c r="G1179" s="6" t="s">
        <v>2613</v>
      </c>
      <c r="H1179" s="6" t="s">
        <v>2617</v>
      </c>
      <c r="I1179" s="6" t="s">
        <v>3272</v>
      </c>
      <c r="J1179" s="6" t="s">
        <v>3309</v>
      </c>
      <c r="K1179" s="6">
        <v>41</v>
      </c>
    </row>
    <row r="1180" spans="1:11" x14ac:dyDescent="0.3">
      <c r="A1180" s="6" t="s">
        <v>1187</v>
      </c>
      <c r="B1180" s="6" t="s">
        <v>2479</v>
      </c>
      <c r="C1180" s="7">
        <v>35583</v>
      </c>
      <c r="D1180" s="8">
        <v>35832</v>
      </c>
      <c r="E1180" s="6" t="s">
        <v>2600</v>
      </c>
      <c r="F1180" s="6">
        <v>150557</v>
      </c>
      <c r="G1180" s="6" t="s">
        <v>2614</v>
      </c>
      <c r="H1180" s="6" t="s">
        <v>2617</v>
      </c>
      <c r="I1180" s="6" t="s">
        <v>2647</v>
      </c>
      <c r="J1180" s="6" t="s">
        <v>3306</v>
      </c>
      <c r="K1180" s="6">
        <v>27</v>
      </c>
    </row>
    <row r="1181" spans="1:11" x14ac:dyDescent="0.3">
      <c r="A1181" s="6" t="s">
        <v>1188</v>
      </c>
      <c r="B1181" s="6" t="s">
        <v>2480</v>
      </c>
      <c r="C1181" s="7">
        <v>37595</v>
      </c>
      <c r="D1181" s="8">
        <v>34720</v>
      </c>
      <c r="E1181" s="6" t="s">
        <v>2603</v>
      </c>
      <c r="F1181" s="6">
        <v>188042</v>
      </c>
      <c r="G1181" s="6" t="s">
        <v>2611</v>
      </c>
      <c r="H1181" s="6" t="s">
        <v>2617</v>
      </c>
      <c r="I1181" s="6" t="s">
        <v>3279</v>
      </c>
      <c r="J1181" s="6" t="s">
        <v>3308</v>
      </c>
      <c r="K1181" s="6">
        <v>30</v>
      </c>
    </row>
    <row r="1182" spans="1:11" x14ac:dyDescent="0.3">
      <c r="A1182" s="6" t="s">
        <v>1189</v>
      </c>
      <c r="B1182" s="6" t="s">
        <v>2481</v>
      </c>
      <c r="C1182" s="7">
        <v>29383</v>
      </c>
      <c r="D1182" s="8">
        <v>27072</v>
      </c>
      <c r="E1182" s="6" t="s">
        <v>2603</v>
      </c>
      <c r="F1182" s="6">
        <v>75050</v>
      </c>
      <c r="G1182" s="6" t="s">
        <v>2614</v>
      </c>
      <c r="H1182" s="6" t="s">
        <v>2616</v>
      </c>
      <c r="I1182" s="6" t="s">
        <v>3063</v>
      </c>
      <c r="J1182" s="6" t="s">
        <v>3305</v>
      </c>
      <c r="K1182" s="6">
        <v>51</v>
      </c>
    </row>
    <row r="1183" spans="1:11" x14ac:dyDescent="0.3">
      <c r="A1183" s="6" t="s">
        <v>1190</v>
      </c>
      <c r="B1183" s="6" t="s">
        <v>2482</v>
      </c>
      <c r="C1183" s="7">
        <v>33232</v>
      </c>
      <c r="D1183" s="8">
        <v>42832</v>
      </c>
      <c r="E1183" s="6" t="s">
        <v>2604</v>
      </c>
      <c r="F1183" s="6">
        <v>156434</v>
      </c>
      <c r="G1183" s="6" t="s">
        <v>2614</v>
      </c>
      <c r="H1183" s="6" t="s">
        <v>2616</v>
      </c>
      <c r="I1183" s="6" t="s">
        <v>3280</v>
      </c>
      <c r="J1183" s="6" t="s">
        <v>3308</v>
      </c>
      <c r="K1183" s="6">
        <v>8</v>
      </c>
    </row>
    <row r="1184" spans="1:11" x14ac:dyDescent="0.3">
      <c r="A1184" s="6" t="s">
        <v>1191</v>
      </c>
      <c r="B1184" s="6" t="s">
        <v>2483</v>
      </c>
      <c r="C1184" s="7">
        <v>35325</v>
      </c>
      <c r="D1184" s="8">
        <v>25816</v>
      </c>
      <c r="E1184" s="6" t="s">
        <v>2604</v>
      </c>
      <c r="F1184" s="6">
        <v>182849</v>
      </c>
      <c r="G1184" s="6" t="s">
        <v>2615</v>
      </c>
      <c r="H1184" s="6" t="s">
        <v>2617</v>
      </c>
      <c r="I1184" s="6" t="s">
        <v>2960</v>
      </c>
      <c r="J1184" s="6" t="s">
        <v>3308</v>
      </c>
      <c r="K1184" s="6">
        <v>55</v>
      </c>
    </row>
    <row r="1185" spans="1:11" x14ac:dyDescent="0.3">
      <c r="A1185" s="6" t="s">
        <v>1192</v>
      </c>
      <c r="B1185" s="6" t="s">
        <v>2484</v>
      </c>
      <c r="C1185" s="7">
        <v>31417</v>
      </c>
      <c r="D1185" s="8">
        <v>36459</v>
      </c>
      <c r="E1185" s="6" t="s">
        <v>2604</v>
      </c>
      <c r="F1185" s="6">
        <v>133595</v>
      </c>
      <c r="G1185" s="6" t="s">
        <v>2610</v>
      </c>
      <c r="H1185" s="6" t="s">
        <v>2617</v>
      </c>
      <c r="I1185" s="6" t="s">
        <v>3281</v>
      </c>
      <c r="J1185" s="6" t="s">
        <v>3305</v>
      </c>
      <c r="K1185" s="6">
        <v>26</v>
      </c>
    </row>
    <row r="1186" spans="1:11" x14ac:dyDescent="0.3">
      <c r="A1186" s="6" t="s">
        <v>1193</v>
      </c>
      <c r="B1186" s="6" t="s">
        <v>2485</v>
      </c>
      <c r="C1186" s="7">
        <v>31913</v>
      </c>
      <c r="D1186" s="8">
        <v>30193</v>
      </c>
      <c r="E1186" s="6" t="s">
        <v>2604</v>
      </c>
      <c r="F1186" s="6">
        <v>179300</v>
      </c>
      <c r="G1186" s="6" t="s">
        <v>2606</v>
      </c>
      <c r="H1186" s="6" t="s">
        <v>2616</v>
      </c>
      <c r="I1186" s="6" t="s">
        <v>3183</v>
      </c>
      <c r="J1186" s="6" t="s">
        <v>3304</v>
      </c>
      <c r="K1186" s="6">
        <v>43</v>
      </c>
    </row>
    <row r="1187" spans="1:11" x14ac:dyDescent="0.3">
      <c r="A1187" s="6" t="s">
        <v>1194</v>
      </c>
      <c r="B1187" s="6" t="s">
        <v>2486</v>
      </c>
      <c r="C1187" s="7">
        <v>27506</v>
      </c>
      <c r="D1187" s="8">
        <v>44644</v>
      </c>
      <c r="E1187" s="6" t="s">
        <v>2599</v>
      </c>
      <c r="F1187" s="6">
        <v>190238</v>
      </c>
      <c r="G1187" s="6" t="s">
        <v>2611</v>
      </c>
      <c r="H1187" s="6" t="s">
        <v>2616</v>
      </c>
      <c r="I1187" s="6" t="s">
        <v>3282</v>
      </c>
      <c r="J1187" s="6" t="s">
        <v>3305</v>
      </c>
      <c r="K1187" s="6">
        <v>3</v>
      </c>
    </row>
    <row r="1188" spans="1:11" x14ac:dyDescent="0.3">
      <c r="A1188" s="6" t="s">
        <v>1195</v>
      </c>
      <c r="B1188" s="6" t="s">
        <v>2487</v>
      </c>
      <c r="C1188" s="7">
        <v>23378</v>
      </c>
      <c r="D1188" s="8">
        <v>37689</v>
      </c>
      <c r="E1188" s="6" t="s">
        <v>2603</v>
      </c>
      <c r="F1188" s="6">
        <v>198143</v>
      </c>
      <c r="G1188" s="6" t="s">
        <v>2608</v>
      </c>
      <c r="H1188" s="6" t="s">
        <v>2616</v>
      </c>
      <c r="I1188" s="6" t="s">
        <v>2938</v>
      </c>
      <c r="J1188" s="6" t="s">
        <v>3309</v>
      </c>
      <c r="K1188" s="6">
        <v>22</v>
      </c>
    </row>
    <row r="1189" spans="1:11" x14ac:dyDescent="0.3">
      <c r="A1189" s="6" t="s">
        <v>1196</v>
      </c>
      <c r="B1189" s="6" t="s">
        <v>2488</v>
      </c>
      <c r="C1189" s="7">
        <v>27180</v>
      </c>
      <c r="D1189" s="8">
        <v>39498</v>
      </c>
      <c r="E1189" s="6" t="s">
        <v>2600</v>
      </c>
      <c r="F1189" s="6">
        <v>46269</v>
      </c>
      <c r="G1189" s="6" t="s">
        <v>2611</v>
      </c>
      <c r="H1189" s="6" t="s">
        <v>2617</v>
      </c>
      <c r="I1189" s="6" t="s">
        <v>3283</v>
      </c>
      <c r="J1189" s="6" t="s">
        <v>3310</v>
      </c>
      <c r="K1189" s="6">
        <v>17</v>
      </c>
    </row>
    <row r="1190" spans="1:11" x14ac:dyDescent="0.3">
      <c r="A1190" s="6" t="s">
        <v>1197</v>
      </c>
      <c r="B1190" s="6" t="s">
        <v>2489</v>
      </c>
      <c r="C1190" s="7">
        <v>33382</v>
      </c>
      <c r="D1190" s="8">
        <v>40523</v>
      </c>
      <c r="E1190" s="6" t="s">
        <v>2600</v>
      </c>
      <c r="F1190" s="6">
        <v>196669</v>
      </c>
      <c r="G1190" s="6" t="s">
        <v>2610</v>
      </c>
      <c r="H1190" s="6" t="s">
        <v>2617</v>
      </c>
      <c r="I1190" s="6" t="s">
        <v>2776</v>
      </c>
      <c r="J1190" s="6" t="s">
        <v>3307</v>
      </c>
      <c r="K1190" s="6">
        <v>15</v>
      </c>
    </row>
    <row r="1191" spans="1:11" x14ac:dyDescent="0.3">
      <c r="A1191" s="6" t="s">
        <v>1198</v>
      </c>
      <c r="B1191" s="6" t="s">
        <v>2490</v>
      </c>
      <c r="C1191" s="7">
        <v>29049</v>
      </c>
      <c r="D1191" s="8">
        <v>28895</v>
      </c>
      <c r="E1191" s="6" t="s">
        <v>2601</v>
      </c>
      <c r="F1191" s="6">
        <v>141663</v>
      </c>
      <c r="G1191" s="6" t="s">
        <v>2611</v>
      </c>
      <c r="H1191" s="6" t="s">
        <v>2617</v>
      </c>
      <c r="I1191" s="6" t="s">
        <v>2691</v>
      </c>
      <c r="J1191" s="6" t="s">
        <v>3310</v>
      </c>
      <c r="K1191" s="6">
        <v>46</v>
      </c>
    </row>
    <row r="1192" spans="1:11" x14ac:dyDescent="0.3">
      <c r="A1192" s="6" t="s">
        <v>1199</v>
      </c>
      <c r="B1192" s="6" t="s">
        <v>2491</v>
      </c>
      <c r="C1192" s="7">
        <v>27812</v>
      </c>
      <c r="D1192" s="8">
        <v>32599</v>
      </c>
      <c r="E1192" s="6" t="s">
        <v>2599</v>
      </c>
      <c r="F1192" s="6">
        <v>113538</v>
      </c>
      <c r="G1192" s="6" t="s">
        <v>2613</v>
      </c>
      <c r="H1192" s="6" t="s">
        <v>2616</v>
      </c>
      <c r="I1192" s="6" t="s">
        <v>3075</v>
      </c>
      <c r="J1192" s="6" t="s">
        <v>3305</v>
      </c>
      <c r="K1192" s="6">
        <v>36</v>
      </c>
    </row>
    <row r="1193" spans="1:11" x14ac:dyDescent="0.3">
      <c r="A1193" s="6" t="s">
        <v>1200</v>
      </c>
      <c r="B1193" s="6" t="s">
        <v>2492</v>
      </c>
      <c r="C1193" s="7">
        <v>34228</v>
      </c>
      <c r="D1193" s="8">
        <v>35579</v>
      </c>
      <c r="E1193" s="6" t="s">
        <v>2599</v>
      </c>
      <c r="F1193" s="6">
        <v>140006</v>
      </c>
      <c r="G1193" s="6" t="s">
        <v>2607</v>
      </c>
      <c r="H1193" s="6" t="s">
        <v>2617</v>
      </c>
      <c r="I1193" s="6" t="s">
        <v>2682</v>
      </c>
      <c r="J1193" s="6" t="s">
        <v>3305</v>
      </c>
      <c r="K1193" s="6">
        <v>28</v>
      </c>
    </row>
    <row r="1194" spans="1:11" x14ac:dyDescent="0.3">
      <c r="A1194" s="6" t="s">
        <v>1201</v>
      </c>
      <c r="B1194" s="6" t="s">
        <v>2493</v>
      </c>
      <c r="C1194" s="7">
        <v>35845</v>
      </c>
      <c r="D1194" s="8">
        <v>38702</v>
      </c>
      <c r="E1194" s="6" t="s">
        <v>2603</v>
      </c>
      <c r="F1194" s="6">
        <v>102591</v>
      </c>
      <c r="G1194" s="6" t="s">
        <v>2613</v>
      </c>
      <c r="H1194" s="6" t="s">
        <v>2617</v>
      </c>
      <c r="I1194" s="6" t="s">
        <v>3284</v>
      </c>
      <c r="J1194" s="6" t="s">
        <v>3306</v>
      </c>
      <c r="K1194" s="6">
        <v>20</v>
      </c>
    </row>
    <row r="1195" spans="1:11" x14ac:dyDescent="0.3">
      <c r="A1195" s="6" t="s">
        <v>1202</v>
      </c>
      <c r="B1195" s="6" t="s">
        <v>2494</v>
      </c>
      <c r="C1195" s="7">
        <v>26895</v>
      </c>
      <c r="D1195" s="8">
        <v>44816</v>
      </c>
      <c r="E1195" s="6" t="s">
        <v>2600</v>
      </c>
      <c r="F1195" s="6">
        <v>94314</v>
      </c>
      <c r="G1195" s="6" t="s">
        <v>2608</v>
      </c>
      <c r="H1195" s="6" t="s">
        <v>2617</v>
      </c>
      <c r="I1195" s="6" t="s">
        <v>2838</v>
      </c>
      <c r="J1195" s="6" t="s">
        <v>3308</v>
      </c>
      <c r="K1195" s="6">
        <v>3</v>
      </c>
    </row>
    <row r="1196" spans="1:11" x14ac:dyDescent="0.3">
      <c r="A1196" s="6" t="s">
        <v>1203</v>
      </c>
      <c r="B1196" s="6" t="s">
        <v>2450</v>
      </c>
      <c r="C1196" s="7">
        <v>35230</v>
      </c>
      <c r="D1196" s="8">
        <v>39303</v>
      </c>
      <c r="E1196" s="6" t="s">
        <v>2603</v>
      </c>
      <c r="F1196" s="6">
        <v>141588</v>
      </c>
      <c r="G1196" s="6" t="s">
        <v>2615</v>
      </c>
      <c r="H1196" s="6" t="s">
        <v>2617</v>
      </c>
      <c r="I1196" s="6" t="s">
        <v>3280</v>
      </c>
      <c r="J1196" s="6" t="s">
        <v>3307</v>
      </c>
      <c r="K1196" s="6">
        <v>18</v>
      </c>
    </row>
    <row r="1197" spans="1:11" x14ac:dyDescent="0.3">
      <c r="A1197" s="6" t="s">
        <v>1204</v>
      </c>
      <c r="B1197" s="6" t="s">
        <v>2495</v>
      </c>
      <c r="C1197" s="7">
        <v>36006</v>
      </c>
      <c r="D1197" s="8">
        <v>32291</v>
      </c>
      <c r="E1197" s="6" t="s">
        <v>2601</v>
      </c>
      <c r="F1197" s="6">
        <v>28993</v>
      </c>
      <c r="G1197" s="6" t="s">
        <v>2609</v>
      </c>
      <c r="H1197" s="6" t="s">
        <v>2617</v>
      </c>
      <c r="I1197" s="6" t="s">
        <v>2925</v>
      </c>
      <c r="J1197" s="6" t="s">
        <v>3304</v>
      </c>
      <c r="K1197" s="6">
        <v>37</v>
      </c>
    </row>
    <row r="1198" spans="1:11" x14ac:dyDescent="0.3">
      <c r="A1198" s="6" t="s">
        <v>1205</v>
      </c>
      <c r="B1198" s="6" t="s">
        <v>2496</v>
      </c>
      <c r="C1198" s="7">
        <v>35595</v>
      </c>
      <c r="D1198" s="8">
        <v>39191</v>
      </c>
      <c r="E1198" s="6" t="s">
        <v>2599</v>
      </c>
      <c r="F1198" s="6">
        <v>122010</v>
      </c>
      <c r="G1198" s="6" t="s">
        <v>2606</v>
      </c>
      <c r="H1198" s="6" t="s">
        <v>2617</v>
      </c>
      <c r="I1198" s="6" t="s">
        <v>2788</v>
      </c>
      <c r="J1198" s="6" t="s">
        <v>3310</v>
      </c>
      <c r="K1198" s="6">
        <v>18</v>
      </c>
    </row>
    <row r="1199" spans="1:11" x14ac:dyDescent="0.3">
      <c r="A1199" s="6" t="s">
        <v>1206</v>
      </c>
      <c r="B1199" s="6" t="s">
        <v>2497</v>
      </c>
      <c r="C1199" s="7">
        <v>36674</v>
      </c>
      <c r="D1199" s="8">
        <v>31773</v>
      </c>
      <c r="E1199" s="6" t="s">
        <v>2605</v>
      </c>
      <c r="F1199" s="6">
        <v>182935</v>
      </c>
      <c r="G1199" s="6" t="s">
        <v>2606</v>
      </c>
      <c r="H1199" s="6" t="s">
        <v>2616</v>
      </c>
      <c r="I1199" s="6" t="s">
        <v>2985</v>
      </c>
      <c r="J1199" s="6" t="s">
        <v>3309</v>
      </c>
      <c r="K1199" s="6">
        <v>39</v>
      </c>
    </row>
    <row r="1200" spans="1:11" x14ac:dyDescent="0.3">
      <c r="A1200" s="6" t="s">
        <v>1207</v>
      </c>
      <c r="B1200" s="6" t="s">
        <v>2498</v>
      </c>
      <c r="C1200" s="7">
        <v>37149</v>
      </c>
      <c r="D1200" s="8">
        <v>44033</v>
      </c>
      <c r="E1200" s="6" t="s">
        <v>2604</v>
      </c>
      <c r="F1200" s="6">
        <v>61635</v>
      </c>
      <c r="G1200" s="6" t="s">
        <v>2611</v>
      </c>
      <c r="H1200" s="6" t="s">
        <v>2616</v>
      </c>
      <c r="I1200" s="6" t="s">
        <v>3196</v>
      </c>
      <c r="J1200" s="6" t="s">
        <v>3304</v>
      </c>
      <c r="K1200" s="6">
        <v>5</v>
      </c>
    </row>
    <row r="1201" spans="1:11" x14ac:dyDescent="0.3">
      <c r="A1201" s="6" t="s">
        <v>1208</v>
      </c>
      <c r="B1201" s="6" t="s">
        <v>2499</v>
      </c>
      <c r="C1201" s="7">
        <v>35499</v>
      </c>
      <c r="D1201" s="8">
        <v>34689</v>
      </c>
      <c r="E1201" s="6" t="s">
        <v>2600</v>
      </c>
      <c r="F1201" s="6">
        <v>77653</v>
      </c>
      <c r="G1201" s="6" t="s">
        <v>2611</v>
      </c>
      <c r="H1201" s="6" t="s">
        <v>2617</v>
      </c>
      <c r="I1201" s="6" t="s">
        <v>3285</v>
      </c>
      <c r="J1201" s="6" t="s">
        <v>3308</v>
      </c>
      <c r="K1201" s="6">
        <v>31</v>
      </c>
    </row>
    <row r="1202" spans="1:11" x14ac:dyDescent="0.3">
      <c r="A1202" s="6" t="s">
        <v>1209</v>
      </c>
      <c r="B1202" s="6" t="s">
        <v>2500</v>
      </c>
      <c r="C1202" s="7">
        <v>31583</v>
      </c>
      <c r="D1202" s="8">
        <v>44376</v>
      </c>
      <c r="E1202" s="6" t="s">
        <v>2605</v>
      </c>
      <c r="F1202" s="6">
        <v>158904</v>
      </c>
      <c r="G1202" s="6" t="s">
        <v>2606</v>
      </c>
      <c r="H1202" s="6" t="s">
        <v>2616</v>
      </c>
      <c r="I1202" s="6" t="s">
        <v>3286</v>
      </c>
      <c r="J1202" s="6" t="s">
        <v>3307</v>
      </c>
      <c r="K1202" s="6">
        <v>4</v>
      </c>
    </row>
    <row r="1203" spans="1:11" x14ac:dyDescent="0.3">
      <c r="A1203" s="6" t="s">
        <v>1210</v>
      </c>
      <c r="B1203" s="6" t="s">
        <v>2501</v>
      </c>
      <c r="C1203" s="7">
        <v>36888</v>
      </c>
      <c r="D1203" s="8">
        <v>42191</v>
      </c>
      <c r="E1203" s="6" t="s">
        <v>2601</v>
      </c>
      <c r="F1203" s="6">
        <v>124181</v>
      </c>
      <c r="G1203" s="6" t="s">
        <v>2608</v>
      </c>
      <c r="H1203" s="6" t="s">
        <v>2617</v>
      </c>
      <c r="I1203" s="6" t="s">
        <v>3218</v>
      </c>
      <c r="J1203" s="6" t="s">
        <v>3308</v>
      </c>
      <c r="K1203" s="6">
        <v>10</v>
      </c>
    </row>
    <row r="1204" spans="1:11" x14ac:dyDescent="0.3">
      <c r="A1204" s="6" t="s">
        <v>1211</v>
      </c>
      <c r="B1204" s="6" t="s">
        <v>2502</v>
      </c>
      <c r="C1204" s="7">
        <v>28293</v>
      </c>
      <c r="D1204" s="8">
        <v>35495</v>
      </c>
      <c r="E1204" s="6" t="s">
        <v>2604</v>
      </c>
      <c r="F1204" s="6">
        <v>162819</v>
      </c>
      <c r="G1204" s="6" t="s">
        <v>2607</v>
      </c>
      <c r="H1204" s="6" t="s">
        <v>2617</v>
      </c>
      <c r="I1204" s="6" t="s">
        <v>2817</v>
      </c>
      <c r="J1204" s="6" t="s">
        <v>3304</v>
      </c>
      <c r="K1204" s="6">
        <v>28</v>
      </c>
    </row>
    <row r="1205" spans="1:11" x14ac:dyDescent="0.3">
      <c r="A1205" s="6" t="s">
        <v>1212</v>
      </c>
      <c r="B1205" s="6" t="s">
        <v>2503</v>
      </c>
      <c r="C1205" s="7">
        <v>26884</v>
      </c>
      <c r="D1205" s="8">
        <v>29188</v>
      </c>
      <c r="E1205" s="6" t="s">
        <v>2599</v>
      </c>
      <c r="F1205" s="6">
        <v>58062</v>
      </c>
      <c r="G1205" s="6" t="s">
        <v>2610</v>
      </c>
      <c r="H1205" s="6" t="s">
        <v>2617</v>
      </c>
      <c r="I1205" s="6" t="s">
        <v>3287</v>
      </c>
      <c r="J1205" s="6" t="s">
        <v>3307</v>
      </c>
      <c r="K1205" s="6">
        <v>46</v>
      </c>
    </row>
    <row r="1206" spans="1:11" x14ac:dyDescent="0.3">
      <c r="A1206" s="6" t="s">
        <v>1213</v>
      </c>
      <c r="B1206" s="6" t="s">
        <v>2504</v>
      </c>
      <c r="C1206" s="7">
        <v>37564</v>
      </c>
      <c r="D1206" s="8">
        <v>31870</v>
      </c>
      <c r="E1206" s="6" t="s">
        <v>2599</v>
      </c>
      <c r="F1206" s="6">
        <v>64628</v>
      </c>
      <c r="G1206" s="6" t="s">
        <v>2606</v>
      </c>
      <c r="H1206" s="6" t="s">
        <v>2616</v>
      </c>
      <c r="I1206" s="6" t="s">
        <v>3288</v>
      </c>
      <c r="J1206" s="6" t="s">
        <v>3308</v>
      </c>
      <c r="K1206" s="6">
        <v>38</v>
      </c>
    </row>
    <row r="1207" spans="1:11" x14ac:dyDescent="0.3">
      <c r="A1207" s="6" t="s">
        <v>1214</v>
      </c>
      <c r="B1207" s="6" t="s">
        <v>2505</v>
      </c>
      <c r="C1207" s="7">
        <v>32917</v>
      </c>
      <c r="D1207" s="8">
        <v>39879</v>
      </c>
      <c r="E1207" s="6" t="s">
        <v>2605</v>
      </c>
      <c r="F1207" s="6">
        <v>59759</v>
      </c>
      <c r="G1207" s="6" t="s">
        <v>2608</v>
      </c>
      <c r="H1207" s="6" t="s">
        <v>2616</v>
      </c>
      <c r="I1207" s="6" t="s">
        <v>2822</v>
      </c>
      <c r="J1207" s="6" t="s">
        <v>3310</v>
      </c>
      <c r="K1207" s="6">
        <v>16</v>
      </c>
    </row>
    <row r="1208" spans="1:11" x14ac:dyDescent="0.3">
      <c r="A1208" s="6" t="s">
        <v>1215</v>
      </c>
      <c r="B1208" s="6" t="s">
        <v>2506</v>
      </c>
      <c r="C1208" s="7">
        <v>26743</v>
      </c>
      <c r="D1208" s="8">
        <v>27971</v>
      </c>
      <c r="E1208" s="6" t="s">
        <v>2599</v>
      </c>
      <c r="F1208" s="6">
        <v>29174</v>
      </c>
      <c r="G1208" s="6" t="s">
        <v>2615</v>
      </c>
      <c r="H1208" s="6" t="s">
        <v>2617</v>
      </c>
      <c r="I1208" s="6" t="s">
        <v>2999</v>
      </c>
      <c r="J1208" s="6" t="s">
        <v>3310</v>
      </c>
      <c r="K1208" s="6">
        <v>49</v>
      </c>
    </row>
    <row r="1209" spans="1:11" x14ac:dyDescent="0.3">
      <c r="A1209" s="6" t="s">
        <v>1216</v>
      </c>
      <c r="B1209" s="6" t="s">
        <v>2507</v>
      </c>
      <c r="C1209" s="7">
        <v>26993</v>
      </c>
      <c r="D1209" s="8">
        <v>39439</v>
      </c>
      <c r="E1209" s="6" t="s">
        <v>2601</v>
      </c>
      <c r="F1209" s="6">
        <v>80530</v>
      </c>
      <c r="G1209" s="6" t="s">
        <v>2606</v>
      </c>
      <c r="H1209" s="6" t="s">
        <v>2617</v>
      </c>
      <c r="I1209" s="6" t="s">
        <v>3125</v>
      </c>
      <c r="J1209" s="6" t="s">
        <v>3305</v>
      </c>
      <c r="K1209" s="6">
        <v>18</v>
      </c>
    </row>
    <row r="1210" spans="1:11" x14ac:dyDescent="0.3">
      <c r="A1210" s="6" t="s">
        <v>1217</v>
      </c>
      <c r="B1210" s="6" t="s">
        <v>2508</v>
      </c>
      <c r="C1210" s="7">
        <v>24305</v>
      </c>
      <c r="D1210" s="8">
        <v>35926</v>
      </c>
      <c r="E1210" s="6" t="s">
        <v>2603</v>
      </c>
      <c r="F1210" s="6">
        <v>103039</v>
      </c>
      <c r="G1210" s="6" t="s">
        <v>2613</v>
      </c>
      <c r="H1210" s="6" t="s">
        <v>2617</v>
      </c>
      <c r="I1210" s="6" t="s">
        <v>3151</v>
      </c>
      <c r="J1210" s="6" t="s">
        <v>3306</v>
      </c>
      <c r="K1210" s="6">
        <v>27</v>
      </c>
    </row>
    <row r="1211" spans="1:11" x14ac:dyDescent="0.3">
      <c r="A1211" s="6" t="s">
        <v>1218</v>
      </c>
      <c r="B1211" s="6" t="s">
        <v>2509</v>
      </c>
      <c r="C1211" s="7">
        <v>25472</v>
      </c>
      <c r="D1211" s="8">
        <v>35653</v>
      </c>
      <c r="E1211" s="6" t="s">
        <v>2605</v>
      </c>
      <c r="F1211" s="6">
        <v>191711</v>
      </c>
      <c r="G1211" s="6" t="s">
        <v>2609</v>
      </c>
      <c r="H1211" s="6" t="s">
        <v>2617</v>
      </c>
      <c r="I1211" s="6" t="s">
        <v>2786</v>
      </c>
      <c r="J1211" s="6" t="s">
        <v>3308</v>
      </c>
      <c r="K1211" s="6">
        <v>28</v>
      </c>
    </row>
    <row r="1212" spans="1:11" x14ac:dyDescent="0.3">
      <c r="A1212" s="6" t="s">
        <v>1219</v>
      </c>
      <c r="B1212" s="6" t="s">
        <v>2510</v>
      </c>
      <c r="C1212" s="7">
        <v>37252</v>
      </c>
      <c r="D1212" s="8">
        <v>37052</v>
      </c>
      <c r="E1212" s="6" t="s">
        <v>2602</v>
      </c>
      <c r="F1212" s="6">
        <v>40825</v>
      </c>
      <c r="G1212" s="6" t="s">
        <v>2607</v>
      </c>
      <c r="H1212" s="6" t="s">
        <v>2617</v>
      </c>
      <c r="I1212" s="6" t="s">
        <v>2890</v>
      </c>
      <c r="J1212" s="6" t="s">
        <v>3310</v>
      </c>
      <c r="K1212" s="6">
        <v>24</v>
      </c>
    </row>
    <row r="1213" spans="1:11" x14ac:dyDescent="0.3">
      <c r="A1213" s="6" t="s">
        <v>1220</v>
      </c>
      <c r="B1213" s="6" t="s">
        <v>2511</v>
      </c>
      <c r="C1213" s="7">
        <v>29500</v>
      </c>
      <c r="D1213" s="8">
        <v>27662</v>
      </c>
      <c r="E1213" s="6" t="s">
        <v>2602</v>
      </c>
      <c r="F1213" s="6">
        <v>168507</v>
      </c>
      <c r="G1213" s="6" t="s">
        <v>2606</v>
      </c>
      <c r="H1213" s="6" t="s">
        <v>2617</v>
      </c>
      <c r="I1213" s="6" t="s">
        <v>2734</v>
      </c>
      <c r="J1213" s="6" t="s">
        <v>3309</v>
      </c>
      <c r="K1213" s="6">
        <v>50</v>
      </c>
    </row>
    <row r="1214" spans="1:11" x14ac:dyDescent="0.3">
      <c r="A1214" s="6" t="s">
        <v>1221</v>
      </c>
      <c r="B1214" s="6" t="s">
        <v>2512</v>
      </c>
      <c r="C1214" s="7">
        <v>35710</v>
      </c>
      <c r="D1214" s="8">
        <v>32385</v>
      </c>
      <c r="E1214" s="6" t="s">
        <v>2602</v>
      </c>
      <c r="F1214" s="6">
        <v>175390</v>
      </c>
      <c r="G1214" s="6" t="s">
        <v>2614</v>
      </c>
      <c r="H1214" s="6" t="s">
        <v>2616</v>
      </c>
      <c r="I1214" s="6" t="s">
        <v>3211</v>
      </c>
      <c r="J1214" s="6" t="s">
        <v>3310</v>
      </c>
      <c r="K1214" s="6">
        <v>37</v>
      </c>
    </row>
    <row r="1215" spans="1:11" x14ac:dyDescent="0.3">
      <c r="A1215" s="6" t="s">
        <v>1222</v>
      </c>
      <c r="B1215" s="6" t="s">
        <v>2513</v>
      </c>
      <c r="C1215" s="7">
        <v>36336</v>
      </c>
      <c r="D1215" s="8">
        <v>43910</v>
      </c>
      <c r="E1215" s="6" t="s">
        <v>2599</v>
      </c>
      <c r="F1215" s="6">
        <v>33130</v>
      </c>
      <c r="G1215" s="6" t="s">
        <v>2609</v>
      </c>
      <c r="H1215" s="6" t="s">
        <v>2616</v>
      </c>
      <c r="I1215" s="6" t="s">
        <v>3279</v>
      </c>
      <c r="J1215" s="6" t="s">
        <v>3309</v>
      </c>
      <c r="K1215" s="6">
        <v>5</v>
      </c>
    </row>
    <row r="1216" spans="1:11" x14ac:dyDescent="0.3">
      <c r="A1216" s="6" t="s">
        <v>1223</v>
      </c>
      <c r="B1216" s="6" t="s">
        <v>2514</v>
      </c>
      <c r="C1216" s="7">
        <v>21869</v>
      </c>
      <c r="D1216" s="8">
        <v>27944</v>
      </c>
      <c r="E1216" s="6" t="s">
        <v>2605</v>
      </c>
      <c r="F1216" s="6">
        <v>67883</v>
      </c>
      <c r="G1216" s="6" t="s">
        <v>2608</v>
      </c>
      <c r="H1216" s="6" t="s">
        <v>2617</v>
      </c>
      <c r="I1216" s="6" t="s">
        <v>3196</v>
      </c>
      <c r="J1216" s="6" t="s">
        <v>3310</v>
      </c>
      <c r="K1216" s="6">
        <v>49</v>
      </c>
    </row>
    <row r="1217" spans="1:11" x14ac:dyDescent="0.3">
      <c r="A1217" s="6" t="s">
        <v>1224</v>
      </c>
      <c r="B1217" s="6" t="s">
        <v>2515</v>
      </c>
      <c r="C1217" s="7">
        <v>31757</v>
      </c>
      <c r="D1217" s="8">
        <v>44030</v>
      </c>
      <c r="E1217" s="6" t="s">
        <v>2605</v>
      </c>
      <c r="F1217" s="6">
        <v>150886</v>
      </c>
      <c r="G1217" s="6" t="s">
        <v>2608</v>
      </c>
      <c r="H1217" s="6" t="s">
        <v>2616</v>
      </c>
      <c r="I1217" s="6" t="s">
        <v>2879</v>
      </c>
      <c r="J1217" s="6" t="s">
        <v>3305</v>
      </c>
      <c r="K1217" s="6">
        <v>5</v>
      </c>
    </row>
    <row r="1218" spans="1:11" x14ac:dyDescent="0.3">
      <c r="A1218" s="6" t="s">
        <v>1225</v>
      </c>
      <c r="B1218" s="6" t="s">
        <v>2516</v>
      </c>
      <c r="C1218" s="7">
        <v>25256</v>
      </c>
      <c r="D1218" s="8">
        <v>37213</v>
      </c>
      <c r="E1218" s="6" t="s">
        <v>2605</v>
      </c>
      <c r="F1218" s="6">
        <v>64719</v>
      </c>
      <c r="G1218" s="6" t="s">
        <v>2610</v>
      </c>
      <c r="H1218" s="6" t="s">
        <v>2616</v>
      </c>
      <c r="I1218" s="6" t="s">
        <v>2619</v>
      </c>
      <c r="J1218" s="6" t="s">
        <v>3305</v>
      </c>
      <c r="K1218" s="6">
        <v>24</v>
      </c>
    </row>
    <row r="1219" spans="1:11" x14ac:dyDescent="0.3">
      <c r="A1219" s="6" t="s">
        <v>1226</v>
      </c>
      <c r="B1219" s="6" t="s">
        <v>2517</v>
      </c>
      <c r="C1219" s="7">
        <v>21645</v>
      </c>
      <c r="D1219" s="8">
        <v>44429</v>
      </c>
      <c r="E1219" s="6" t="s">
        <v>2601</v>
      </c>
      <c r="F1219" s="6">
        <v>95658</v>
      </c>
      <c r="G1219" s="6" t="s">
        <v>2614</v>
      </c>
      <c r="H1219" s="6" t="s">
        <v>2617</v>
      </c>
      <c r="I1219" s="6" t="s">
        <v>2821</v>
      </c>
      <c r="J1219" s="6" t="s">
        <v>3308</v>
      </c>
      <c r="K1219" s="6">
        <v>4</v>
      </c>
    </row>
    <row r="1220" spans="1:11" x14ac:dyDescent="0.3">
      <c r="A1220" s="6" t="s">
        <v>1227</v>
      </c>
      <c r="B1220" s="6" t="s">
        <v>2518</v>
      </c>
      <c r="C1220" s="7">
        <v>30062</v>
      </c>
      <c r="D1220" s="8">
        <v>31000</v>
      </c>
      <c r="E1220" s="6" t="s">
        <v>2600</v>
      </c>
      <c r="F1220" s="6">
        <v>39889</v>
      </c>
      <c r="G1220" s="6" t="s">
        <v>2611</v>
      </c>
      <c r="H1220" s="6" t="s">
        <v>2617</v>
      </c>
      <c r="I1220" s="6" t="s">
        <v>3188</v>
      </c>
      <c r="J1220" s="6" t="s">
        <v>3310</v>
      </c>
      <c r="K1220" s="6">
        <v>41</v>
      </c>
    </row>
    <row r="1221" spans="1:11" x14ac:dyDescent="0.3">
      <c r="A1221" s="6" t="s">
        <v>1228</v>
      </c>
      <c r="B1221" s="6" t="s">
        <v>2519</v>
      </c>
      <c r="C1221" s="7">
        <v>27287</v>
      </c>
      <c r="D1221" s="8">
        <v>43864</v>
      </c>
      <c r="E1221" s="6" t="s">
        <v>2602</v>
      </c>
      <c r="F1221" s="6">
        <v>184717</v>
      </c>
      <c r="G1221" s="6" t="s">
        <v>2611</v>
      </c>
      <c r="H1221" s="6" t="s">
        <v>2617</v>
      </c>
      <c r="I1221" s="6" t="s">
        <v>2619</v>
      </c>
      <c r="J1221" s="6" t="s">
        <v>3304</v>
      </c>
      <c r="K1221" s="6">
        <v>5</v>
      </c>
    </row>
    <row r="1222" spans="1:11" x14ac:dyDescent="0.3">
      <c r="A1222" s="6" t="s">
        <v>1229</v>
      </c>
      <c r="B1222" s="6" t="s">
        <v>2520</v>
      </c>
      <c r="C1222" s="7">
        <v>35741</v>
      </c>
      <c r="D1222" s="8">
        <v>26022</v>
      </c>
      <c r="E1222" s="6" t="s">
        <v>2605</v>
      </c>
      <c r="F1222" s="6">
        <v>182633</v>
      </c>
      <c r="G1222" s="6" t="s">
        <v>2614</v>
      </c>
      <c r="H1222" s="6" t="s">
        <v>2617</v>
      </c>
      <c r="I1222" s="6" t="s">
        <v>2991</v>
      </c>
      <c r="J1222" s="6" t="s">
        <v>3305</v>
      </c>
      <c r="K1222" s="6">
        <v>54</v>
      </c>
    </row>
    <row r="1223" spans="1:11" x14ac:dyDescent="0.3">
      <c r="A1223" s="6" t="s">
        <v>1230</v>
      </c>
      <c r="B1223" s="6" t="s">
        <v>2521</v>
      </c>
      <c r="C1223" s="7">
        <v>28165</v>
      </c>
      <c r="D1223" s="8">
        <v>43663</v>
      </c>
      <c r="E1223" s="6" t="s">
        <v>2600</v>
      </c>
      <c r="F1223" s="6">
        <v>58546</v>
      </c>
      <c r="G1223" s="6" t="s">
        <v>2610</v>
      </c>
      <c r="H1223" s="6" t="s">
        <v>2616</v>
      </c>
      <c r="I1223" s="6" t="s">
        <v>3265</v>
      </c>
      <c r="J1223" s="6" t="s">
        <v>3309</v>
      </c>
      <c r="K1223" s="6">
        <v>6</v>
      </c>
    </row>
    <row r="1224" spans="1:11" x14ac:dyDescent="0.3">
      <c r="A1224" s="6" t="s">
        <v>1231</v>
      </c>
      <c r="B1224" s="6" t="s">
        <v>2522</v>
      </c>
      <c r="C1224" s="7">
        <v>26697</v>
      </c>
      <c r="D1224" s="8">
        <v>26887</v>
      </c>
      <c r="E1224" s="6" t="s">
        <v>2602</v>
      </c>
      <c r="F1224" s="6">
        <v>121469</v>
      </c>
      <c r="G1224" s="6" t="s">
        <v>2612</v>
      </c>
      <c r="H1224" s="6" t="s">
        <v>2616</v>
      </c>
      <c r="I1224" s="6" t="s">
        <v>3289</v>
      </c>
      <c r="J1224" s="6" t="s">
        <v>3310</v>
      </c>
      <c r="K1224" s="6">
        <v>52</v>
      </c>
    </row>
    <row r="1225" spans="1:11" x14ac:dyDescent="0.3">
      <c r="A1225" s="6" t="s">
        <v>1232</v>
      </c>
      <c r="B1225" s="6" t="s">
        <v>2523</v>
      </c>
      <c r="C1225" s="7">
        <v>36781</v>
      </c>
      <c r="D1225" s="8">
        <v>40840</v>
      </c>
      <c r="E1225" s="6" t="s">
        <v>2600</v>
      </c>
      <c r="F1225" s="6">
        <v>174595</v>
      </c>
      <c r="G1225" s="6" t="s">
        <v>2608</v>
      </c>
      <c r="H1225" s="6" t="s">
        <v>2617</v>
      </c>
      <c r="I1225" s="6" t="s">
        <v>2699</v>
      </c>
      <c r="J1225" s="6" t="s">
        <v>3308</v>
      </c>
      <c r="K1225" s="6">
        <v>14</v>
      </c>
    </row>
    <row r="1226" spans="1:11" x14ac:dyDescent="0.3">
      <c r="A1226" s="6" t="s">
        <v>1233</v>
      </c>
      <c r="B1226" s="6" t="s">
        <v>2524</v>
      </c>
      <c r="C1226" s="7">
        <v>23969</v>
      </c>
      <c r="D1226" s="8">
        <v>44722</v>
      </c>
      <c r="E1226" s="6"/>
      <c r="F1226" s="6">
        <v>28552</v>
      </c>
      <c r="G1226" s="6" t="s">
        <v>2610</v>
      </c>
      <c r="H1226" s="6" t="s">
        <v>2617</v>
      </c>
      <c r="I1226" s="6" t="s">
        <v>3290</v>
      </c>
      <c r="J1226" s="6" t="s">
        <v>3307</v>
      </c>
      <c r="K1226" s="6">
        <v>3</v>
      </c>
    </row>
    <row r="1227" spans="1:11" x14ac:dyDescent="0.3">
      <c r="A1227" s="6" t="s">
        <v>1234</v>
      </c>
      <c r="B1227" s="6" t="s">
        <v>2525</v>
      </c>
      <c r="C1227" s="7">
        <v>27861</v>
      </c>
      <c r="D1227" s="8">
        <v>38315</v>
      </c>
      <c r="E1227" s="6" t="s">
        <v>2605</v>
      </c>
      <c r="F1227" s="6">
        <v>77288</v>
      </c>
      <c r="G1227" s="6" t="s">
        <v>2613</v>
      </c>
      <c r="H1227" s="6" t="s">
        <v>2616</v>
      </c>
      <c r="I1227" s="6" t="s">
        <v>2993</v>
      </c>
      <c r="J1227" s="6" t="s">
        <v>3306</v>
      </c>
      <c r="K1227" s="6">
        <v>21</v>
      </c>
    </row>
    <row r="1228" spans="1:11" x14ac:dyDescent="0.3">
      <c r="A1228" s="6" t="s">
        <v>1235</v>
      </c>
      <c r="B1228" s="6" t="s">
        <v>2526</v>
      </c>
      <c r="C1228" s="7">
        <v>29900</v>
      </c>
      <c r="D1228" s="8">
        <v>27918</v>
      </c>
      <c r="E1228" s="6" t="s">
        <v>2599</v>
      </c>
      <c r="F1228" s="6"/>
      <c r="G1228" s="6" t="s">
        <v>2606</v>
      </c>
      <c r="H1228" s="6" t="s">
        <v>2617</v>
      </c>
      <c r="I1228" s="6" t="s">
        <v>2877</v>
      </c>
      <c r="J1228" s="6" t="s">
        <v>3309</v>
      </c>
      <c r="K1228" s="6">
        <v>49</v>
      </c>
    </row>
    <row r="1229" spans="1:11" x14ac:dyDescent="0.3">
      <c r="A1229" s="6" t="s">
        <v>1236</v>
      </c>
      <c r="B1229" s="6" t="s">
        <v>2527</v>
      </c>
      <c r="C1229" s="7">
        <v>31255</v>
      </c>
      <c r="D1229" s="8">
        <v>42359</v>
      </c>
      <c r="E1229" s="6" t="s">
        <v>2599</v>
      </c>
      <c r="F1229" s="6">
        <v>135183</v>
      </c>
      <c r="G1229" s="6" t="s">
        <v>2612</v>
      </c>
      <c r="H1229" s="6" t="s">
        <v>2616</v>
      </c>
      <c r="I1229" s="6" t="s">
        <v>3181</v>
      </c>
      <c r="J1229" s="6" t="s">
        <v>3306</v>
      </c>
      <c r="K1229" s="6">
        <v>10</v>
      </c>
    </row>
    <row r="1230" spans="1:11" x14ac:dyDescent="0.3">
      <c r="A1230" s="6" t="s">
        <v>1237</v>
      </c>
      <c r="B1230" s="6" t="s">
        <v>2528</v>
      </c>
      <c r="C1230" s="7">
        <v>32211</v>
      </c>
      <c r="D1230" s="8">
        <v>35556</v>
      </c>
      <c r="E1230" s="6" t="s">
        <v>2605</v>
      </c>
      <c r="F1230" s="6">
        <v>199126</v>
      </c>
      <c r="G1230" s="6" t="s">
        <v>2612</v>
      </c>
      <c r="H1230" s="6" t="s">
        <v>2616</v>
      </c>
      <c r="I1230" s="6" t="s">
        <v>3001</v>
      </c>
      <c r="J1230" s="6" t="s">
        <v>3305</v>
      </c>
      <c r="K1230" s="6">
        <v>28</v>
      </c>
    </row>
    <row r="1231" spans="1:11" x14ac:dyDescent="0.3">
      <c r="A1231" s="6" t="s">
        <v>1238</v>
      </c>
      <c r="B1231" s="6" t="s">
        <v>2529</v>
      </c>
      <c r="C1231" s="7">
        <v>35619</v>
      </c>
      <c r="D1231" s="8">
        <v>36337</v>
      </c>
      <c r="E1231" s="6" t="s">
        <v>2602</v>
      </c>
      <c r="F1231" s="6">
        <v>182259</v>
      </c>
      <c r="G1231" s="6" t="s">
        <v>2613</v>
      </c>
      <c r="H1231" s="6" t="s">
        <v>2616</v>
      </c>
      <c r="I1231" s="6" t="s">
        <v>3029</v>
      </c>
      <c r="J1231" s="6" t="s">
        <v>3308</v>
      </c>
      <c r="K1231" s="6">
        <v>26</v>
      </c>
    </row>
    <row r="1232" spans="1:11" x14ac:dyDescent="0.3">
      <c r="A1232" s="6" t="s">
        <v>1239</v>
      </c>
      <c r="B1232" s="6" t="s">
        <v>2530</v>
      </c>
      <c r="C1232" s="7">
        <v>34757</v>
      </c>
      <c r="D1232" s="8">
        <v>37437</v>
      </c>
      <c r="E1232" s="6" t="s">
        <v>2600</v>
      </c>
      <c r="F1232" s="6">
        <v>92307</v>
      </c>
      <c r="G1232" s="6" t="s">
        <v>2610</v>
      </c>
      <c r="H1232" s="6" t="s">
        <v>2616</v>
      </c>
      <c r="I1232" s="6" t="s">
        <v>3124</v>
      </c>
      <c r="J1232" s="6" t="s">
        <v>3307</v>
      </c>
      <c r="K1232" s="6">
        <v>23</v>
      </c>
    </row>
    <row r="1233" spans="1:11" x14ac:dyDescent="0.3">
      <c r="A1233" s="6" t="s">
        <v>1240</v>
      </c>
      <c r="B1233" s="6" t="s">
        <v>2531</v>
      </c>
      <c r="C1233" s="7">
        <v>34189</v>
      </c>
      <c r="D1233" s="8">
        <v>28013</v>
      </c>
      <c r="E1233" s="6" t="s">
        <v>2603</v>
      </c>
      <c r="F1233" s="6">
        <v>85687</v>
      </c>
      <c r="G1233" s="6" t="s">
        <v>2611</v>
      </c>
      <c r="H1233" s="6" t="s">
        <v>2616</v>
      </c>
      <c r="I1233" s="6" t="s">
        <v>3267</v>
      </c>
      <c r="J1233" s="6" t="s">
        <v>3307</v>
      </c>
      <c r="K1233" s="6">
        <v>49</v>
      </c>
    </row>
    <row r="1234" spans="1:11" x14ac:dyDescent="0.3">
      <c r="A1234" s="6" t="s">
        <v>1241</v>
      </c>
      <c r="B1234" s="6" t="s">
        <v>2532</v>
      </c>
      <c r="C1234" s="7">
        <v>28945</v>
      </c>
      <c r="D1234" s="8">
        <v>40313</v>
      </c>
      <c r="E1234" s="6" t="s">
        <v>2599</v>
      </c>
      <c r="F1234" s="6">
        <v>21961</v>
      </c>
      <c r="G1234" s="6" t="s">
        <v>2613</v>
      </c>
      <c r="H1234" s="6" t="s">
        <v>2616</v>
      </c>
      <c r="I1234" s="6" t="s">
        <v>3291</v>
      </c>
      <c r="J1234" s="6" t="s">
        <v>3305</v>
      </c>
      <c r="K1234" s="6">
        <v>15</v>
      </c>
    </row>
    <row r="1235" spans="1:11" x14ac:dyDescent="0.3">
      <c r="A1235" s="6" t="s">
        <v>1242</v>
      </c>
      <c r="B1235" s="6" t="s">
        <v>2533</v>
      </c>
      <c r="C1235" s="7">
        <v>26955</v>
      </c>
      <c r="D1235" s="8">
        <v>30572</v>
      </c>
      <c r="E1235" s="6" t="s">
        <v>2602</v>
      </c>
      <c r="F1235" s="6">
        <v>27152</v>
      </c>
      <c r="G1235" s="6" t="s">
        <v>2613</v>
      </c>
      <c r="H1235" s="6" t="s">
        <v>2616</v>
      </c>
      <c r="I1235" s="6" t="s">
        <v>3292</v>
      </c>
      <c r="J1235" s="6" t="s">
        <v>3305</v>
      </c>
      <c r="K1235" s="6">
        <v>42</v>
      </c>
    </row>
    <row r="1236" spans="1:11" x14ac:dyDescent="0.3">
      <c r="A1236" s="6" t="s">
        <v>1243</v>
      </c>
      <c r="B1236" s="6" t="s">
        <v>2534</v>
      </c>
      <c r="C1236" s="7">
        <v>28117</v>
      </c>
      <c r="D1236" s="8">
        <v>42013</v>
      </c>
      <c r="E1236" s="6" t="s">
        <v>2599</v>
      </c>
      <c r="F1236" s="6">
        <v>135683</v>
      </c>
      <c r="G1236" s="6" t="s">
        <v>2610</v>
      </c>
      <c r="H1236" s="6" t="s">
        <v>2616</v>
      </c>
      <c r="I1236" s="6" t="s">
        <v>2827</v>
      </c>
      <c r="J1236" s="6" t="s">
        <v>3307</v>
      </c>
      <c r="K1236" s="6">
        <v>10</v>
      </c>
    </row>
    <row r="1237" spans="1:11" x14ac:dyDescent="0.3">
      <c r="A1237" s="6" t="s">
        <v>1244</v>
      </c>
      <c r="B1237" s="6" t="s">
        <v>2535</v>
      </c>
      <c r="C1237" s="7">
        <v>34583</v>
      </c>
      <c r="D1237" s="8">
        <v>31207</v>
      </c>
      <c r="E1237" s="6" t="s">
        <v>2603</v>
      </c>
      <c r="F1237" s="6">
        <v>113645</v>
      </c>
      <c r="G1237" s="6" t="s">
        <v>2611</v>
      </c>
      <c r="H1237" s="6" t="s">
        <v>2617</v>
      </c>
      <c r="I1237" s="6" t="s">
        <v>3293</v>
      </c>
      <c r="J1237" s="6" t="s">
        <v>3305</v>
      </c>
      <c r="K1237" s="6">
        <v>40</v>
      </c>
    </row>
    <row r="1238" spans="1:11" x14ac:dyDescent="0.3">
      <c r="A1238" s="6" t="s">
        <v>1245</v>
      </c>
      <c r="B1238" s="6" t="s">
        <v>2536</v>
      </c>
      <c r="C1238" s="7">
        <v>29792</v>
      </c>
      <c r="D1238" s="8">
        <v>37938</v>
      </c>
      <c r="E1238" s="6" t="s">
        <v>2602</v>
      </c>
      <c r="F1238" s="6">
        <v>77655</v>
      </c>
      <c r="G1238" s="6" t="s">
        <v>2614</v>
      </c>
      <c r="H1238" s="6" t="s">
        <v>2616</v>
      </c>
      <c r="I1238" s="6" t="s">
        <v>3280</v>
      </c>
      <c r="J1238" s="6" t="s">
        <v>3306</v>
      </c>
      <c r="K1238" s="6">
        <v>22</v>
      </c>
    </row>
    <row r="1239" spans="1:11" x14ac:dyDescent="0.3">
      <c r="A1239" s="6" t="s">
        <v>1246</v>
      </c>
      <c r="B1239" s="6" t="s">
        <v>2537</v>
      </c>
      <c r="C1239" s="7">
        <v>34948</v>
      </c>
      <c r="D1239" s="8">
        <v>26053</v>
      </c>
      <c r="E1239" s="6" t="s">
        <v>2601</v>
      </c>
      <c r="F1239" s="6">
        <v>79335</v>
      </c>
      <c r="G1239" s="6" t="s">
        <v>2611</v>
      </c>
      <c r="H1239" s="6" t="s">
        <v>2616</v>
      </c>
      <c r="I1239" s="6" t="s">
        <v>3150</v>
      </c>
      <c r="J1239" s="6" t="s">
        <v>3305</v>
      </c>
      <c r="K1239" s="6">
        <v>54</v>
      </c>
    </row>
    <row r="1240" spans="1:11" x14ac:dyDescent="0.3">
      <c r="A1240" s="6" t="s">
        <v>1247</v>
      </c>
      <c r="B1240" s="6" t="s">
        <v>2538</v>
      </c>
      <c r="C1240" s="7">
        <v>24634</v>
      </c>
      <c r="D1240" s="8">
        <v>40695</v>
      </c>
      <c r="E1240" s="6" t="s">
        <v>2604</v>
      </c>
      <c r="F1240" s="6">
        <v>63125</v>
      </c>
      <c r="G1240" s="6" t="s">
        <v>2610</v>
      </c>
      <c r="H1240" s="6" t="s">
        <v>2617</v>
      </c>
      <c r="I1240" s="6" t="s">
        <v>2930</v>
      </c>
      <c r="J1240" s="6" t="s">
        <v>3309</v>
      </c>
      <c r="K1240" s="6">
        <v>14</v>
      </c>
    </row>
    <row r="1241" spans="1:11" x14ac:dyDescent="0.3">
      <c r="A1241" s="6" t="s">
        <v>1248</v>
      </c>
      <c r="B1241" s="6" t="s">
        <v>2539</v>
      </c>
      <c r="C1241" s="7">
        <v>35285</v>
      </c>
      <c r="D1241" s="8">
        <v>32363</v>
      </c>
      <c r="E1241" s="6" t="s">
        <v>2599</v>
      </c>
      <c r="F1241" s="6">
        <v>169153</v>
      </c>
      <c r="G1241" s="6" t="s">
        <v>2611</v>
      </c>
      <c r="H1241" s="6" t="s">
        <v>2617</v>
      </c>
      <c r="I1241" s="6" t="s">
        <v>3000</v>
      </c>
      <c r="J1241" s="6" t="s">
        <v>3310</v>
      </c>
      <c r="K1241" s="6">
        <v>37</v>
      </c>
    </row>
    <row r="1242" spans="1:11" x14ac:dyDescent="0.3">
      <c r="A1242" s="6" t="s">
        <v>1249</v>
      </c>
      <c r="B1242" s="6" t="s">
        <v>2540</v>
      </c>
      <c r="C1242" s="7">
        <v>30691</v>
      </c>
      <c r="D1242" s="8">
        <v>40987</v>
      </c>
      <c r="E1242" s="6" t="s">
        <v>2599</v>
      </c>
      <c r="F1242" s="6">
        <v>133853</v>
      </c>
      <c r="G1242" s="6" t="s">
        <v>2610</v>
      </c>
      <c r="H1242" s="6" t="s">
        <v>2617</v>
      </c>
      <c r="I1242" s="6" t="s">
        <v>3294</v>
      </c>
      <c r="J1242" s="6" t="s">
        <v>3308</v>
      </c>
      <c r="K1242" s="6">
        <v>13</v>
      </c>
    </row>
    <row r="1243" spans="1:11" x14ac:dyDescent="0.3">
      <c r="A1243" s="6" t="s">
        <v>1250</v>
      </c>
      <c r="B1243" s="6" t="s">
        <v>2541</v>
      </c>
      <c r="C1243" s="7">
        <v>30383</v>
      </c>
      <c r="D1243" s="8">
        <v>32385</v>
      </c>
      <c r="E1243" s="6" t="s">
        <v>2600</v>
      </c>
      <c r="F1243" s="6">
        <v>22976</v>
      </c>
      <c r="G1243" s="6" t="s">
        <v>2606</v>
      </c>
      <c r="H1243" s="6" t="s">
        <v>2616</v>
      </c>
      <c r="I1243" s="6" t="s">
        <v>3295</v>
      </c>
      <c r="J1243" s="6" t="s">
        <v>3310</v>
      </c>
      <c r="K1243" s="6">
        <v>37</v>
      </c>
    </row>
    <row r="1244" spans="1:11" x14ac:dyDescent="0.3">
      <c r="A1244" s="6" t="s">
        <v>1251</v>
      </c>
      <c r="B1244" s="6" t="s">
        <v>2542</v>
      </c>
      <c r="C1244" s="7">
        <v>36929</v>
      </c>
      <c r="D1244" s="8">
        <v>34898</v>
      </c>
      <c r="E1244" s="6" t="s">
        <v>2600</v>
      </c>
      <c r="F1244" s="6">
        <v>194616</v>
      </c>
      <c r="G1244" s="6" t="s">
        <v>2615</v>
      </c>
      <c r="H1244" s="6" t="s">
        <v>2617</v>
      </c>
      <c r="I1244" s="6" t="s">
        <v>2949</v>
      </c>
      <c r="J1244" s="6" t="s">
        <v>3304</v>
      </c>
      <c r="K1244" s="6">
        <v>30</v>
      </c>
    </row>
    <row r="1245" spans="1:11" x14ac:dyDescent="0.3">
      <c r="A1245" s="6" t="s">
        <v>1252</v>
      </c>
      <c r="B1245" s="6" t="s">
        <v>2543</v>
      </c>
      <c r="C1245" s="7">
        <v>29354</v>
      </c>
      <c r="D1245" s="8">
        <v>41829</v>
      </c>
      <c r="E1245" s="6" t="s">
        <v>2604</v>
      </c>
      <c r="F1245" s="6">
        <v>43747</v>
      </c>
      <c r="G1245" s="6" t="s">
        <v>2615</v>
      </c>
      <c r="H1245" s="6" t="s">
        <v>2616</v>
      </c>
      <c r="I1245" s="6" t="s">
        <v>2837</v>
      </c>
      <c r="J1245" s="6" t="s">
        <v>3304</v>
      </c>
      <c r="K1245" s="6">
        <v>11</v>
      </c>
    </row>
    <row r="1246" spans="1:11" x14ac:dyDescent="0.3">
      <c r="A1246" s="6" t="s">
        <v>1253</v>
      </c>
      <c r="B1246" s="6" t="s">
        <v>2544</v>
      </c>
      <c r="C1246" s="7">
        <v>30016</v>
      </c>
      <c r="D1246" s="8">
        <v>39484</v>
      </c>
      <c r="E1246" s="6" t="s">
        <v>2600</v>
      </c>
      <c r="F1246" s="6">
        <v>199792</v>
      </c>
      <c r="G1246" s="6" t="s">
        <v>2615</v>
      </c>
      <c r="H1246" s="6" t="s">
        <v>2617</v>
      </c>
      <c r="I1246" s="6" t="s">
        <v>3121</v>
      </c>
      <c r="J1246" s="6" t="s">
        <v>3304</v>
      </c>
      <c r="K1246" s="6">
        <v>17</v>
      </c>
    </row>
    <row r="1247" spans="1:11" x14ac:dyDescent="0.3">
      <c r="A1247" s="6" t="s">
        <v>1254</v>
      </c>
      <c r="B1247" s="6" t="s">
        <v>2545</v>
      </c>
      <c r="C1247" s="7">
        <v>29775</v>
      </c>
      <c r="D1247" s="8">
        <v>32157</v>
      </c>
      <c r="E1247" s="6" t="s">
        <v>2604</v>
      </c>
      <c r="F1247" s="6">
        <v>91578</v>
      </c>
      <c r="G1247" s="6" t="s">
        <v>2614</v>
      </c>
      <c r="H1247" s="6" t="s">
        <v>2617</v>
      </c>
      <c r="I1247" s="6" t="s">
        <v>2801</v>
      </c>
      <c r="J1247" s="6" t="s">
        <v>3305</v>
      </c>
      <c r="K1247" s="6">
        <v>37</v>
      </c>
    </row>
    <row r="1248" spans="1:11" x14ac:dyDescent="0.3">
      <c r="A1248" s="6" t="s">
        <v>1255</v>
      </c>
      <c r="B1248" s="6" t="s">
        <v>2546</v>
      </c>
      <c r="C1248" s="7">
        <v>27850</v>
      </c>
      <c r="D1248" s="8">
        <v>27527</v>
      </c>
      <c r="E1248" s="6" t="s">
        <v>2602</v>
      </c>
      <c r="F1248" s="6">
        <v>123238</v>
      </c>
      <c r="G1248" s="6" t="s">
        <v>2610</v>
      </c>
      <c r="H1248" s="6" t="s">
        <v>2617</v>
      </c>
      <c r="I1248" s="6" t="s">
        <v>2998</v>
      </c>
      <c r="J1248" s="6" t="s">
        <v>3305</v>
      </c>
      <c r="K1248" s="6">
        <v>50</v>
      </c>
    </row>
    <row r="1249" spans="1:11" x14ac:dyDescent="0.3">
      <c r="A1249" s="6" t="s">
        <v>1256</v>
      </c>
      <c r="B1249" s="6" t="s">
        <v>2547</v>
      </c>
      <c r="C1249" s="7">
        <v>37572</v>
      </c>
      <c r="D1249" s="8">
        <v>44167</v>
      </c>
      <c r="E1249" s="6" t="s">
        <v>2605</v>
      </c>
      <c r="F1249" s="6">
        <v>147912</v>
      </c>
      <c r="G1249" s="6" t="s">
        <v>2609</v>
      </c>
      <c r="H1249" s="6" t="s">
        <v>2617</v>
      </c>
      <c r="I1249" s="6" t="s">
        <v>2638</v>
      </c>
      <c r="J1249" s="6" t="s">
        <v>3307</v>
      </c>
      <c r="K1249" s="6">
        <v>5</v>
      </c>
    </row>
    <row r="1250" spans="1:11" x14ac:dyDescent="0.3">
      <c r="A1250" s="6" t="s">
        <v>1257</v>
      </c>
      <c r="B1250" s="6" t="s">
        <v>2548</v>
      </c>
      <c r="C1250" s="7">
        <v>31847</v>
      </c>
      <c r="D1250" s="8">
        <v>27121</v>
      </c>
      <c r="E1250" s="6" t="s">
        <v>2600</v>
      </c>
      <c r="F1250" s="6">
        <v>110097</v>
      </c>
      <c r="G1250" s="6" t="s">
        <v>2608</v>
      </c>
      <c r="H1250" s="6" t="s">
        <v>2616</v>
      </c>
      <c r="I1250" s="6" t="s">
        <v>3032</v>
      </c>
      <c r="J1250" s="6" t="s">
        <v>3306</v>
      </c>
      <c r="K1250" s="6">
        <v>51</v>
      </c>
    </row>
    <row r="1251" spans="1:11" x14ac:dyDescent="0.3">
      <c r="A1251" s="6" t="s">
        <v>1258</v>
      </c>
      <c r="B1251" s="6" t="s">
        <v>2549</v>
      </c>
      <c r="C1251" s="7">
        <v>22876</v>
      </c>
      <c r="D1251" s="8">
        <v>42043</v>
      </c>
      <c r="E1251" s="6" t="s">
        <v>2605</v>
      </c>
      <c r="F1251" s="6">
        <v>128850</v>
      </c>
      <c r="G1251" s="6" t="s">
        <v>2613</v>
      </c>
      <c r="H1251" s="6" t="s">
        <v>2617</v>
      </c>
      <c r="I1251" s="6" t="s">
        <v>3129</v>
      </c>
      <c r="J1251" s="6" t="s">
        <v>3308</v>
      </c>
      <c r="K1251" s="6">
        <v>10</v>
      </c>
    </row>
    <row r="1252" spans="1:11" x14ac:dyDescent="0.3">
      <c r="A1252" s="6" t="s">
        <v>1259</v>
      </c>
      <c r="B1252" s="6" t="s">
        <v>2550</v>
      </c>
      <c r="C1252" s="7">
        <v>28421</v>
      </c>
      <c r="D1252" s="8">
        <v>37258</v>
      </c>
      <c r="E1252" s="6" t="s">
        <v>2599</v>
      </c>
      <c r="F1252" s="6">
        <v>42916</v>
      </c>
      <c r="G1252" s="6" t="s">
        <v>2614</v>
      </c>
      <c r="H1252" s="6" t="s">
        <v>2616</v>
      </c>
      <c r="I1252" s="6" t="s">
        <v>2891</v>
      </c>
      <c r="J1252" s="6" t="s">
        <v>3309</v>
      </c>
      <c r="K1252" s="6">
        <v>23</v>
      </c>
    </row>
    <row r="1253" spans="1:11" x14ac:dyDescent="0.3">
      <c r="A1253" s="6" t="s">
        <v>1260</v>
      </c>
      <c r="B1253" s="6" t="s">
        <v>2551</v>
      </c>
      <c r="C1253" s="7">
        <v>29648</v>
      </c>
      <c r="D1253" s="8">
        <v>42691</v>
      </c>
      <c r="E1253" s="6" t="s">
        <v>2600</v>
      </c>
      <c r="F1253" s="6">
        <v>116462</v>
      </c>
      <c r="G1253" s="6" t="s">
        <v>2613</v>
      </c>
      <c r="H1253" s="6" t="s">
        <v>2616</v>
      </c>
      <c r="I1253" s="6" t="s">
        <v>3296</v>
      </c>
      <c r="J1253" s="6" t="s">
        <v>3306</v>
      </c>
      <c r="K1253" s="6">
        <v>9</v>
      </c>
    </row>
    <row r="1254" spans="1:11" x14ac:dyDescent="0.3">
      <c r="A1254" s="6" t="s">
        <v>1261</v>
      </c>
      <c r="B1254" s="6" t="s">
        <v>2552</v>
      </c>
      <c r="C1254" s="7">
        <v>23728</v>
      </c>
      <c r="D1254" s="8">
        <v>37015</v>
      </c>
      <c r="E1254" s="6" t="s">
        <v>2601</v>
      </c>
      <c r="F1254" s="6">
        <v>74009</v>
      </c>
      <c r="G1254" s="6" t="s">
        <v>2614</v>
      </c>
      <c r="H1254" s="6" t="s">
        <v>2616</v>
      </c>
      <c r="I1254" s="6" t="s">
        <v>3214</v>
      </c>
      <c r="J1254" s="6" t="s">
        <v>3305</v>
      </c>
      <c r="K1254" s="6">
        <v>24</v>
      </c>
    </row>
    <row r="1255" spans="1:11" x14ac:dyDescent="0.3">
      <c r="A1255" s="6" t="s">
        <v>1262</v>
      </c>
      <c r="B1255" s="6" t="s">
        <v>2553</v>
      </c>
      <c r="C1255" s="7">
        <v>28297</v>
      </c>
      <c r="D1255" s="8">
        <v>41143</v>
      </c>
      <c r="E1255" s="6" t="s">
        <v>2605</v>
      </c>
      <c r="F1255" s="6">
        <v>125221</v>
      </c>
      <c r="G1255" s="6" t="s">
        <v>2608</v>
      </c>
      <c r="H1255" s="6" t="s">
        <v>2617</v>
      </c>
      <c r="I1255" s="6" t="s">
        <v>2689</v>
      </c>
      <c r="J1255" s="6" t="s">
        <v>3309</v>
      </c>
      <c r="K1255" s="6">
        <v>13</v>
      </c>
    </row>
    <row r="1256" spans="1:11" x14ac:dyDescent="0.3">
      <c r="A1256" s="6" t="s">
        <v>1263</v>
      </c>
      <c r="B1256" s="6" t="s">
        <v>2554</v>
      </c>
      <c r="C1256" s="7">
        <v>27648</v>
      </c>
      <c r="D1256" s="8">
        <v>26713</v>
      </c>
      <c r="E1256" s="6" t="s">
        <v>2603</v>
      </c>
      <c r="F1256" s="6">
        <v>20149</v>
      </c>
      <c r="G1256" s="6" t="s">
        <v>2614</v>
      </c>
      <c r="H1256" s="6" t="s">
        <v>2616</v>
      </c>
      <c r="I1256" s="6" t="s">
        <v>3123</v>
      </c>
      <c r="J1256" s="6" t="s">
        <v>3306</v>
      </c>
      <c r="K1256" s="6">
        <v>52</v>
      </c>
    </row>
    <row r="1257" spans="1:11" x14ac:dyDescent="0.3">
      <c r="A1257" s="6" t="s">
        <v>1264</v>
      </c>
      <c r="B1257" s="6" t="s">
        <v>2555</v>
      </c>
      <c r="C1257" s="7">
        <v>33816</v>
      </c>
      <c r="D1257" s="8">
        <v>36424</v>
      </c>
      <c r="E1257" s="6" t="s">
        <v>2604</v>
      </c>
      <c r="F1257" s="6">
        <v>36802</v>
      </c>
      <c r="G1257" s="6" t="s">
        <v>2609</v>
      </c>
      <c r="H1257" s="6" t="s">
        <v>2616</v>
      </c>
      <c r="I1257" s="6" t="s">
        <v>3297</v>
      </c>
      <c r="J1257" s="6" t="s">
        <v>3307</v>
      </c>
      <c r="K1257" s="6">
        <v>26</v>
      </c>
    </row>
    <row r="1258" spans="1:11" x14ac:dyDescent="0.3">
      <c r="A1258" s="6" t="s">
        <v>1265</v>
      </c>
      <c r="B1258" s="6" t="s">
        <v>2556</v>
      </c>
      <c r="C1258" s="7">
        <v>26832</v>
      </c>
      <c r="D1258" s="8">
        <v>31055</v>
      </c>
      <c r="E1258" s="6" t="s">
        <v>2603</v>
      </c>
      <c r="F1258" s="6">
        <v>126184</v>
      </c>
      <c r="G1258" s="6" t="s">
        <v>2608</v>
      </c>
      <c r="H1258" s="6" t="s">
        <v>2617</v>
      </c>
      <c r="I1258" s="6" t="s">
        <v>2860</v>
      </c>
      <c r="J1258" s="6" t="s">
        <v>3304</v>
      </c>
      <c r="K1258" s="6">
        <v>40</v>
      </c>
    </row>
    <row r="1259" spans="1:11" x14ac:dyDescent="0.3">
      <c r="A1259" s="6" t="s">
        <v>1266</v>
      </c>
      <c r="B1259" s="6" t="s">
        <v>2557</v>
      </c>
      <c r="C1259" s="7">
        <v>24726</v>
      </c>
      <c r="D1259" s="8">
        <v>33709</v>
      </c>
      <c r="E1259" s="6" t="s">
        <v>2603</v>
      </c>
      <c r="F1259" s="6">
        <v>99989</v>
      </c>
      <c r="G1259" s="6" t="s">
        <v>2608</v>
      </c>
      <c r="H1259" s="6" t="s">
        <v>2616</v>
      </c>
      <c r="I1259" s="6" t="s">
        <v>2699</v>
      </c>
      <c r="J1259" s="6" t="s">
        <v>3307</v>
      </c>
      <c r="K1259" s="6">
        <v>33</v>
      </c>
    </row>
    <row r="1260" spans="1:11" x14ac:dyDescent="0.3">
      <c r="A1260" s="6" t="s">
        <v>1267</v>
      </c>
      <c r="B1260" s="6" t="s">
        <v>2558</v>
      </c>
      <c r="C1260" s="7">
        <v>26702</v>
      </c>
      <c r="D1260" s="8">
        <v>29778</v>
      </c>
      <c r="E1260" s="6" t="s">
        <v>2600</v>
      </c>
      <c r="F1260" s="6">
        <v>105776</v>
      </c>
      <c r="G1260" s="6" t="s">
        <v>2610</v>
      </c>
      <c r="H1260" s="6" t="s">
        <v>2617</v>
      </c>
      <c r="I1260" s="6" t="s">
        <v>3055</v>
      </c>
      <c r="J1260" s="6" t="s">
        <v>3309</v>
      </c>
      <c r="K1260" s="6">
        <v>44</v>
      </c>
    </row>
    <row r="1261" spans="1:11" x14ac:dyDescent="0.3">
      <c r="A1261" s="6" t="s">
        <v>1268</v>
      </c>
      <c r="B1261" s="6" t="s">
        <v>2559</v>
      </c>
      <c r="C1261" s="7">
        <v>21571</v>
      </c>
      <c r="D1261" s="8">
        <v>41285</v>
      </c>
      <c r="E1261" s="6" t="s">
        <v>2604</v>
      </c>
      <c r="F1261" s="6">
        <v>52488</v>
      </c>
      <c r="G1261" s="6" t="s">
        <v>2607</v>
      </c>
      <c r="H1261" s="6" t="s">
        <v>2617</v>
      </c>
      <c r="I1261" s="6" t="s">
        <v>3298</v>
      </c>
      <c r="J1261" s="6" t="s">
        <v>3310</v>
      </c>
      <c r="K1261" s="6">
        <v>12</v>
      </c>
    </row>
    <row r="1262" spans="1:11" x14ac:dyDescent="0.3">
      <c r="A1262" s="6" t="s">
        <v>1269</v>
      </c>
      <c r="B1262" s="6" t="s">
        <v>2560</v>
      </c>
      <c r="C1262" s="7">
        <v>22283</v>
      </c>
      <c r="D1262" s="8">
        <v>39829</v>
      </c>
      <c r="E1262" s="6" t="s">
        <v>2600</v>
      </c>
      <c r="F1262" s="6">
        <v>71463</v>
      </c>
      <c r="G1262" s="6" t="s">
        <v>2614</v>
      </c>
      <c r="H1262" s="6" t="s">
        <v>2616</v>
      </c>
      <c r="I1262" s="6" t="s">
        <v>3299</v>
      </c>
      <c r="J1262" s="6" t="s">
        <v>3308</v>
      </c>
      <c r="K1262" s="6">
        <v>16</v>
      </c>
    </row>
    <row r="1263" spans="1:11" x14ac:dyDescent="0.3">
      <c r="A1263" s="6" t="s">
        <v>1270</v>
      </c>
      <c r="B1263" s="6" t="s">
        <v>2561</v>
      </c>
      <c r="C1263" s="7">
        <v>33118</v>
      </c>
      <c r="D1263" s="8">
        <v>27292</v>
      </c>
      <c r="E1263" s="6" t="s">
        <v>2599</v>
      </c>
      <c r="F1263" s="6">
        <v>31918</v>
      </c>
      <c r="G1263" s="6" t="s">
        <v>2607</v>
      </c>
      <c r="H1263" s="6" t="s">
        <v>2616</v>
      </c>
      <c r="I1263" s="6" t="s">
        <v>2932</v>
      </c>
      <c r="J1263" s="6" t="s">
        <v>3306</v>
      </c>
      <c r="K1263" s="6">
        <v>51</v>
      </c>
    </row>
    <row r="1264" spans="1:11" x14ac:dyDescent="0.3">
      <c r="A1264" s="6" t="s">
        <v>1271</v>
      </c>
      <c r="B1264" s="6" t="s">
        <v>2562</v>
      </c>
      <c r="C1264" s="7">
        <v>21685</v>
      </c>
      <c r="D1264" s="8">
        <v>27567</v>
      </c>
      <c r="E1264" s="6" t="s">
        <v>2605</v>
      </c>
      <c r="F1264" s="6">
        <v>79003</v>
      </c>
      <c r="G1264" s="6" t="s">
        <v>2606</v>
      </c>
      <c r="H1264" s="6" t="s">
        <v>2616</v>
      </c>
      <c r="I1264" s="6" t="s">
        <v>2884</v>
      </c>
      <c r="J1264" s="6" t="s">
        <v>3308</v>
      </c>
      <c r="K1264" s="6">
        <v>50</v>
      </c>
    </row>
    <row r="1265" spans="1:11" x14ac:dyDescent="0.3">
      <c r="A1265" s="6" t="s">
        <v>1272</v>
      </c>
      <c r="B1265" s="6" t="s">
        <v>2563</v>
      </c>
      <c r="C1265" s="7">
        <v>22662</v>
      </c>
      <c r="D1265" s="8">
        <v>42662</v>
      </c>
      <c r="E1265" s="6" t="s">
        <v>2599</v>
      </c>
      <c r="F1265" s="6">
        <v>140775</v>
      </c>
      <c r="G1265" s="6" t="s">
        <v>2606</v>
      </c>
      <c r="H1265" s="6" t="s">
        <v>2617</v>
      </c>
      <c r="I1265" s="6" t="s">
        <v>2936</v>
      </c>
      <c r="J1265" s="6" t="s">
        <v>3304</v>
      </c>
      <c r="K1265" s="6">
        <v>9</v>
      </c>
    </row>
    <row r="1266" spans="1:11" x14ac:dyDescent="0.3">
      <c r="A1266" s="6" t="s">
        <v>1273</v>
      </c>
      <c r="B1266" s="6" t="s">
        <v>2564</v>
      </c>
      <c r="C1266" s="7">
        <v>26727</v>
      </c>
      <c r="D1266" s="8">
        <v>31921</v>
      </c>
      <c r="E1266" s="6" t="s">
        <v>2603</v>
      </c>
      <c r="F1266" s="6">
        <v>119389</v>
      </c>
      <c r="G1266" s="6" t="s">
        <v>2608</v>
      </c>
      <c r="H1266" s="6" t="s">
        <v>2617</v>
      </c>
      <c r="I1266" s="6" t="s">
        <v>2917</v>
      </c>
      <c r="J1266" s="6" t="s">
        <v>3305</v>
      </c>
      <c r="K1266" s="6">
        <v>38</v>
      </c>
    </row>
    <row r="1267" spans="1:11" x14ac:dyDescent="0.3">
      <c r="A1267" s="6" t="s">
        <v>1274</v>
      </c>
      <c r="B1267" s="6" t="s">
        <v>2565</v>
      </c>
      <c r="C1267" s="7">
        <v>37339</v>
      </c>
      <c r="D1267" s="8">
        <v>30002</v>
      </c>
      <c r="E1267" s="6" t="s">
        <v>2599</v>
      </c>
      <c r="F1267" s="6">
        <v>161148</v>
      </c>
      <c r="G1267" s="6" t="s">
        <v>2607</v>
      </c>
      <c r="H1267" s="6" t="s">
        <v>2617</v>
      </c>
      <c r="I1267" s="6" t="s">
        <v>2829</v>
      </c>
      <c r="J1267" s="6" t="s">
        <v>3310</v>
      </c>
      <c r="K1267" s="6">
        <v>43</v>
      </c>
    </row>
    <row r="1268" spans="1:11" x14ac:dyDescent="0.3">
      <c r="A1268" s="6" t="s">
        <v>1275</v>
      </c>
      <c r="B1268" s="6" t="s">
        <v>2566</v>
      </c>
      <c r="C1268" s="7">
        <v>32133</v>
      </c>
      <c r="D1268" s="8">
        <v>43942</v>
      </c>
      <c r="E1268" s="6" t="s">
        <v>2600</v>
      </c>
      <c r="F1268" s="6">
        <v>146019</v>
      </c>
      <c r="G1268" s="6" t="s">
        <v>2612</v>
      </c>
      <c r="H1268" s="6" t="s">
        <v>2616</v>
      </c>
      <c r="I1268" s="6" t="s">
        <v>2745</v>
      </c>
      <c r="J1268" s="6" t="s">
        <v>3309</v>
      </c>
      <c r="K1268" s="6">
        <v>5</v>
      </c>
    </row>
    <row r="1269" spans="1:11" x14ac:dyDescent="0.3">
      <c r="A1269" s="6" t="s">
        <v>1276</v>
      </c>
      <c r="B1269" s="6" t="s">
        <v>2567</v>
      </c>
      <c r="C1269" s="7">
        <v>36625</v>
      </c>
      <c r="D1269" s="8">
        <v>40771</v>
      </c>
      <c r="E1269" s="6" t="s">
        <v>2601</v>
      </c>
      <c r="F1269" s="6">
        <v>82007</v>
      </c>
      <c r="G1269" s="6" t="s">
        <v>2608</v>
      </c>
      <c r="H1269" s="6" t="s">
        <v>2617</v>
      </c>
      <c r="I1269" s="6" t="s">
        <v>2798</v>
      </c>
      <c r="J1269" s="6" t="s">
        <v>3306</v>
      </c>
      <c r="K1269" s="6">
        <v>14</v>
      </c>
    </row>
    <row r="1270" spans="1:11" x14ac:dyDescent="0.3">
      <c r="A1270" s="6" t="s">
        <v>1277</v>
      </c>
      <c r="B1270" s="6" t="s">
        <v>2568</v>
      </c>
      <c r="C1270" s="7">
        <v>26164</v>
      </c>
      <c r="D1270" s="8">
        <v>30054</v>
      </c>
      <c r="E1270" s="6" t="s">
        <v>2604</v>
      </c>
      <c r="F1270" s="6">
        <v>193004</v>
      </c>
      <c r="G1270" s="6" t="s">
        <v>2611</v>
      </c>
      <c r="H1270" s="6" t="s">
        <v>2617</v>
      </c>
      <c r="I1270" s="6" t="s">
        <v>2944</v>
      </c>
      <c r="J1270" s="6" t="s">
        <v>3310</v>
      </c>
      <c r="K1270" s="6">
        <v>43</v>
      </c>
    </row>
    <row r="1271" spans="1:11" x14ac:dyDescent="0.3">
      <c r="A1271" s="6" t="s">
        <v>1278</v>
      </c>
      <c r="B1271" s="6" t="s">
        <v>2569</v>
      </c>
      <c r="C1271" s="7">
        <v>34092</v>
      </c>
      <c r="D1271" s="8">
        <v>32666</v>
      </c>
      <c r="E1271" s="6" t="s">
        <v>2603</v>
      </c>
      <c r="F1271" s="6">
        <v>123824</v>
      </c>
      <c r="G1271" s="6" t="s">
        <v>2612</v>
      </c>
      <c r="H1271" s="6" t="s">
        <v>2616</v>
      </c>
      <c r="I1271" s="6" t="s">
        <v>3005</v>
      </c>
      <c r="J1271" s="6" t="s">
        <v>3309</v>
      </c>
      <c r="K1271" s="6">
        <v>36</v>
      </c>
    </row>
    <row r="1272" spans="1:11" x14ac:dyDescent="0.3">
      <c r="A1272" s="6" t="s">
        <v>1279</v>
      </c>
      <c r="B1272" s="6" t="s">
        <v>2570</v>
      </c>
      <c r="C1272" s="7">
        <v>22798</v>
      </c>
      <c r="D1272" s="8">
        <v>44142</v>
      </c>
      <c r="E1272" s="6" t="s">
        <v>2600</v>
      </c>
      <c r="F1272" s="6">
        <v>117619</v>
      </c>
      <c r="G1272" s="6" t="s">
        <v>2611</v>
      </c>
      <c r="H1272" s="6" t="s">
        <v>2617</v>
      </c>
      <c r="I1272" s="6" t="s">
        <v>3004</v>
      </c>
      <c r="J1272" s="6" t="s">
        <v>3306</v>
      </c>
      <c r="K1272" s="6">
        <v>5</v>
      </c>
    </row>
    <row r="1273" spans="1:11" x14ac:dyDescent="0.3">
      <c r="A1273" s="6" t="s">
        <v>1280</v>
      </c>
      <c r="B1273" s="6" t="s">
        <v>2571</v>
      </c>
      <c r="C1273" s="7">
        <v>23252</v>
      </c>
      <c r="D1273" s="8">
        <v>42590</v>
      </c>
      <c r="E1273" s="6" t="s">
        <v>2601</v>
      </c>
      <c r="F1273" s="6">
        <v>122262</v>
      </c>
      <c r="G1273" s="6" t="s">
        <v>2608</v>
      </c>
      <c r="H1273" s="6" t="s">
        <v>2617</v>
      </c>
      <c r="I1273" s="6" t="s">
        <v>3300</v>
      </c>
      <c r="J1273" s="6" t="s">
        <v>3309</v>
      </c>
      <c r="K1273" s="6">
        <v>9</v>
      </c>
    </row>
    <row r="1274" spans="1:11" x14ac:dyDescent="0.3">
      <c r="A1274" s="6" t="s">
        <v>1281</v>
      </c>
      <c r="B1274" s="6" t="s">
        <v>2572</v>
      </c>
      <c r="C1274" s="7">
        <v>30112</v>
      </c>
      <c r="D1274" s="8">
        <v>26944</v>
      </c>
      <c r="E1274" s="6" t="s">
        <v>2604</v>
      </c>
      <c r="F1274" s="6">
        <v>60126</v>
      </c>
      <c r="G1274" s="6" t="s">
        <v>2611</v>
      </c>
      <c r="H1274" s="6" t="s">
        <v>2616</v>
      </c>
      <c r="I1274" s="6" t="s">
        <v>2828</v>
      </c>
      <c r="J1274" s="6" t="s">
        <v>3306</v>
      </c>
      <c r="K1274" s="6">
        <v>52</v>
      </c>
    </row>
    <row r="1275" spans="1:11" x14ac:dyDescent="0.3">
      <c r="A1275" s="6" t="s">
        <v>1282</v>
      </c>
      <c r="B1275" s="6" t="s">
        <v>2573</v>
      </c>
      <c r="C1275" s="7">
        <v>34033</v>
      </c>
      <c r="D1275" s="8">
        <v>44462</v>
      </c>
      <c r="E1275" s="6" t="s">
        <v>2602</v>
      </c>
      <c r="F1275" s="6">
        <v>176467</v>
      </c>
      <c r="G1275" s="6" t="s">
        <v>2609</v>
      </c>
      <c r="H1275" s="6" t="s">
        <v>2617</v>
      </c>
      <c r="I1275" s="6" t="s">
        <v>3301</v>
      </c>
      <c r="J1275" s="6" t="s">
        <v>3310</v>
      </c>
      <c r="K1275" s="6">
        <v>4</v>
      </c>
    </row>
    <row r="1276" spans="1:11" x14ac:dyDescent="0.3">
      <c r="A1276" s="6" t="s">
        <v>1283</v>
      </c>
      <c r="B1276" s="6" t="s">
        <v>2574</v>
      </c>
      <c r="C1276" s="7">
        <v>25418</v>
      </c>
      <c r="D1276" s="8">
        <v>26740</v>
      </c>
      <c r="E1276" s="6" t="s">
        <v>2604</v>
      </c>
      <c r="F1276" s="6">
        <v>112395</v>
      </c>
      <c r="G1276" s="6" t="s">
        <v>2615</v>
      </c>
      <c r="H1276" s="6" t="s">
        <v>2616</v>
      </c>
      <c r="I1276" s="6" t="s">
        <v>3302</v>
      </c>
      <c r="J1276" s="6" t="s">
        <v>3308</v>
      </c>
      <c r="K1276" s="6">
        <v>52</v>
      </c>
    </row>
    <row r="1277" spans="1:11" x14ac:dyDescent="0.3">
      <c r="A1277" s="6" t="s">
        <v>1284</v>
      </c>
      <c r="B1277" s="6" t="s">
        <v>2575</v>
      </c>
      <c r="C1277" s="7">
        <v>32748</v>
      </c>
      <c r="D1277" s="8">
        <v>26688</v>
      </c>
      <c r="E1277" s="6" t="s">
        <v>2600</v>
      </c>
      <c r="F1277" s="6">
        <v>136500</v>
      </c>
      <c r="G1277" s="6" t="s">
        <v>2611</v>
      </c>
      <c r="H1277" s="6" t="s">
        <v>2616</v>
      </c>
      <c r="I1277" s="6" t="s">
        <v>3103</v>
      </c>
      <c r="J1277" s="6" t="s">
        <v>3306</v>
      </c>
      <c r="K1277" s="6">
        <v>52</v>
      </c>
    </row>
    <row r="1278" spans="1:11" x14ac:dyDescent="0.3">
      <c r="A1278" s="6" t="s">
        <v>1285</v>
      </c>
      <c r="B1278" s="6" t="s">
        <v>2576</v>
      </c>
      <c r="C1278" s="7">
        <v>22286</v>
      </c>
      <c r="D1278" s="8">
        <v>44841</v>
      </c>
      <c r="E1278" s="6" t="s">
        <v>2599</v>
      </c>
      <c r="F1278" s="6">
        <v>88468</v>
      </c>
      <c r="G1278" s="6" t="s">
        <v>2611</v>
      </c>
      <c r="H1278" s="6" t="s">
        <v>2617</v>
      </c>
      <c r="I1278" s="6" t="s">
        <v>2630</v>
      </c>
      <c r="J1278" s="6" t="s">
        <v>3305</v>
      </c>
      <c r="K1278" s="6">
        <v>3</v>
      </c>
    </row>
    <row r="1279" spans="1:11" x14ac:dyDescent="0.3">
      <c r="A1279" s="6" t="s">
        <v>1286</v>
      </c>
      <c r="B1279" s="6" t="s">
        <v>2577</v>
      </c>
      <c r="C1279" s="7">
        <v>35625</v>
      </c>
      <c r="D1279" s="8">
        <v>38000</v>
      </c>
      <c r="E1279" s="6" t="s">
        <v>2605</v>
      </c>
      <c r="F1279" s="6">
        <v>41845</v>
      </c>
      <c r="G1279" s="6" t="s">
        <v>2611</v>
      </c>
      <c r="H1279" s="6" t="s">
        <v>2617</v>
      </c>
      <c r="I1279" s="6" t="s">
        <v>3204</v>
      </c>
      <c r="J1279" s="6" t="s">
        <v>3308</v>
      </c>
      <c r="K1279" s="6">
        <v>21</v>
      </c>
    </row>
    <row r="1280" spans="1:11" x14ac:dyDescent="0.3">
      <c r="A1280" s="6" t="s">
        <v>1287</v>
      </c>
      <c r="B1280" s="6" t="s">
        <v>2578</v>
      </c>
      <c r="C1280" s="7">
        <v>37598</v>
      </c>
      <c r="D1280" s="8">
        <v>44640</v>
      </c>
      <c r="E1280" s="6" t="s">
        <v>2599</v>
      </c>
      <c r="F1280" s="6">
        <v>77645</v>
      </c>
      <c r="G1280" s="6" t="s">
        <v>2609</v>
      </c>
      <c r="H1280" s="6" t="s">
        <v>2617</v>
      </c>
      <c r="I1280" s="6" t="s">
        <v>2987</v>
      </c>
      <c r="J1280" s="6" t="s">
        <v>3304</v>
      </c>
      <c r="K1280" s="6">
        <v>3</v>
      </c>
    </row>
    <row r="1281" spans="1:12" x14ac:dyDescent="0.3">
      <c r="A1281" s="6" t="s">
        <v>1288</v>
      </c>
      <c r="B1281" s="6" t="s">
        <v>2579</v>
      </c>
      <c r="C1281" s="7">
        <v>32048</v>
      </c>
      <c r="D1281" s="8">
        <v>43917</v>
      </c>
      <c r="E1281" s="6" t="s">
        <v>2600</v>
      </c>
      <c r="F1281" s="6">
        <v>48808</v>
      </c>
      <c r="G1281" s="6" t="s">
        <v>2610</v>
      </c>
      <c r="H1281" s="6" t="s">
        <v>2617</v>
      </c>
      <c r="I1281" s="6" t="s">
        <v>2645</v>
      </c>
      <c r="J1281" s="6" t="s">
        <v>3309</v>
      </c>
      <c r="K1281" s="6">
        <v>5</v>
      </c>
    </row>
    <row r="1282" spans="1:12" x14ac:dyDescent="0.3">
      <c r="A1282" s="6" t="s">
        <v>1289</v>
      </c>
      <c r="B1282" s="6" t="s">
        <v>2580</v>
      </c>
      <c r="C1282" s="7">
        <v>29208</v>
      </c>
      <c r="D1282" s="8">
        <v>26966</v>
      </c>
      <c r="E1282" s="6" t="s">
        <v>2604</v>
      </c>
      <c r="F1282" s="6">
        <v>59660</v>
      </c>
      <c r="G1282" s="6" t="s">
        <v>2607</v>
      </c>
      <c r="H1282" s="6" t="s">
        <v>2617</v>
      </c>
      <c r="I1282" s="6" t="s">
        <v>2979</v>
      </c>
      <c r="J1282" s="6" t="s">
        <v>3308</v>
      </c>
      <c r="K1282" s="6">
        <v>52</v>
      </c>
    </row>
    <row r="1283" spans="1:12" x14ac:dyDescent="0.3">
      <c r="A1283" s="6" t="s">
        <v>1290</v>
      </c>
      <c r="B1283" s="6" t="s">
        <v>2581</v>
      </c>
      <c r="C1283" s="7">
        <v>24677</v>
      </c>
      <c r="D1283" s="8">
        <v>40171</v>
      </c>
      <c r="E1283" s="6" t="s">
        <v>2599</v>
      </c>
      <c r="F1283" s="6">
        <v>121284</v>
      </c>
      <c r="G1283" s="6" t="s">
        <v>2608</v>
      </c>
      <c r="H1283" s="6" t="s">
        <v>2617</v>
      </c>
      <c r="I1283" s="6" t="s">
        <v>3303</v>
      </c>
      <c r="J1283" s="6" t="s">
        <v>3309</v>
      </c>
      <c r="K1283" s="6">
        <v>16</v>
      </c>
    </row>
    <row r="1284" spans="1:12" x14ac:dyDescent="0.3">
      <c r="A1284" s="6" t="s">
        <v>1291</v>
      </c>
      <c r="B1284" s="6" t="s">
        <v>2582</v>
      </c>
      <c r="C1284" s="7">
        <v>36305</v>
      </c>
      <c r="D1284" s="8">
        <v>36858</v>
      </c>
      <c r="E1284" s="6" t="s">
        <v>2600</v>
      </c>
      <c r="F1284" s="6">
        <v>192143</v>
      </c>
      <c r="G1284" s="6" t="s">
        <v>2612</v>
      </c>
      <c r="H1284" s="6" t="s">
        <v>2616</v>
      </c>
      <c r="I1284" s="6" t="s">
        <v>3036</v>
      </c>
      <c r="J1284" s="6" t="s">
        <v>3305</v>
      </c>
      <c r="K1284" s="6">
        <v>25</v>
      </c>
    </row>
    <row r="1285" spans="1:12" x14ac:dyDescent="0.3">
      <c r="A1285" s="6" t="s">
        <v>1292</v>
      </c>
      <c r="B1285" s="6" t="s">
        <v>2583</v>
      </c>
      <c r="C1285" s="7">
        <v>23591</v>
      </c>
      <c r="D1285" s="8">
        <v>27530</v>
      </c>
      <c r="E1285" s="6" t="s">
        <v>2603</v>
      </c>
      <c r="F1285" s="6">
        <v>190745</v>
      </c>
      <c r="G1285" s="6" t="s">
        <v>2608</v>
      </c>
      <c r="H1285" s="6" t="s">
        <v>2617</v>
      </c>
      <c r="I1285" s="6" t="s">
        <v>2731</v>
      </c>
      <c r="J1285" s="6" t="s">
        <v>3306</v>
      </c>
      <c r="K1285" s="6">
        <v>50</v>
      </c>
    </row>
    <row r="1286" spans="1:12" x14ac:dyDescent="0.3">
      <c r="A1286" s="6" t="s">
        <v>1293</v>
      </c>
      <c r="B1286" s="6" t="s">
        <v>1414</v>
      </c>
      <c r="C1286" s="7">
        <v>22622</v>
      </c>
      <c r="D1286" s="8">
        <v>35875</v>
      </c>
      <c r="E1286" s="6" t="s">
        <v>2599</v>
      </c>
      <c r="F1286" s="6">
        <v>24848</v>
      </c>
      <c r="G1286" s="6" t="s">
        <v>2607</v>
      </c>
      <c r="H1286" s="6" t="s">
        <v>2617</v>
      </c>
      <c r="I1286" s="6" t="s">
        <v>3281</v>
      </c>
      <c r="J1286" s="6" t="s">
        <v>3304</v>
      </c>
      <c r="K1286" s="6">
        <v>27</v>
      </c>
    </row>
    <row r="1287" spans="1:12" x14ac:dyDescent="0.3">
      <c r="A1287" s="6" t="s">
        <v>1294</v>
      </c>
      <c r="B1287" s="6" t="s">
        <v>2584</v>
      </c>
      <c r="C1287" s="7">
        <v>23010</v>
      </c>
      <c r="D1287" s="8">
        <v>42534</v>
      </c>
      <c r="E1287" s="6" t="s">
        <v>2600</v>
      </c>
      <c r="F1287" s="6">
        <v>173377</v>
      </c>
      <c r="G1287" s="6" t="s">
        <v>2613</v>
      </c>
      <c r="H1287" s="6" t="s">
        <v>2616</v>
      </c>
      <c r="I1287" s="6" t="s">
        <v>2965</v>
      </c>
      <c r="J1287" s="6" t="s">
        <v>3306</v>
      </c>
      <c r="K1287" s="6">
        <v>9</v>
      </c>
    </row>
    <row r="1288" spans="1:12" x14ac:dyDescent="0.3">
      <c r="A1288" s="6" t="s">
        <v>1295</v>
      </c>
      <c r="B1288" s="6" t="s">
        <v>2585</v>
      </c>
      <c r="C1288" s="7">
        <v>37458</v>
      </c>
      <c r="D1288" s="8">
        <v>29239</v>
      </c>
      <c r="E1288" s="6" t="s">
        <v>2599</v>
      </c>
      <c r="F1288" s="6">
        <v>74134</v>
      </c>
      <c r="G1288" s="6" t="s">
        <v>2612</v>
      </c>
      <c r="H1288" s="6" t="s">
        <v>2617</v>
      </c>
      <c r="I1288" s="6" t="s">
        <v>2869</v>
      </c>
      <c r="J1288" s="6" t="s">
        <v>3308</v>
      </c>
      <c r="K1288" s="6">
        <v>45</v>
      </c>
    </row>
    <row r="1289" spans="1:12" x14ac:dyDescent="0.3">
      <c r="A1289" s="6" t="s">
        <v>1296</v>
      </c>
      <c r="B1289" s="6"/>
      <c r="C1289" s="6" t="s">
        <v>2586</v>
      </c>
      <c r="D1289" s="7">
        <v>33759</v>
      </c>
      <c r="E1289" s="6" t="s">
        <v>2600</v>
      </c>
      <c r="F1289" s="6">
        <v>105582</v>
      </c>
      <c r="G1289" s="6">
        <v>94899</v>
      </c>
      <c r="H1289" s="6" t="s">
        <v>2608</v>
      </c>
      <c r="I1289" s="6" t="s">
        <v>2616</v>
      </c>
      <c r="J1289" s="6" t="s">
        <v>3261</v>
      </c>
      <c r="K1289" s="6" t="s">
        <v>3310</v>
      </c>
      <c r="L1289" s="6">
        <v>11</v>
      </c>
    </row>
    <row r="1290" spans="1:12" x14ac:dyDescent="0.3">
      <c r="A1290" s="6" t="s">
        <v>1297</v>
      </c>
      <c r="B1290" s="6" t="s">
        <v>2587</v>
      </c>
      <c r="C1290" s="7">
        <v>32876</v>
      </c>
      <c r="D1290" s="8">
        <v>35829</v>
      </c>
      <c r="E1290" s="8">
        <v>41898</v>
      </c>
      <c r="F1290" s="6" t="s">
        <v>2604</v>
      </c>
      <c r="G1290" s="6" t="s">
        <v>2606</v>
      </c>
      <c r="H1290" s="6" t="s">
        <v>2617</v>
      </c>
      <c r="I1290" s="6" t="s">
        <v>2822</v>
      </c>
      <c r="J1290" s="6" t="s">
        <v>3309</v>
      </c>
      <c r="K1290" s="6">
        <v>27</v>
      </c>
    </row>
    <row r="1291" spans="1:12" x14ac:dyDescent="0.3">
      <c r="A1291" s="6" t="s">
        <v>1298</v>
      </c>
      <c r="B1291" s="6" t="s">
        <v>2588</v>
      </c>
      <c r="C1291" s="7">
        <v>25584</v>
      </c>
      <c r="D1291" s="8">
        <v>38487</v>
      </c>
      <c r="E1291" s="6" t="s">
        <v>2602</v>
      </c>
      <c r="F1291" s="6">
        <v>178658</v>
      </c>
      <c r="G1291" s="6" t="s">
        <v>2611</v>
      </c>
      <c r="H1291" s="6" t="s">
        <v>2616</v>
      </c>
      <c r="I1291" s="6" t="s">
        <v>3199</v>
      </c>
      <c r="J1291" s="6" t="s">
        <v>3307</v>
      </c>
      <c r="K1291" s="6">
        <v>20</v>
      </c>
    </row>
    <row r="1292" spans="1:12" x14ac:dyDescent="0.3">
      <c r="A1292" s="6" t="s">
        <v>1299</v>
      </c>
      <c r="B1292" s="6" t="s">
        <v>2589</v>
      </c>
      <c r="C1292" s="7">
        <v>29186</v>
      </c>
      <c r="D1292" s="8">
        <v>26469</v>
      </c>
      <c r="E1292" s="6" t="s">
        <v>2600</v>
      </c>
      <c r="F1292" s="6">
        <v>162079</v>
      </c>
      <c r="G1292" s="6" t="s">
        <v>2613</v>
      </c>
      <c r="H1292" s="6" t="s">
        <v>2617</v>
      </c>
      <c r="I1292" s="6" t="s">
        <v>3005</v>
      </c>
      <c r="J1292" s="6" t="s">
        <v>3310</v>
      </c>
      <c r="K1292" s="6">
        <v>53</v>
      </c>
    </row>
    <row r="1293" spans="1:12" x14ac:dyDescent="0.3">
      <c r="A1293" s="6" t="s">
        <v>1300</v>
      </c>
      <c r="B1293" s="6" t="s">
        <v>2590</v>
      </c>
      <c r="C1293" s="7">
        <v>28824</v>
      </c>
      <c r="D1293" s="8">
        <v>43364</v>
      </c>
      <c r="E1293" s="6" t="s">
        <v>2602</v>
      </c>
      <c r="F1293" s="6">
        <v>28271</v>
      </c>
      <c r="G1293" s="6" t="s">
        <v>2608</v>
      </c>
      <c r="H1293" s="6" t="s">
        <v>2617</v>
      </c>
      <c r="I1293" s="6" t="s">
        <v>2698</v>
      </c>
      <c r="J1293" s="6" t="s">
        <v>3307</v>
      </c>
      <c r="K1293" s="6">
        <v>7</v>
      </c>
    </row>
    <row r="1294" spans="1:12" x14ac:dyDescent="0.3">
      <c r="A1294" s="6" t="s">
        <v>1301</v>
      </c>
      <c r="B1294" s="6" t="s">
        <v>2591</v>
      </c>
      <c r="C1294" s="7">
        <v>35544</v>
      </c>
      <c r="D1294" s="8">
        <v>33932</v>
      </c>
      <c r="E1294" s="6" t="s">
        <v>2600</v>
      </c>
      <c r="F1294" s="6">
        <v>26623</v>
      </c>
      <c r="G1294" s="6" t="s">
        <v>2609</v>
      </c>
      <c r="H1294" s="6" t="s">
        <v>2617</v>
      </c>
      <c r="I1294" s="6" t="s">
        <v>2844</v>
      </c>
      <c r="J1294" s="6" t="s">
        <v>3310</v>
      </c>
      <c r="K1294" s="6">
        <v>33</v>
      </c>
    </row>
    <row r="1295" spans="1:12" x14ac:dyDescent="0.3">
      <c r="A1295" s="6" t="s">
        <v>1302</v>
      </c>
      <c r="B1295" s="6" t="s">
        <v>2592</v>
      </c>
      <c r="C1295" s="7">
        <v>35710</v>
      </c>
      <c r="D1295" s="8">
        <v>32855</v>
      </c>
      <c r="E1295" s="6" t="s">
        <v>2600</v>
      </c>
      <c r="F1295" s="6">
        <v>76099</v>
      </c>
      <c r="G1295" s="6" t="s">
        <v>2613</v>
      </c>
      <c r="H1295" s="6" t="s">
        <v>2616</v>
      </c>
      <c r="I1295" s="6" t="s">
        <v>3178</v>
      </c>
      <c r="J1295" s="6" t="s">
        <v>3308</v>
      </c>
      <c r="K1295" s="6">
        <v>36</v>
      </c>
    </row>
    <row r="1296" spans="1:12" x14ac:dyDescent="0.3">
      <c r="A1296" s="6" t="s">
        <v>1303</v>
      </c>
      <c r="B1296" s="6" t="s">
        <v>2593</v>
      </c>
      <c r="C1296" s="7">
        <v>22990</v>
      </c>
      <c r="D1296" s="8">
        <v>42974</v>
      </c>
      <c r="E1296" s="6" t="s">
        <v>2601</v>
      </c>
      <c r="F1296" s="6">
        <v>73628</v>
      </c>
      <c r="G1296" s="6" t="s">
        <v>2614</v>
      </c>
      <c r="H1296" s="6" t="s">
        <v>2616</v>
      </c>
      <c r="I1296" s="6" t="s">
        <v>3006</v>
      </c>
      <c r="J1296" s="6" t="s">
        <v>3309</v>
      </c>
      <c r="K1296" s="6">
        <v>8</v>
      </c>
    </row>
    <row r="1297" spans="1:11" x14ac:dyDescent="0.3">
      <c r="A1297" s="6" t="s">
        <v>1304</v>
      </c>
      <c r="B1297" s="6" t="s">
        <v>2594</v>
      </c>
      <c r="C1297" s="7">
        <v>25622</v>
      </c>
      <c r="D1297" s="8">
        <v>43392</v>
      </c>
      <c r="E1297" s="6" t="s">
        <v>2599</v>
      </c>
      <c r="F1297" s="6">
        <v>167237</v>
      </c>
      <c r="G1297" s="6" t="s">
        <v>2611</v>
      </c>
      <c r="H1297" s="6" t="s">
        <v>2617</v>
      </c>
      <c r="I1297" s="6" t="s">
        <v>2622</v>
      </c>
      <c r="J1297" s="6" t="s">
        <v>3308</v>
      </c>
      <c r="K1297" s="6">
        <v>7</v>
      </c>
    </row>
    <row r="1298" spans="1:11" x14ac:dyDescent="0.3">
      <c r="A1298" s="6" t="s">
        <v>1305</v>
      </c>
      <c r="B1298" s="6" t="s">
        <v>2595</v>
      </c>
      <c r="C1298" s="7">
        <v>27133</v>
      </c>
      <c r="D1298" s="8">
        <v>32918</v>
      </c>
      <c r="E1298" s="6" t="s">
        <v>2605</v>
      </c>
      <c r="F1298" s="6">
        <v>171091</v>
      </c>
      <c r="G1298" s="6" t="s">
        <v>2614</v>
      </c>
      <c r="H1298" s="6" t="s">
        <v>2617</v>
      </c>
      <c r="I1298" s="6" t="s">
        <v>2852</v>
      </c>
      <c r="J1298" s="6" t="s">
        <v>3308</v>
      </c>
      <c r="K1298" s="6">
        <v>35</v>
      </c>
    </row>
    <row r="1299" spans="1:11" x14ac:dyDescent="0.3">
      <c r="A1299" s="6" t="s">
        <v>1306</v>
      </c>
      <c r="B1299" s="6" t="s">
        <v>2596</v>
      </c>
      <c r="C1299" s="7">
        <v>35309</v>
      </c>
      <c r="D1299" s="8">
        <v>27084</v>
      </c>
      <c r="E1299" s="6" t="s">
        <v>2600</v>
      </c>
      <c r="F1299" s="6">
        <v>127954</v>
      </c>
      <c r="G1299" s="6" t="s">
        <v>2610</v>
      </c>
      <c r="H1299" s="6" t="s">
        <v>2616</v>
      </c>
      <c r="I1299" s="6" t="s">
        <v>2991</v>
      </c>
      <c r="J1299" s="6" t="s">
        <v>3305</v>
      </c>
      <c r="K1299" s="6">
        <v>51</v>
      </c>
    </row>
    <row r="1300" spans="1:11" x14ac:dyDescent="0.3">
      <c r="A1300" s="6" t="s">
        <v>1307</v>
      </c>
      <c r="B1300" s="6" t="s">
        <v>2597</v>
      </c>
      <c r="C1300" s="7">
        <v>35607</v>
      </c>
      <c r="D1300" s="8">
        <v>36415</v>
      </c>
      <c r="E1300" s="6" t="s">
        <v>2605</v>
      </c>
      <c r="F1300" s="6">
        <v>140271</v>
      </c>
      <c r="G1300" s="6" t="s">
        <v>2613</v>
      </c>
      <c r="H1300" s="6" t="s">
        <v>2617</v>
      </c>
      <c r="I1300" s="6" t="s">
        <v>3277</v>
      </c>
      <c r="J1300" s="6" t="s">
        <v>3304</v>
      </c>
      <c r="K1300" s="6">
        <v>26</v>
      </c>
    </row>
    <row r="1301" spans="1:11" x14ac:dyDescent="0.3">
      <c r="B1301" s="6" t="s">
        <v>2598</v>
      </c>
      <c r="E1301" s="6" t="s">
        <v>2600</v>
      </c>
      <c r="F1301" s="6">
        <v>75700</v>
      </c>
    </row>
    <row r="1302" spans="1:11" x14ac:dyDescent="0.3">
      <c r="E1302" s="6" t="s">
        <v>2604</v>
      </c>
      <c r="F1302" s="6">
        <v>132701</v>
      </c>
    </row>
    <row r="1303" spans="1:11" x14ac:dyDescent="0.3">
      <c r="E1303" s="6" t="s">
        <v>2601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468B9-AE36-4F4A-9188-180CC8D1F651}">
  <dimension ref="A1:L1298"/>
  <sheetViews>
    <sheetView tabSelected="1" workbookViewId="0">
      <selection activeCell="E12" sqref="E12"/>
    </sheetView>
  </sheetViews>
  <sheetFormatPr defaultRowHeight="14.4" x14ac:dyDescent="0.3"/>
  <cols>
    <col min="1" max="2" width="15.33203125" customWidth="1"/>
    <col min="3" max="3" width="23.88671875" customWidth="1"/>
    <col min="4" max="4" width="18.21875" style="1" customWidth="1"/>
    <col min="5" max="5" width="15.44140625" style="1" customWidth="1"/>
    <col min="6" max="6" width="15.21875" customWidth="1"/>
    <col min="7" max="7" width="15" customWidth="1"/>
    <col min="8" max="8" width="14.44140625" customWidth="1"/>
    <col min="9" max="9" width="18.21875" customWidth="1"/>
    <col min="10" max="10" width="18.88671875" customWidth="1"/>
    <col min="11" max="11" width="17.77734375" customWidth="1"/>
    <col min="12" max="12" width="22.5546875" customWidth="1"/>
  </cols>
  <sheetData>
    <row r="1" spans="1:12" x14ac:dyDescent="0.3">
      <c r="A1" s="44" t="s">
        <v>0</v>
      </c>
      <c r="B1" s="15" t="s">
        <v>3338</v>
      </c>
      <c r="C1" s="15" t="s">
        <v>1</v>
      </c>
      <c r="D1" s="16" t="s">
        <v>2</v>
      </c>
      <c r="E1" s="16" t="s">
        <v>3</v>
      </c>
      <c r="F1" s="15" t="s">
        <v>4</v>
      </c>
      <c r="G1" s="15" t="s">
        <v>5</v>
      </c>
      <c r="H1" s="15" t="s">
        <v>6</v>
      </c>
      <c r="I1" s="15" t="s">
        <v>7</v>
      </c>
      <c r="J1" s="15" t="s">
        <v>8</v>
      </c>
      <c r="K1" s="15" t="s">
        <v>9</v>
      </c>
      <c r="L1" s="45" t="s">
        <v>10</v>
      </c>
    </row>
    <row r="2" spans="1:12" x14ac:dyDescent="0.3">
      <c r="A2" s="46" t="s">
        <v>11</v>
      </c>
      <c r="B2" s="46">
        <f>LEN(Table2[[#This Row],[Employee ID]])</f>
        <v>7</v>
      </c>
      <c r="C2" s="46" t="s">
        <v>1308</v>
      </c>
      <c r="D2" s="47">
        <v>22180</v>
      </c>
      <c r="E2" s="47">
        <v>41839</v>
      </c>
      <c r="F2" s="46" t="s">
        <v>2599</v>
      </c>
      <c r="G2" s="46">
        <v>68714</v>
      </c>
      <c r="H2" s="46" t="s">
        <v>2606</v>
      </c>
      <c r="I2" s="46" t="s">
        <v>2616</v>
      </c>
      <c r="J2" s="46" t="s">
        <v>2618</v>
      </c>
      <c r="K2" s="46" t="s">
        <v>3304</v>
      </c>
      <c r="L2" s="46">
        <v>11</v>
      </c>
    </row>
    <row r="3" spans="1:12" x14ac:dyDescent="0.3">
      <c r="A3" s="46" t="s">
        <v>12</v>
      </c>
      <c r="B3" s="46">
        <f>LEN(Table2[[#This Row],[Employee ID]])</f>
        <v>7</v>
      </c>
      <c r="C3" s="46" t="s">
        <v>1309</v>
      </c>
      <c r="D3" s="47">
        <v>36636</v>
      </c>
      <c r="E3" s="47">
        <v>43163</v>
      </c>
      <c r="F3" s="46" t="s">
        <v>2600</v>
      </c>
      <c r="G3" s="46">
        <v>173501</v>
      </c>
      <c r="H3" s="46" t="s">
        <v>2607</v>
      </c>
      <c r="I3" s="46" t="s">
        <v>2616</v>
      </c>
      <c r="J3" s="46" t="s">
        <v>2619</v>
      </c>
      <c r="K3" s="46" t="s">
        <v>3305</v>
      </c>
      <c r="L3" s="46">
        <v>7</v>
      </c>
    </row>
    <row r="4" spans="1:12" x14ac:dyDescent="0.3">
      <c r="A4" s="46" t="s">
        <v>13</v>
      </c>
      <c r="B4" s="46">
        <f>LEN(Table2[[#This Row],[Employee ID]])</f>
        <v>7</v>
      </c>
      <c r="C4" s="46" t="s">
        <v>1310</v>
      </c>
      <c r="D4" s="47">
        <v>34522</v>
      </c>
      <c r="E4" s="47">
        <v>40325</v>
      </c>
      <c r="F4" s="46" t="s">
        <v>2599</v>
      </c>
      <c r="G4" s="46">
        <v>78659</v>
      </c>
      <c r="H4" s="46" t="s">
        <v>2606</v>
      </c>
      <c r="I4" s="46" t="s">
        <v>2617</v>
      </c>
      <c r="J4" s="46" t="s">
        <v>2620</v>
      </c>
      <c r="K4" s="46" t="s">
        <v>3306</v>
      </c>
      <c r="L4" s="46">
        <v>15</v>
      </c>
    </row>
    <row r="5" spans="1:12" x14ac:dyDescent="0.3">
      <c r="A5" s="46" t="s">
        <v>14</v>
      </c>
      <c r="B5" s="46">
        <f>LEN(Table2[[#This Row],[Employee ID]])</f>
        <v>7</v>
      </c>
      <c r="C5" s="46" t="s">
        <v>1311</v>
      </c>
      <c r="D5" s="47">
        <v>35976</v>
      </c>
      <c r="E5" s="47">
        <v>36810</v>
      </c>
      <c r="F5" s="46" t="s">
        <v>2601</v>
      </c>
      <c r="G5" s="46">
        <v>122559</v>
      </c>
      <c r="H5" s="46" t="s">
        <v>2608</v>
      </c>
      <c r="I5" s="46" t="s">
        <v>2617</v>
      </c>
      <c r="J5" s="46" t="s">
        <v>2621</v>
      </c>
      <c r="K5" s="46" t="s">
        <v>3305</v>
      </c>
      <c r="L5" s="46">
        <v>25</v>
      </c>
    </row>
    <row r="6" spans="1:12" x14ac:dyDescent="0.3">
      <c r="A6" s="46" t="s">
        <v>15</v>
      </c>
      <c r="B6" s="46">
        <f>LEN(Table2[[#This Row],[Employee ID]])</f>
        <v>7</v>
      </c>
      <c r="C6" s="46" t="s">
        <v>1312</v>
      </c>
      <c r="D6" s="47">
        <v>22441</v>
      </c>
      <c r="E6" s="47">
        <v>31501</v>
      </c>
      <c r="F6" s="46" t="s">
        <v>2602</v>
      </c>
      <c r="G6" s="46">
        <v>143801</v>
      </c>
      <c r="H6" s="46" t="s">
        <v>2608</v>
      </c>
      <c r="I6" s="46" t="s">
        <v>2617</v>
      </c>
      <c r="J6" s="46" t="s">
        <v>2622</v>
      </c>
      <c r="K6" s="46" t="s">
        <v>3306</v>
      </c>
      <c r="L6" s="46">
        <v>39</v>
      </c>
    </row>
    <row r="7" spans="1:12" x14ac:dyDescent="0.3">
      <c r="A7" s="46" t="s">
        <v>16</v>
      </c>
      <c r="B7" s="46">
        <f>LEN(Table2[[#This Row],[Employee ID]])</f>
        <v>7</v>
      </c>
      <c r="C7" s="46" t="s">
        <v>1313</v>
      </c>
      <c r="D7" s="47">
        <v>33598</v>
      </c>
      <c r="E7" s="47">
        <v>25818</v>
      </c>
      <c r="F7" s="46" t="s">
        <v>2600</v>
      </c>
      <c r="G7" s="46">
        <v>85405</v>
      </c>
      <c r="H7" s="46" t="s">
        <v>2609</v>
      </c>
      <c r="I7" s="46" t="s">
        <v>2616</v>
      </c>
      <c r="J7" s="46" t="s">
        <v>2623</v>
      </c>
      <c r="K7" s="46" t="s">
        <v>3306</v>
      </c>
      <c r="L7" s="46">
        <v>55</v>
      </c>
    </row>
    <row r="8" spans="1:12" x14ac:dyDescent="0.3">
      <c r="A8" s="46" t="s">
        <v>17</v>
      </c>
      <c r="B8" s="46">
        <f>LEN(Table2[[#This Row],[Employee ID]])</f>
        <v>7</v>
      </c>
      <c r="C8" s="46" t="s">
        <v>1314</v>
      </c>
      <c r="D8" s="47">
        <v>29425</v>
      </c>
      <c r="E8" s="47">
        <v>36320</v>
      </c>
      <c r="F8" s="46" t="s">
        <v>2603</v>
      </c>
      <c r="G8" s="46">
        <v>24858</v>
      </c>
      <c r="H8" s="46" t="s">
        <v>2610</v>
      </c>
      <c r="I8" s="46" t="s">
        <v>2617</v>
      </c>
      <c r="J8" s="46" t="s">
        <v>2624</v>
      </c>
      <c r="K8" s="46" t="s">
        <v>3306</v>
      </c>
      <c r="L8" s="46">
        <v>26</v>
      </c>
    </row>
    <row r="9" spans="1:12" x14ac:dyDescent="0.3">
      <c r="A9" s="46" t="s">
        <v>18</v>
      </c>
      <c r="B9" s="46">
        <f>LEN(Table2[[#This Row],[Employee ID]])</f>
        <v>7</v>
      </c>
      <c r="C9" s="46" t="s">
        <v>1315</v>
      </c>
      <c r="D9" s="47">
        <v>29059</v>
      </c>
      <c r="E9" s="47">
        <v>36818</v>
      </c>
      <c r="F9" s="46" t="s">
        <v>2601</v>
      </c>
      <c r="G9" s="46">
        <v>182803</v>
      </c>
      <c r="H9" s="46" t="s">
        <v>2611</v>
      </c>
      <c r="I9" s="46" t="s">
        <v>2617</v>
      </c>
      <c r="J9" s="46" t="s">
        <v>2625</v>
      </c>
      <c r="K9" s="46" t="s">
        <v>3306</v>
      </c>
      <c r="L9" s="46">
        <v>25</v>
      </c>
    </row>
    <row r="10" spans="1:12" x14ac:dyDescent="0.3">
      <c r="A10" s="46" t="s">
        <v>19</v>
      </c>
      <c r="B10" s="46">
        <f>LEN(Table2[[#This Row],[Employee ID]])</f>
        <v>7</v>
      </c>
      <c r="C10" s="46" t="s">
        <v>1316</v>
      </c>
      <c r="D10" s="47">
        <v>37619</v>
      </c>
      <c r="E10" s="47">
        <v>25882</v>
      </c>
      <c r="F10" s="46" t="s">
        <v>2604</v>
      </c>
      <c r="G10" s="46">
        <v>127076</v>
      </c>
      <c r="H10" s="46" t="s">
        <v>2611</v>
      </c>
      <c r="I10" s="46" t="s">
        <v>2617</v>
      </c>
      <c r="J10" s="46" t="s">
        <v>2626</v>
      </c>
      <c r="K10" s="46" t="s">
        <v>3307</v>
      </c>
      <c r="L10" s="46">
        <v>55</v>
      </c>
    </row>
    <row r="11" spans="1:12" x14ac:dyDescent="0.3">
      <c r="A11" s="46" t="s">
        <v>20</v>
      </c>
      <c r="B11" s="46">
        <f>LEN(Table2[[#This Row],[Employee ID]])</f>
        <v>7</v>
      </c>
      <c r="C11" s="46" t="s">
        <v>1317</v>
      </c>
      <c r="D11" s="47">
        <v>33969</v>
      </c>
      <c r="E11" s="47">
        <v>35916</v>
      </c>
      <c r="F11" s="46" t="s">
        <v>2602</v>
      </c>
      <c r="G11" s="46">
        <v>65259</v>
      </c>
      <c r="H11" s="46" t="s">
        <v>2609</v>
      </c>
      <c r="I11" s="46" t="s">
        <v>2616</v>
      </c>
      <c r="J11" s="46" t="s">
        <v>2627</v>
      </c>
      <c r="K11" s="46" t="s">
        <v>3308</v>
      </c>
      <c r="L11" s="46">
        <v>27</v>
      </c>
    </row>
    <row r="12" spans="1:12" x14ac:dyDescent="0.3">
      <c r="A12" s="46" t="s">
        <v>21</v>
      </c>
      <c r="B12" s="46">
        <f>LEN(Table2[[#This Row],[Employee ID]])</f>
        <v>7</v>
      </c>
      <c r="C12" s="46" t="s">
        <v>1318</v>
      </c>
      <c r="D12" s="47">
        <v>28579</v>
      </c>
      <c r="E12" s="47">
        <v>43735</v>
      </c>
      <c r="F12" s="46" t="s">
        <v>2605</v>
      </c>
      <c r="G12" s="46">
        <v>178832</v>
      </c>
      <c r="H12" s="46" t="s">
        <v>2608</v>
      </c>
      <c r="I12" s="46" t="s">
        <v>2617</v>
      </c>
      <c r="J12" s="46" t="s">
        <v>2628</v>
      </c>
      <c r="K12" s="46" t="s">
        <v>3306</v>
      </c>
      <c r="L12" s="46">
        <v>6</v>
      </c>
    </row>
    <row r="13" spans="1:12" x14ac:dyDescent="0.3">
      <c r="A13" s="46" t="s">
        <v>22</v>
      </c>
      <c r="B13" s="46">
        <f>LEN(Table2[[#This Row],[Employee ID]])</f>
        <v>7</v>
      </c>
      <c r="C13" s="46" t="s">
        <v>1319</v>
      </c>
      <c r="D13" s="47">
        <v>28684</v>
      </c>
      <c r="E13" s="47">
        <v>38675</v>
      </c>
      <c r="F13" s="46" t="s">
        <v>2605</v>
      </c>
      <c r="G13" s="46">
        <v>57911</v>
      </c>
      <c r="H13" s="46" t="s">
        <v>2608</v>
      </c>
      <c r="I13" s="46" t="s">
        <v>2616</v>
      </c>
      <c r="J13" s="46" t="s">
        <v>2629</v>
      </c>
      <c r="K13" s="46" t="s">
        <v>3307</v>
      </c>
      <c r="L13" s="46">
        <v>20</v>
      </c>
    </row>
    <row r="14" spans="1:12" x14ac:dyDescent="0.3">
      <c r="A14" s="46" t="s">
        <v>23</v>
      </c>
      <c r="B14" s="46">
        <f>LEN(Table2[[#This Row],[Employee ID]])</f>
        <v>7</v>
      </c>
      <c r="C14" s="46" t="s">
        <v>1320</v>
      </c>
      <c r="D14" s="47">
        <v>33868</v>
      </c>
      <c r="E14" s="47">
        <v>37851</v>
      </c>
      <c r="F14" s="46" t="s">
        <v>2603</v>
      </c>
      <c r="G14" s="46">
        <v>86201</v>
      </c>
      <c r="H14" s="46" t="s">
        <v>2612</v>
      </c>
      <c r="I14" s="46" t="s">
        <v>2616</v>
      </c>
      <c r="J14" s="46" t="s">
        <v>2630</v>
      </c>
      <c r="K14" s="46" t="s">
        <v>3305</v>
      </c>
      <c r="L14" s="46">
        <v>22</v>
      </c>
    </row>
    <row r="15" spans="1:12" x14ac:dyDescent="0.3">
      <c r="A15" s="46" t="s">
        <v>24</v>
      </c>
      <c r="B15" s="46">
        <f>LEN(Table2[[#This Row],[Employee ID]])</f>
        <v>7</v>
      </c>
      <c r="C15" s="46" t="s">
        <v>1321</v>
      </c>
      <c r="D15" s="47">
        <v>35709</v>
      </c>
      <c r="E15" s="47">
        <v>36955</v>
      </c>
      <c r="F15" s="46" t="s">
        <v>2605</v>
      </c>
      <c r="G15" s="46">
        <v>116998</v>
      </c>
      <c r="H15" s="46" t="s">
        <v>2607</v>
      </c>
      <c r="I15" s="46" t="s">
        <v>2616</v>
      </c>
      <c r="J15" s="46" t="s">
        <v>2631</v>
      </c>
      <c r="K15" s="46" t="s">
        <v>3307</v>
      </c>
      <c r="L15" s="46">
        <v>24</v>
      </c>
    </row>
    <row r="16" spans="1:12" x14ac:dyDescent="0.3">
      <c r="A16" s="46" t="s">
        <v>25</v>
      </c>
      <c r="B16" s="46">
        <f>LEN(Table2[[#This Row],[Employee ID]])</f>
        <v>7</v>
      </c>
      <c r="C16" s="46" t="s">
        <v>1322</v>
      </c>
      <c r="D16" s="47">
        <v>36838</v>
      </c>
      <c r="E16" s="47">
        <v>31253</v>
      </c>
      <c r="F16" s="46" t="s">
        <v>2602</v>
      </c>
      <c r="G16" s="46">
        <v>163291</v>
      </c>
      <c r="H16" s="46" t="s">
        <v>2610</v>
      </c>
      <c r="I16" s="46" t="s">
        <v>2617</v>
      </c>
      <c r="J16" s="46" t="s">
        <v>2632</v>
      </c>
      <c r="K16" s="46" t="s">
        <v>3307</v>
      </c>
      <c r="L16" s="46">
        <v>40</v>
      </c>
    </row>
    <row r="17" spans="1:12" x14ac:dyDescent="0.3">
      <c r="A17" s="46" t="s">
        <v>26</v>
      </c>
      <c r="B17" s="46">
        <f>LEN(Table2[[#This Row],[Employee ID]])</f>
        <v>7</v>
      </c>
      <c r="C17" s="46" t="s">
        <v>1323</v>
      </c>
      <c r="D17" s="47">
        <v>29000</v>
      </c>
      <c r="E17" s="47">
        <v>36557</v>
      </c>
      <c r="F17" s="46" t="s">
        <v>2600</v>
      </c>
      <c r="G17" s="46">
        <v>80988</v>
      </c>
      <c r="H17" s="46" t="s">
        <v>2611</v>
      </c>
      <c r="I17" s="46" t="s">
        <v>2617</v>
      </c>
      <c r="J17" s="46" t="s">
        <v>2633</v>
      </c>
      <c r="K17" s="46" t="s">
        <v>3308</v>
      </c>
      <c r="L17" s="46">
        <v>25</v>
      </c>
    </row>
    <row r="18" spans="1:12" x14ac:dyDescent="0.3">
      <c r="A18" s="46" t="s">
        <v>27</v>
      </c>
      <c r="B18" s="46">
        <f>LEN(Table2[[#This Row],[Employee ID]])</f>
        <v>7</v>
      </c>
      <c r="C18" s="46" t="s">
        <v>1324</v>
      </c>
      <c r="D18" s="47">
        <v>28243</v>
      </c>
      <c r="E18" s="47">
        <v>26438</v>
      </c>
      <c r="F18" s="46" t="s">
        <v>2601</v>
      </c>
      <c r="G18" s="46">
        <v>140435</v>
      </c>
      <c r="H18" s="46" t="s">
        <v>2611</v>
      </c>
      <c r="I18" s="46" t="s">
        <v>2616</v>
      </c>
      <c r="J18" s="46" t="s">
        <v>2634</v>
      </c>
      <c r="K18" s="46" t="s">
        <v>3308</v>
      </c>
      <c r="L18" s="46">
        <v>53</v>
      </c>
    </row>
    <row r="19" spans="1:12" x14ac:dyDescent="0.3">
      <c r="A19" s="46" t="s">
        <v>28</v>
      </c>
      <c r="B19" s="46">
        <f>LEN(Table2[[#This Row],[Employee ID]])</f>
        <v>7</v>
      </c>
      <c r="C19" s="46" t="s">
        <v>1325</v>
      </c>
      <c r="D19" s="47">
        <v>33113</v>
      </c>
      <c r="E19" s="47">
        <v>28588</v>
      </c>
      <c r="F19" s="46" t="s">
        <v>2600</v>
      </c>
      <c r="G19" s="46">
        <v>62510</v>
      </c>
      <c r="H19" s="46" t="s">
        <v>2613</v>
      </c>
      <c r="I19" s="46" t="s">
        <v>2616</v>
      </c>
      <c r="J19" s="46" t="s">
        <v>2635</v>
      </c>
      <c r="K19" s="46" t="s">
        <v>3309</v>
      </c>
      <c r="L19" s="46">
        <v>47</v>
      </c>
    </row>
    <row r="20" spans="1:12" x14ac:dyDescent="0.3">
      <c r="A20" s="46" t="s">
        <v>29</v>
      </c>
      <c r="B20" s="46">
        <f>LEN(Table2[[#This Row],[Employee ID]])</f>
        <v>7</v>
      </c>
      <c r="C20" s="46" t="s">
        <v>1326</v>
      </c>
      <c r="D20" s="47">
        <v>27985</v>
      </c>
      <c r="E20" s="47">
        <v>29873</v>
      </c>
      <c r="F20" s="46" t="s">
        <v>2605</v>
      </c>
      <c r="G20" s="46">
        <v>90827</v>
      </c>
      <c r="H20" s="46" t="s">
        <v>2606</v>
      </c>
      <c r="I20" s="46" t="s">
        <v>2616</v>
      </c>
      <c r="J20" s="46" t="s">
        <v>2636</v>
      </c>
      <c r="K20" s="46" t="s">
        <v>3307</v>
      </c>
      <c r="L20" s="46">
        <v>44</v>
      </c>
    </row>
    <row r="21" spans="1:12" x14ac:dyDescent="0.3">
      <c r="A21" s="46" t="s">
        <v>30</v>
      </c>
      <c r="B21" s="46">
        <f>LEN(Table2[[#This Row],[Employee ID]])</f>
        <v>7</v>
      </c>
      <c r="C21" s="46" t="s">
        <v>1327</v>
      </c>
      <c r="D21" s="47">
        <v>25861</v>
      </c>
      <c r="E21" s="47">
        <v>41187</v>
      </c>
      <c r="F21" s="46" t="s">
        <v>2605</v>
      </c>
      <c r="G21" s="46">
        <v>184057</v>
      </c>
      <c r="H21" s="46" t="s">
        <v>2606</v>
      </c>
      <c r="I21" s="46" t="s">
        <v>2617</v>
      </c>
      <c r="J21" s="46" t="s">
        <v>2637</v>
      </c>
      <c r="K21" s="46" t="s">
        <v>3307</v>
      </c>
      <c r="L21" s="46">
        <v>13</v>
      </c>
    </row>
    <row r="22" spans="1:12" x14ac:dyDescent="0.3">
      <c r="A22" s="46" t="s">
        <v>31</v>
      </c>
      <c r="B22" s="46">
        <f>LEN(Table2[[#This Row],[Employee ID]])</f>
        <v>7</v>
      </c>
      <c r="C22" s="46" t="s">
        <v>1328</v>
      </c>
      <c r="D22" s="47">
        <v>23674</v>
      </c>
      <c r="E22" s="47">
        <v>39722</v>
      </c>
      <c r="F22" s="46" t="s">
        <v>2599</v>
      </c>
      <c r="G22" s="46">
        <v>132823</v>
      </c>
      <c r="H22" s="46" t="s">
        <v>2612</v>
      </c>
      <c r="I22" s="46" t="s">
        <v>2617</v>
      </c>
      <c r="J22" s="46" t="s">
        <v>2638</v>
      </c>
      <c r="K22" s="46" t="s">
        <v>3305</v>
      </c>
      <c r="L22" s="46">
        <v>17</v>
      </c>
    </row>
    <row r="23" spans="1:12" x14ac:dyDescent="0.3">
      <c r="A23" s="46" t="s">
        <v>32</v>
      </c>
      <c r="B23" s="46">
        <f>LEN(Table2[[#This Row],[Employee ID]])</f>
        <v>7</v>
      </c>
      <c r="C23" s="46" t="s">
        <v>1329</v>
      </c>
      <c r="D23" s="47">
        <v>36398</v>
      </c>
      <c r="E23" s="47">
        <v>27440</v>
      </c>
      <c r="F23" s="46" t="s">
        <v>2602</v>
      </c>
      <c r="G23" s="46">
        <v>97382</v>
      </c>
      <c r="H23" s="46" t="s">
        <v>2608</v>
      </c>
      <c r="I23" s="46" t="s">
        <v>2616</v>
      </c>
      <c r="J23" s="46" t="s">
        <v>2639</v>
      </c>
      <c r="K23" s="46" t="s">
        <v>3307</v>
      </c>
      <c r="L23" s="46">
        <v>50</v>
      </c>
    </row>
    <row r="24" spans="1:12" x14ac:dyDescent="0.3">
      <c r="A24" s="46" t="s">
        <v>33</v>
      </c>
      <c r="B24" s="46">
        <f>LEN(Table2[[#This Row],[Employee ID]])</f>
        <v>7</v>
      </c>
      <c r="C24" s="46" t="s">
        <v>1330</v>
      </c>
      <c r="D24" s="47">
        <v>33309</v>
      </c>
      <c r="E24" s="47">
        <v>39066</v>
      </c>
      <c r="F24" s="46" t="s">
        <v>2603</v>
      </c>
      <c r="G24" s="46">
        <v>152798</v>
      </c>
      <c r="H24" s="46" t="s">
        <v>2611</v>
      </c>
      <c r="I24" s="46" t="s">
        <v>2617</v>
      </c>
      <c r="J24" s="46" t="s">
        <v>2640</v>
      </c>
      <c r="K24" s="46" t="s">
        <v>3309</v>
      </c>
      <c r="L24" s="46">
        <v>19</v>
      </c>
    </row>
    <row r="25" spans="1:12" x14ac:dyDescent="0.3">
      <c r="A25" s="46" t="s">
        <v>34</v>
      </c>
      <c r="B25" s="46">
        <f>LEN(Table2[[#This Row],[Employee ID]])</f>
        <v>7</v>
      </c>
      <c r="C25" s="46" t="s">
        <v>1331</v>
      </c>
      <c r="D25" s="47">
        <v>29157</v>
      </c>
      <c r="E25" s="47">
        <v>40324</v>
      </c>
      <c r="F25" s="46" t="s">
        <v>2600</v>
      </c>
      <c r="G25" s="46">
        <v>24173</v>
      </c>
      <c r="H25" s="46" t="s">
        <v>2614</v>
      </c>
      <c r="I25" s="46" t="s">
        <v>2616</v>
      </c>
      <c r="J25" s="46" t="s">
        <v>2641</v>
      </c>
      <c r="K25" s="46" t="s">
        <v>3306</v>
      </c>
      <c r="L25" s="46">
        <v>15</v>
      </c>
    </row>
    <row r="26" spans="1:12" x14ac:dyDescent="0.3">
      <c r="A26" s="46" t="s">
        <v>35</v>
      </c>
      <c r="B26" s="46">
        <f>LEN(Table2[[#This Row],[Employee ID]])</f>
        <v>7</v>
      </c>
      <c r="C26" s="46" t="s">
        <v>1332</v>
      </c>
      <c r="D26" s="47">
        <v>35758</v>
      </c>
      <c r="E26" s="47">
        <v>30603</v>
      </c>
      <c r="F26" s="46" t="s">
        <v>2601</v>
      </c>
      <c r="G26" s="46">
        <v>131132</v>
      </c>
      <c r="H26" s="46" t="s">
        <v>2615</v>
      </c>
      <c r="I26" s="46" t="s">
        <v>2617</v>
      </c>
      <c r="J26" s="46" t="s">
        <v>2642</v>
      </c>
      <c r="K26" s="46" t="s">
        <v>3306</v>
      </c>
      <c r="L26" s="46">
        <v>42</v>
      </c>
    </row>
    <row r="27" spans="1:12" x14ac:dyDescent="0.3">
      <c r="A27" s="46" t="s">
        <v>36</v>
      </c>
      <c r="B27" s="46">
        <f>LEN(Table2[[#This Row],[Employee ID]])</f>
        <v>7</v>
      </c>
      <c r="C27" s="46" t="s">
        <v>1333</v>
      </c>
      <c r="D27" s="47">
        <v>29646</v>
      </c>
      <c r="E27" s="47">
        <v>36278</v>
      </c>
      <c r="F27" s="46" t="s">
        <v>2602</v>
      </c>
      <c r="G27" s="46">
        <v>145437</v>
      </c>
      <c r="H27" s="46" t="s">
        <v>2610</v>
      </c>
      <c r="I27" s="46" t="s">
        <v>2617</v>
      </c>
      <c r="J27" s="46" t="s">
        <v>2643</v>
      </c>
      <c r="K27" s="46" t="s">
        <v>3307</v>
      </c>
      <c r="L27" s="46">
        <v>26</v>
      </c>
    </row>
    <row r="28" spans="1:12" x14ac:dyDescent="0.3">
      <c r="A28" s="46" t="s">
        <v>37</v>
      </c>
      <c r="B28" s="46">
        <f>LEN(Table2[[#This Row],[Employee ID]])</f>
        <v>7</v>
      </c>
      <c r="C28" s="46" t="s">
        <v>1334</v>
      </c>
      <c r="D28" s="47">
        <v>30828</v>
      </c>
      <c r="E28" s="47">
        <v>32530</v>
      </c>
      <c r="F28" s="46" t="s">
        <v>2599</v>
      </c>
      <c r="G28" s="46">
        <v>135145</v>
      </c>
      <c r="H28" s="46" t="s">
        <v>2609</v>
      </c>
      <c r="I28" s="46" t="s">
        <v>2617</v>
      </c>
      <c r="J28" s="46" t="s">
        <v>2644</v>
      </c>
      <c r="K28" s="46" t="s">
        <v>3308</v>
      </c>
      <c r="L28" s="46">
        <v>36</v>
      </c>
    </row>
    <row r="29" spans="1:12" x14ac:dyDescent="0.3">
      <c r="A29" s="46" t="s">
        <v>38</v>
      </c>
      <c r="B29" s="46">
        <f>LEN(Table2[[#This Row],[Employee ID]])</f>
        <v>7</v>
      </c>
      <c r="C29" s="46" t="s">
        <v>1335</v>
      </c>
      <c r="D29" s="47">
        <v>31291</v>
      </c>
      <c r="E29" s="47">
        <v>37094</v>
      </c>
      <c r="F29" s="46" t="s">
        <v>2604</v>
      </c>
      <c r="G29" s="46">
        <v>87948</v>
      </c>
      <c r="H29" s="46" t="s">
        <v>2615</v>
      </c>
      <c r="I29" s="46" t="s">
        <v>2617</v>
      </c>
      <c r="J29" s="46" t="s">
        <v>2645</v>
      </c>
      <c r="K29" s="46" t="s">
        <v>3306</v>
      </c>
      <c r="L29" s="46">
        <v>24</v>
      </c>
    </row>
    <row r="30" spans="1:12" x14ac:dyDescent="0.3">
      <c r="A30" s="46" t="s">
        <v>39</v>
      </c>
      <c r="B30" s="46">
        <f>LEN(Table2[[#This Row],[Employee ID]])</f>
        <v>7</v>
      </c>
      <c r="C30" s="46" t="s">
        <v>1336</v>
      </c>
      <c r="D30" s="47">
        <v>32183</v>
      </c>
      <c r="E30" s="47">
        <v>29739</v>
      </c>
      <c r="F30" s="46" t="s">
        <v>2603</v>
      </c>
      <c r="G30" s="46">
        <v>144034</v>
      </c>
      <c r="H30" s="46" t="s">
        <v>2606</v>
      </c>
      <c r="I30" s="46" t="s">
        <v>2616</v>
      </c>
      <c r="J30" s="46" t="s">
        <v>2646</v>
      </c>
      <c r="K30" s="46" t="s">
        <v>3306</v>
      </c>
      <c r="L30" s="46">
        <v>44</v>
      </c>
    </row>
    <row r="31" spans="1:12" x14ac:dyDescent="0.3">
      <c r="A31" s="46" t="s">
        <v>40</v>
      </c>
      <c r="B31" s="46">
        <f>LEN(Table2[[#This Row],[Employee ID]])</f>
        <v>7</v>
      </c>
      <c r="C31" s="46" t="s">
        <v>1337</v>
      </c>
      <c r="D31" s="47">
        <v>21649</v>
      </c>
      <c r="E31" s="47">
        <v>40726</v>
      </c>
      <c r="F31" s="46" t="s">
        <v>2605</v>
      </c>
      <c r="G31" s="46">
        <v>198801</v>
      </c>
      <c r="H31" s="46" t="s">
        <v>2612</v>
      </c>
      <c r="I31" s="46" t="s">
        <v>2617</v>
      </c>
      <c r="J31" s="46" t="s">
        <v>2647</v>
      </c>
      <c r="K31" s="46" t="s">
        <v>3310</v>
      </c>
      <c r="L31" s="46">
        <v>14</v>
      </c>
    </row>
    <row r="32" spans="1:12" x14ac:dyDescent="0.3">
      <c r="A32" s="46" t="s">
        <v>41</v>
      </c>
      <c r="B32" s="46">
        <f>LEN(Table2[[#This Row],[Employee ID]])</f>
        <v>7</v>
      </c>
      <c r="C32" s="46" t="s">
        <v>1338</v>
      </c>
      <c r="D32" s="47">
        <v>27763</v>
      </c>
      <c r="E32" s="47">
        <v>35732</v>
      </c>
      <c r="F32" s="46" t="s">
        <v>2601</v>
      </c>
      <c r="G32" s="46">
        <v>191756</v>
      </c>
      <c r="H32" s="46" t="s">
        <v>2613</v>
      </c>
      <c r="I32" s="46" t="s">
        <v>2616</v>
      </c>
      <c r="J32" s="46" t="s">
        <v>2648</v>
      </c>
      <c r="K32" s="46" t="s">
        <v>3306</v>
      </c>
      <c r="L32" s="46">
        <v>28</v>
      </c>
    </row>
    <row r="33" spans="1:12" x14ac:dyDescent="0.3">
      <c r="A33" s="46" t="s">
        <v>42</v>
      </c>
      <c r="B33" s="46">
        <f>LEN(Table2[[#This Row],[Employee ID]])</f>
        <v>7</v>
      </c>
      <c r="C33" s="46" t="s">
        <v>1339</v>
      </c>
      <c r="D33" s="47">
        <v>26614</v>
      </c>
      <c r="E33" s="47">
        <v>33786</v>
      </c>
      <c r="F33" s="46" t="s">
        <v>2599</v>
      </c>
      <c r="G33" s="46">
        <v>35955</v>
      </c>
      <c r="H33" s="46" t="s">
        <v>2608</v>
      </c>
      <c r="I33" s="46" t="s">
        <v>2617</v>
      </c>
      <c r="J33" s="46" t="s">
        <v>2649</v>
      </c>
      <c r="K33" s="46" t="s">
        <v>3308</v>
      </c>
      <c r="L33" s="46">
        <v>33</v>
      </c>
    </row>
    <row r="34" spans="1:12" x14ac:dyDescent="0.3">
      <c r="A34" s="46" t="s">
        <v>43</v>
      </c>
      <c r="B34" s="46">
        <f>LEN(Table2[[#This Row],[Employee ID]])</f>
        <v>7</v>
      </c>
      <c r="C34" s="46" t="s">
        <v>1340</v>
      </c>
      <c r="D34" s="47">
        <v>37300</v>
      </c>
      <c r="E34" s="47">
        <v>40038</v>
      </c>
      <c r="F34" s="46" t="s">
        <v>2600</v>
      </c>
      <c r="G34" s="46">
        <v>187043</v>
      </c>
      <c r="H34" s="46" t="s">
        <v>2615</v>
      </c>
      <c r="I34" s="46" t="s">
        <v>2616</v>
      </c>
      <c r="J34" s="46" t="s">
        <v>2650</v>
      </c>
      <c r="K34" s="46" t="s">
        <v>3310</v>
      </c>
      <c r="L34" s="46">
        <v>16</v>
      </c>
    </row>
    <row r="35" spans="1:12" x14ac:dyDescent="0.3">
      <c r="A35" s="46" t="s">
        <v>44</v>
      </c>
      <c r="B35" s="46">
        <f>LEN(Table2[[#This Row],[Employee ID]])</f>
        <v>7</v>
      </c>
      <c r="C35" s="46" t="s">
        <v>1341</v>
      </c>
      <c r="D35" s="47">
        <v>24554</v>
      </c>
      <c r="E35" s="47">
        <v>36249</v>
      </c>
      <c r="F35" s="46" t="s">
        <v>2599</v>
      </c>
      <c r="G35" s="46">
        <v>125651</v>
      </c>
      <c r="H35" s="46" t="s">
        <v>2615</v>
      </c>
      <c r="I35" s="46" t="s">
        <v>2616</v>
      </c>
      <c r="J35" s="46" t="s">
        <v>2651</v>
      </c>
      <c r="K35" s="46" t="s">
        <v>3307</v>
      </c>
      <c r="L35" s="46">
        <v>26</v>
      </c>
    </row>
    <row r="36" spans="1:12" x14ac:dyDescent="0.3">
      <c r="A36" s="46" t="s">
        <v>45</v>
      </c>
      <c r="B36" s="46">
        <f>LEN(Table2[[#This Row],[Employee ID]])</f>
        <v>7</v>
      </c>
      <c r="C36" s="46" t="s">
        <v>1342</v>
      </c>
      <c r="D36" s="47">
        <v>35569</v>
      </c>
      <c r="E36" s="47">
        <v>27835</v>
      </c>
      <c r="F36" s="46" t="s">
        <v>2601</v>
      </c>
      <c r="G36" s="46">
        <v>80372</v>
      </c>
      <c r="H36" s="46" t="s">
        <v>2613</v>
      </c>
      <c r="I36" s="46" t="s">
        <v>2616</v>
      </c>
      <c r="J36" s="46" t="s">
        <v>2627</v>
      </c>
      <c r="K36" s="46" t="s">
        <v>3310</v>
      </c>
      <c r="L36" s="46">
        <v>49</v>
      </c>
    </row>
    <row r="37" spans="1:12" x14ac:dyDescent="0.3">
      <c r="A37" s="46" t="s">
        <v>46</v>
      </c>
      <c r="B37" s="46">
        <f>LEN(Table2[[#This Row],[Employee ID]])</f>
        <v>7</v>
      </c>
      <c r="C37" s="46" t="s">
        <v>1343</v>
      </c>
      <c r="D37" s="47">
        <v>34500</v>
      </c>
      <c r="E37" s="47">
        <v>35659</v>
      </c>
      <c r="F37" s="46" t="s">
        <v>2602</v>
      </c>
      <c r="G37" s="46">
        <v>64595</v>
      </c>
      <c r="H37" s="46" t="s">
        <v>2606</v>
      </c>
      <c r="I37" s="46" t="s">
        <v>2617</v>
      </c>
      <c r="J37" s="46" t="s">
        <v>2652</v>
      </c>
      <c r="K37" s="46" t="s">
        <v>3307</v>
      </c>
      <c r="L37" s="46">
        <v>28</v>
      </c>
    </row>
    <row r="38" spans="1:12" x14ac:dyDescent="0.3">
      <c r="A38" s="46" t="s">
        <v>47</v>
      </c>
      <c r="B38" s="46">
        <f>LEN(Table2[[#This Row],[Employee ID]])</f>
        <v>7</v>
      </c>
      <c r="C38" s="46" t="s">
        <v>1344</v>
      </c>
      <c r="D38" s="47">
        <v>29077</v>
      </c>
      <c r="E38" s="47">
        <v>40509</v>
      </c>
      <c r="F38" s="46" t="s">
        <v>2601</v>
      </c>
      <c r="G38" s="46">
        <v>146314</v>
      </c>
      <c r="H38" s="46" t="s">
        <v>2612</v>
      </c>
      <c r="I38" s="46" t="s">
        <v>2617</v>
      </c>
      <c r="J38" s="46" t="s">
        <v>2653</v>
      </c>
      <c r="K38" s="46" t="s">
        <v>3306</v>
      </c>
      <c r="L38" s="46">
        <v>15</v>
      </c>
    </row>
    <row r="39" spans="1:12" x14ac:dyDescent="0.3">
      <c r="A39" s="46" t="s">
        <v>48</v>
      </c>
      <c r="B39" s="46">
        <f>LEN(Table2[[#This Row],[Employee ID]])</f>
        <v>7</v>
      </c>
      <c r="C39" s="46" t="s">
        <v>1345</v>
      </c>
      <c r="D39" s="47">
        <v>36362</v>
      </c>
      <c r="E39" s="47">
        <v>37478</v>
      </c>
      <c r="F39" s="46" t="s">
        <v>2603</v>
      </c>
      <c r="G39" s="46">
        <v>186139</v>
      </c>
      <c r="H39" s="46" t="s">
        <v>2613</v>
      </c>
      <c r="I39" s="46" t="s">
        <v>2617</v>
      </c>
      <c r="J39" s="46" t="s">
        <v>2654</v>
      </c>
      <c r="K39" s="46" t="s">
        <v>3309</v>
      </c>
      <c r="L39" s="46">
        <v>23</v>
      </c>
    </row>
    <row r="40" spans="1:12" x14ac:dyDescent="0.3">
      <c r="A40" s="46" t="s">
        <v>49</v>
      </c>
      <c r="B40" s="46">
        <f>LEN(Table2[[#This Row],[Employee ID]])</f>
        <v>7</v>
      </c>
      <c r="C40" s="46" t="s">
        <v>1346</v>
      </c>
      <c r="D40" s="47">
        <v>31525</v>
      </c>
      <c r="E40" s="47">
        <v>38054</v>
      </c>
      <c r="F40" s="46" t="s">
        <v>2605</v>
      </c>
      <c r="G40" s="46">
        <v>92655</v>
      </c>
      <c r="H40" s="46" t="s">
        <v>2613</v>
      </c>
      <c r="I40" s="46" t="s">
        <v>2617</v>
      </c>
      <c r="J40" s="46" t="s">
        <v>2655</v>
      </c>
      <c r="K40" s="46" t="s">
        <v>3310</v>
      </c>
      <c r="L40" s="46">
        <v>21</v>
      </c>
    </row>
    <row r="41" spans="1:12" x14ac:dyDescent="0.3">
      <c r="A41" s="46" t="s">
        <v>50</v>
      </c>
      <c r="B41" s="46">
        <f>LEN(Table2[[#This Row],[Employee ID]])</f>
        <v>7</v>
      </c>
      <c r="C41" s="46" t="s">
        <v>1347</v>
      </c>
      <c r="D41" s="47">
        <v>24005</v>
      </c>
      <c r="E41" s="47">
        <v>26505</v>
      </c>
      <c r="F41" s="46" t="s">
        <v>2602</v>
      </c>
      <c r="G41" s="46">
        <v>104585</v>
      </c>
      <c r="H41" s="46" t="s">
        <v>2611</v>
      </c>
      <c r="I41" s="46" t="s">
        <v>2617</v>
      </c>
      <c r="J41" s="46" t="s">
        <v>2656</v>
      </c>
      <c r="K41" s="46" t="s">
        <v>3307</v>
      </c>
      <c r="L41" s="46">
        <v>53</v>
      </c>
    </row>
    <row r="42" spans="1:12" x14ac:dyDescent="0.3">
      <c r="A42" s="46" t="s">
        <v>51</v>
      </c>
      <c r="B42" s="46">
        <f>LEN(Table2[[#This Row],[Employee ID]])</f>
        <v>7</v>
      </c>
      <c r="C42" s="46" t="s">
        <v>1348</v>
      </c>
      <c r="D42" s="47">
        <v>30768</v>
      </c>
      <c r="E42" s="47">
        <v>38661</v>
      </c>
      <c r="F42" s="46" t="s">
        <v>2599</v>
      </c>
      <c r="G42" s="46">
        <v>133053</v>
      </c>
      <c r="H42" s="46" t="s">
        <v>2609</v>
      </c>
      <c r="I42" s="46" t="s">
        <v>2617</v>
      </c>
      <c r="J42" s="46" t="s">
        <v>2657</v>
      </c>
      <c r="K42" s="46" t="s">
        <v>3305</v>
      </c>
      <c r="L42" s="46">
        <v>20</v>
      </c>
    </row>
    <row r="43" spans="1:12" x14ac:dyDescent="0.3">
      <c r="A43" s="46" t="s">
        <v>52</v>
      </c>
      <c r="B43" s="46">
        <f>LEN(Table2[[#This Row],[Employee ID]])</f>
        <v>7</v>
      </c>
      <c r="C43" s="46" t="s">
        <v>1349</v>
      </c>
      <c r="D43" s="47">
        <v>35241</v>
      </c>
      <c r="E43" s="47">
        <v>29801</v>
      </c>
      <c r="F43" s="46" t="s">
        <v>2599</v>
      </c>
      <c r="G43" s="46">
        <v>155724</v>
      </c>
      <c r="H43" s="46" t="s">
        <v>2606</v>
      </c>
      <c r="I43" s="46" t="s">
        <v>2616</v>
      </c>
      <c r="J43" s="46" t="s">
        <v>2658</v>
      </c>
      <c r="K43" s="46" t="s">
        <v>3309</v>
      </c>
      <c r="L43" s="46">
        <v>44</v>
      </c>
    </row>
    <row r="44" spans="1:12" x14ac:dyDescent="0.3">
      <c r="A44" s="46" t="s">
        <v>53</v>
      </c>
      <c r="B44" s="46">
        <f>LEN(Table2[[#This Row],[Employee ID]])</f>
        <v>7</v>
      </c>
      <c r="C44" s="46" t="s">
        <v>1350</v>
      </c>
      <c r="D44" s="47">
        <v>31623</v>
      </c>
      <c r="E44" s="47">
        <v>26672</v>
      </c>
      <c r="F44" s="46" t="s">
        <v>2603</v>
      </c>
      <c r="G44" s="46">
        <v>71232</v>
      </c>
      <c r="H44" s="46" t="s">
        <v>2607</v>
      </c>
      <c r="I44" s="46" t="s">
        <v>2617</v>
      </c>
      <c r="J44" s="46" t="s">
        <v>2659</v>
      </c>
      <c r="K44" s="46" t="s">
        <v>3307</v>
      </c>
      <c r="L44" s="46">
        <v>52</v>
      </c>
    </row>
    <row r="45" spans="1:12" x14ac:dyDescent="0.3">
      <c r="A45" s="46" t="s">
        <v>54</v>
      </c>
      <c r="B45" s="46">
        <f>LEN(Table2[[#This Row],[Employee ID]])</f>
        <v>7</v>
      </c>
      <c r="C45" s="46" t="s">
        <v>1351</v>
      </c>
      <c r="D45" s="47">
        <v>28482</v>
      </c>
      <c r="E45" s="47">
        <v>35206</v>
      </c>
      <c r="F45" s="46" t="s">
        <v>2604</v>
      </c>
      <c r="G45" s="46">
        <v>23743</v>
      </c>
      <c r="H45" s="46" t="s">
        <v>2614</v>
      </c>
      <c r="I45" s="46" t="s">
        <v>2617</v>
      </c>
      <c r="J45" s="46" t="s">
        <v>2660</v>
      </c>
      <c r="K45" s="46" t="s">
        <v>3304</v>
      </c>
      <c r="L45" s="46">
        <v>29</v>
      </c>
    </row>
    <row r="46" spans="1:12" x14ac:dyDescent="0.3">
      <c r="A46" s="46" t="s">
        <v>55</v>
      </c>
      <c r="B46" s="46">
        <f>LEN(Table2[[#This Row],[Employee ID]])</f>
        <v>7</v>
      </c>
      <c r="C46" s="46" t="s">
        <v>1352</v>
      </c>
      <c r="D46" s="47">
        <v>27760</v>
      </c>
      <c r="E46" s="47">
        <v>37335</v>
      </c>
      <c r="F46" s="46" t="s">
        <v>2600</v>
      </c>
      <c r="G46" s="46">
        <v>100175</v>
      </c>
      <c r="H46" s="46" t="s">
        <v>2606</v>
      </c>
      <c r="I46" s="46" t="s">
        <v>2617</v>
      </c>
      <c r="J46" s="46" t="s">
        <v>2661</v>
      </c>
      <c r="K46" s="46" t="s">
        <v>3308</v>
      </c>
      <c r="L46" s="46">
        <v>23</v>
      </c>
    </row>
    <row r="47" spans="1:12" x14ac:dyDescent="0.3">
      <c r="A47" s="46" t="s">
        <v>56</v>
      </c>
      <c r="B47" s="46">
        <f>LEN(Table2[[#This Row],[Employee ID]])</f>
        <v>7</v>
      </c>
      <c r="C47" s="46" t="s">
        <v>1353</v>
      </c>
      <c r="D47" s="47">
        <v>34954</v>
      </c>
      <c r="E47" s="47">
        <v>28591</v>
      </c>
      <c r="F47" s="46" t="s">
        <v>2601</v>
      </c>
      <c r="G47" s="46">
        <v>183318</v>
      </c>
      <c r="H47" s="46" t="s">
        <v>2608</v>
      </c>
      <c r="I47" s="46" t="s">
        <v>2617</v>
      </c>
      <c r="J47" s="46" t="s">
        <v>2662</v>
      </c>
      <c r="K47" s="46" t="s">
        <v>3308</v>
      </c>
      <c r="L47" s="46">
        <v>47</v>
      </c>
    </row>
    <row r="48" spans="1:12" x14ac:dyDescent="0.3">
      <c r="A48" s="46" t="s">
        <v>57</v>
      </c>
      <c r="B48" s="46">
        <f>LEN(Table2[[#This Row],[Employee ID]])</f>
        <v>7</v>
      </c>
      <c r="C48" s="46" t="s">
        <v>1354</v>
      </c>
      <c r="D48" s="47">
        <v>37157</v>
      </c>
      <c r="E48" s="47">
        <v>26716</v>
      </c>
      <c r="F48" s="46" t="s">
        <v>2601</v>
      </c>
      <c r="G48" s="46">
        <v>166030</v>
      </c>
      <c r="H48" s="46" t="s">
        <v>2607</v>
      </c>
      <c r="I48" s="46" t="s">
        <v>2616</v>
      </c>
      <c r="J48" s="46" t="s">
        <v>2628</v>
      </c>
      <c r="K48" s="46" t="s">
        <v>3305</v>
      </c>
      <c r="L48" s="46">
        <v>52</v>
      </c>
    </row>
    <row r="49" spans="1:12" x14ac:dyDescent="0.3">
      <c r="A49" s="46" t="s">
        <v>58</v>
      </c>
      <c r="B49" s="46">
        <f>LEN(Table2[[#This Row],[Employee ID]])</f>
        <v>7</v>
      </c>
      <c r="C49" s="46" t="s">
        <v>1355</v>
      </c>
      <c r="D49" s="47">
        <v>31839</v>
      </c>
      <c r="E49" s="47">
        <v>28251</v>
      </c>
      <c r="F49" s="46" t="s">
        <v>2604</v>
      </c>
      <c r="G49" s="46">
        <v>135963</v>
      </c>
      <c r="H49" s="46" t="s">
        <v>2609</v>
      </c>
      <c r="I49" s="46" t="s">
        <v>2616</v>
      </c>
      <c r="J49" s="46" t="s">
        <v>2631</v>
      </c>
      <c r="K49" s="46" t="s">
        <v>3308</v>
      </c>
      <c r="L49" s="46">
        <v>48</v>
      </c>
    </row>
    <row r="50" spans="1:12" x14ac:dyDescent="0.3">
      <c r="A50" s="46" t="s">
        <v>59</v>
      </c>
      <c r="B50" s="46">
        <f>LEN(Table2[[#This Row],[Employee ID]])</f>
        <v>7</v>
      </c>
      <c r="C50" s="46" t="s">
        <v>1356</v>
      </c>
      <c r="D50" s="47">
        <v>29196</v>
      </c>
      <c r="E50" s="47">
        <v>38451</v>
      </c>
      <c r="F50" s="46" t="s">
        <v>2601</v>
      </c>
      <c r="G50" s="46">
        <v>52083</v>
      </c>
      <c r="H50" s="46" t="s">
        <v>2608</v>
      </c>
      <c r="I50" s="46" t="s">
        <v>2616</v>
      </c>
      <c r="J50" s="46" t="s">
        <v>2663</v>
      </c>
      <c r="K50" s="46" t="s">
        <v>3307</v>
      </c>
      <c r="L50" s="46">
        <v>20</v>
      </c>
    </row>
    <row r="51" spans="1:12" x14ac:dyDescent="0.3">
      <c r="A51" s="46" t="s">
        <v>60</v>
      </c>
      <c r="B51" s="46">
        <f>LEN(Table2[[#This Row],[Employee ID]])</f>
        <v>7</v>
      </c>
      <c r="C51" s="46" t="s">
        <v>1357</v>
      </c>
      <c r="D51" s="47">
        <v>35622</v>
      </c>
      <c r="E51" s="47">
        <v>39890</v>
      </c>
      <c r="F51" s="46" t="s">
        <v>2603</v>
      </c>
      <c r="G51" s="46">
        <v>130654</v>
      </c>
      <c r="H51" s="46" t="s">
        <v>2611</v>
      </c>
      <c r="I51" s="46" t="s">
        <v>2616</v>
      </c>
      <c r="J51" s="46" t="s">
        <v>2618</v>
      </c>
      <c r="K51" s="46" t="s">
        <v>3304</v>
      </c>
      <c r="L51" s="46">
        <v>16</v>
      </c>
    </row>
    <row r="52" spans="1:12" x14ac:dyDescent="0.3">
      <c r="A52" s="46" t="s">
        <v>61</v>
      </c>
      <c r="B52" s="46">
        <f>LEN(Table2[[#This Row],[Employee ID]])</f>
        <v>7</v>
      </c>
      <c r="C52" s="46" t="s">
        <v>1358</v>
      </c>
      <c r="D52" s="47">
        <v>31879</v>
      </c>
      <c r="E52" s="47">
        <v>39688</v>
      </c>
      <c r="F52" s="46" t="s">
        <v>2603</v>
      </c>
      <c r="G52" s="46">
        <v>193262</v>
      </c>
      <c r="H52" s="46" t="s">
        <v>2613</v>
      </c>
      <c r="I52" s="46" t="s">
        <v>2616</v>
      </c>
      <c r="J52" s="46" t="s">
        <v>2664</v>
      </c>
      <c r="K52" s="46" t="s">
        <v>3310</v>
      </c>
      <c r="L52" s="46">
        <v>17</v>
      </c>
    </row>
    <row r="53" spans="1:12" x14ac:dyDescent="0.3">
      <c r="A53" s="46" t="s">
        <v>62</v>
      </c>
      <c r="B53" s="46">
        <f>LEN(Table2[[#This Row],[Employee ID]])</f>
        <v>7</v>
      </c>
      <c r="C53" s="46" t="s">
        <v>1359</v>
      </c>
      <c r="D53" s="47">
        <v>30618</v>
      </c>
      <c r="E53" s="47">
        <v>44194</v>
      </c>
      <c r="F53" s="46" t="s">
        <v>2599</v>
      </c>
      <c r="G53" s="46">
        <v>136837</v>
      </c>
      <c r="H53" s="46" t="s">
        <v>2613</v>
      </c>
      <c r="I53" s="46" t="s">
        <v>2616</v>
      </c>
      <c r="J53" s="46" t="s">
        <v>2665</v>
      </c>
      <c r="K53" s="46" t="s">
        <v>3306</v>
      </c>
      <c r="L53" s="46">
        <v>5</v>
      </c>
    </row>
    <row r="54" spans="1:12" x14ac:dyDescent="0.3">
      <c r="A54" s="46" t="s">
        <v>63</v>
      </c>
      <c r="B54" s="46">
        <f>LEN(Table2[[#This Row],[Employee ID]])</f>
        <v>7</v>
      </c>
      <c r="C54" s="46" t="s">
        <v>1360</v>
      </c>
      <c r="D54" s="47">
        <v>27577</v>
      </c>
      <c r="E54" s="47">
        <v>29437</v>
      </c>
      <c r="F54" s="46" t="s">
        <v>2604</v>
      </c>
      <c r="G54" s="46">
        <v>130986</v>
      </c>
      <c r="H54" s="46" t="s">
        <v>2612</v>
      </c>
      <c r="I54" s="46" t="s">
        <v>2616</v>
      </c>
      <c r="J54" s="46" t="s">
        <v>2666</v>
      </c>
      <c r="K54" s="46" t="s">
        <v>3310</v>
      </c>
      <c r="L54" s="46">
        <v>45</v>
      </c>
    </row>
    <row r="55" spans="1:12" x14ac:dyDescent="0.3">
      <c r="A55" s="46" t="s">
        <v>64</v>
      </c>
      <c r="B55" s="46">
        <f>LEN(Table2[[#This Row],[Employee ID]])</f>
        <v>7</v>
      </c>
      <c r="C55" s="46" t="s">
        <v>1361</v>
      </c>
      <c r="D55" s="47">
        <v>35554</v>
      </c>
      <c r="E55" s="47">
        <v>33269</v>
      </c>
      <c r="F55" s="46" t="s">
        <v>2601</v>
      </c>
      <c r="G55" s="46">
        <v>79945</v>
      </c>
      <c r="H55" s="46" t="s">
        <v>2615</v>
      </c>
      <c r="I55" s="46" t="s">
        <v>2616</v>
      </c>
      <c r="J55" s="46" t="s">
        <v>2667</v>
      </c>
      <c r="K55" s="46" t="s">
        <v>3310</v>
      </c>
      <c r="L55" s="46">
        <v>34</v>
      </c>
    </row>
    <row r="56" spans="1:12" x14ac:dyDescent="0.3">
      <c r="A56" s="46" t="s">
        <v>65</v>
      </c>
      <c r="B56" s="46">
        <f>LEN(Table2[[#This Row],[Employee ID]])</f>
        <v>7</v>
      </c>
      <c r="C56" s="46" t="s">
        <v>1362</v>
      </c>
      <c r="D56" s="47">
        <v>30303</v>
      </c>
      <c r="E56" s="47">
        <v>39083</v>
      </c>
      <c r="F56" s="46" t="s">
        <v>2605</v>
      </c>
      <c r="G56" s="46">
        <v>62949</v>
      </c>
      <c r="H56" s="46" t="s">
        <v>2611</v>
      </c>
      <c r="I56" s="46" t="s">
        <v>2617</v>
      </c>
      <c r="J56" s="46" t="s">
        <v>2668</v>
      </c>
      <c r="K56" s="46" t="s">
        <v>3308</v>
      </c>
      <c r="L56" s="46">
        <v>18</v>
      </c>
    </row>
    <row r="57" spans="1:12" x14ac:dyDescent="0.3">
      <c r="A57" s="46" t="s">
        <v>66</v>
      </c>
      <c r="B57" s="46">
        <f>LEN(Table2[[#This Row],[Employee ID]])</f>
        <v>7</v>
      </c>
      <c r="C57" s="46" t="s">
        <v>1363</v>
      </c>
      <c r="D57" s="47">
        <v>28264</v>
      </c>
      <c r="E57" s="47">
        <v>29140</v>
      </c>
      <c r="F57" s="46" t="s">
        <v>2603</v>
      </c>
      <c r="G57" s="46">
        <v>48367</v>
      </c>
      <c r="H57" s="46" t="s">
        <v>2608</v>
      </c>
      <c r="I57" s="46" t="s">
        <v>2616</v>
      </c>
      <c r="J57" s="46" t="s">
        <v>2669</v>
      </c>
      <c r="K57" s="46" t="s">
        <v>3304</v>
      </c>
      <c r="L57" s="46">
        <v>46</v>
      </c>
    </row>
    <row r="58" spans="1:12" x14ac:dyDescent="0.3">
      <c r="A58" s="46" t="s">
        <v>67</v>
      </c>
      <c r="B58" s="46">
        <f>LEN(Table2[[#This Row],[Employee ID]])</f>
        <v>7</v>
      </c>
      <c r="C58" s="46" t="s">
        <v>1364</v>
      </c>
      <c r="D58" s="47">
        <v>28990</v>
      </c>
      <c r="E58" s="47">
        <v>36963</v>
      </c>
      <c r="F58" s="46" t="s">
        <v>2603</v>
      </c>
      <c r="G58" s="46">
        <v>131505</v>
      </c>
      <c r="H58" s="46" t="s">
        <v>2608</v>
      </c>
      <c r="I58" s="46" t="s">
        <v>2616</v>
      </c>
      <c r="J58" s="46" t="s">
        <v>2670</v>
      </c>
      <c r="K58" s="46" t="s">
        <v>3307</v>
      </c>
      <c r="L58" s="46">
        <v>24</v>
      </c>
    </row>
    <row r="59" spans="1:12" x14ac:dyDescent="0.3">
      <c r="A59" s="46" t="s">
        <v>68</v>
      </c>
      <c r="B59" s="46">
        <f>LEN(Table2[[#This Row],[Employee ID]])</f>
        <v>7</v>
      </c>
      <c r="C59" s="46" t="s">
        <v>1365</v>
      </c>
      <c r="D59" s="47">
        <v>32120</v>
      </c>
      <c r="E59" s="47">
        <v>38577</v>
      </c>
      <c r="F59" s="46" t="s">
        <v>2601</v>
      </c>
      <c r="G59" s="46">
        <v>167788</v>
      </c>
      <c r="H59" s="46" t="s">
        <v>2615</v>
      </c>
      <c r="I59" s="46" t="s">
        <v>2617</v>
      </c>
      <c r="J59" s="46" t="s">
        <v>2671</v>
      </c>
      <c r="K59" s="46" t="s">
        <v>3310</v>
      </c>
      <c r="L59" s="46">
        <v>20</v>
      </c>
    </row>
    <row r="60" spans="1:12" x14ac:dyDescent="0.3">
      <c r="A60" s="46" t="s">
        <v>69</v>
      </c>
      <c r="B60" s="46">
        <f>LEN(Table2[[#This Row],[Employee ID]])</f>
        <v>7</v>
      </c>
      <c r="C60" s="46" t="s">
        <v>1366</v>
      </c>
      <c r="D60" s="47">
        <v>36614</v>
      </c>
      <c r="E60" s="47">
        <v>41656</v>
      </c>
      <c r="F60" s="46" t="s">
        <v>2604</v>
      </c>
      <c r="G60" s="46">
        <v>89467</v>
      </c>
      <c r="H60" s="46" t="s">
        <v>2612</v>
      </c>
      <c r="I60" s="46" t="s">
        <v>2616</v>
      </c>
      <c r="J60" s="46" t="s">
        <v>2672</v>
      </c>
      <c r="K60" s="46" t="s">
        <v>3309</v>
      </c>
      <c r="L60" s="46">
        <v>11</v>
      </c>
    </row>
    <row r="61" spans="1:12" x14ac:dyDescent="0.3">
      <c r="A61" s="46" t="s">
        <v>70</v>
      </c>
      <c r="B61" s="46">
        <f>LEN(Table2[[#This Row],[Employee ID]])</f>
        <v>7</v>
      </c>
      <c r="C61" s="46" t="s">
        <v>1367</v>
      </c>
      <c r="D61" s="47">
        <v>32792</v>
      </c>
      <c r="E61" s="47">
        <v>26646</v>
      </c>
      <c r="F61" s="46" t="s">
        <v>2603</v>
      </c>
      <c r="G61" s="46">
        <v>43750</v>
      </c>
      <c r="H61" s="46" t="s">
        <v>2611</v>
      </c>
      <c r="I61" s="46" t="s">
        <v>2616</v>
      </c>
      <c r="J61" s="46" t="s">
        <v>2673</v>
      </c>
      <c r="K61" s="46" t="s">
        <v>3310</v>
      </c>
      <c r="L61" s="46">
        <v>53</v>
      </c>
    </row>
    <row r="62" spans="1:12" x14ac:dyDescent="0.3">
      <c r="A62" s="46" t="s">
        <v>71</v>
      </c>
      <c r="B62" s="46">
        <f>LEN(Table2[[#This Row],[Employee ID]])</f>
        <v>7</v>
      </c>
      <c r="C62" s="46" t="s">
        <v>1368</v>
      </c>
      <c r="D62" s="47">
        <v>29139</v>
      </c>
      <c r="E62" s="47">
        <v>32396</v>
      </c>
      <c r="F62" s="46" t="s">
        <v>2600</v>
      </c>
      <c r="G62" s="46">
        <v>166605</v>
      </c>
      <c r="H62" s="46" t="s">
        <v>2608</v>
      </c>
      <c r="I62" s="46" t="s">
        <v>2617</v>
      </c>
      <c r="J62" s="46" t="s">
        <v>2674</v>
      </c>
      <c r="K62" s="46" t="s">
        <v>3308</v>
      </c>
      <c r="L62" s="46">
        <v>37</v>
      </c>
    </row>
    <row r="63" spans="1:12" x14ac:dyDescent="0.3">
      <c r="A63" s="46" t="s">
        <v>72</v>
      </c>
      <c r="B63" s="46">
        <f>LEN(Table2[[#This Row],[Employee ID]])</f>
        <v>7</v>
      </c>
      <c r="C63" s="46" t="s">
        <v>1369</v>
      </c>
      <c r="D63" s="47">
        <v>36958</v>
      </c>
      <c r="E63" s="47">
        <v>35568</v>
      </c>
      <c r="F63" s="46" t="s">
        <v>2599</v>
      </c>
      <c r="G63" s="46">
        <v>164369</v>
      </c>
      <c r="H63" s="46" t="s">
        <v>2612</v>
      </c>
      <c r="I63" s="46" t="s">
        <v>2617</v>
      </c>
      <c r="J63" s="46" t="s">
        <v>2675</v>
      </c>
      <c r="K63" s="46" t="s">
        <v>3307</v>
      </c>
      <c r="L63" s="46">
        <v>28</v>
      </c>
    </row>
    <row r="64" spans="1:12" x14ac:dyDescent="0.3">
      <c r="A64" s="46" t="s">
        <v>73</v>
      </c>
      <c r="B64" s="46">
        <f>LEN(Table2[[#This Row],[Employee ID]])</f>
        <v>7</v>
      </c>
      <c r="C64" s="46" t="s">
        <v>1370</v>
      </c>
      <c r="D64" s="47">
        <v>25766</v>
      </c>
      <c r="E64" s="47">
        <v>28072</v>
      </c>
      <c r="F64" s="46" t="s">
        <v>2602</v>
      </c>
      <c r="G64" s="46">
        <v>52472</v>
      </c>
      <c r="H64" s="46" t="s">
        <v>2606</v>
      </c>
      <c r="I64" s="46" t="s">
        <v>2616</v>
      </c>
      <c r="J64" s="46" t="s">
        <v>2676</v>
      </c>
      <c r="K64" s="46" t="s">
        <v>3308</v>
      </c>
      <c r="L64" s="46">
        <v>49</v>
      </c>
    </row>
    <row r="65" spans="1:12" x14ac:dyDescent="0.3">
      <c r="A65" s="46" t="s">
        <v>74</v>
      </c>
      <c r="B65" s="46">
        <f>LEN(Table2[[#This Row],[Employee ID]])</f>
        <v>7</v>
      </c>
      <c r="C65" s="46" t="s">
        <v>1371</v>
      </c>
      <c r="D65" s="47">
        <v>26712</v>
      </c>
      <c r="E65" s="47">
        <v>26979</v>
      </c>
      <c r="F65" s="46" t="s">
        <v>2599</v>
      </c>
      <c r="G65" s="46">
        <v>155912</v>
      </c>
      <c r="H65" s="46" t="s">
        <v>2609</v>
      </c>
      <c r="I65" s="46" t="s">
        <v>2616</v>
      </c>
      <c r="J65" s="46" t="s">
        <v>2638</v>
      </c>
      <c r="K65" s="46" t="s">
        <v>3310</v>
      </c>
      <c r="L65" s="46">
        <v>52</v>
      </c>
    </row>
    <row r="66" spans="1:12" x14ac:dyDescent="0.3">
      <c r="A66" s="46" t="s">
        <v>75</v>
      </c>
      <c r="B66" s="46">
        <f>LEN(Table2[[#This Row],[Employee ID]])</f>
        <v>7</v>
      </c>
      <c r="C66" s="46" t="s">
        <v>1372</v>
      </c>
      <c r="D66" s="47">
        <v>35498</v>
      </c>
      <c r="E66" s="47">
        <v>39487</v>
      </c>
      <c r="F66" s="46" t="s">
        <v>2602</v>
      </c>
      <c r="G66" s="46">
        <v>55083</v>
      </c>
      <c r="H66" s="46" t="s">
        <v>2612</v>
      </c>
      <c r="I66" s="46" t="s">
        <v>2617</v>
      </c>
      <c r="J66" s="46" t="s">
        <v>2677</v>
      </c>
      <c r="K66" s="46" t="s">
        <v>3308</v>
      </c>
      <c r="L66" s="46">
        <v>17</v>
      </c>
    </row>
    <row r="67" spans="1:12" x14ac:dyDescent="0.3">
      <c r="A67" s="46" t="s">
        <v>76</v>
      </c>
      <c r="B67" s="46">
        <f>LEN(Table2[[#This Row],[Employee ID]])</f>
        <v>7</v>
      </c>
      <c r="C67" s="46" t="s">
        <v>1373</v>
      </c>
      <c r="D67" s="47">
        <v>30343</v>
      </c>
      <c r="E67" s="47">
        <v>26503</v>
      </c>
      <c r="F67" s="46" t="s">
        <v>2602</v>
      </c>
      <c r="G67" s="46">
        <v>33451</v>
      </c>
      <c r="H67" s="46" t="s">
        <v>2614</v>
      </c>
      <c r="I67" s="46" t="s">
        <v>2616</v>
      </c>
      <c r="J67" s="46" t="s">
        <v>2651</v>
      </c>
      <c r="K67" s="46" t="s">
        <v>3304</v>
      </c>
      <c r="L67" s="46">
        <v>53</v>
      </c>
    </row>
    <row r="68" spans="1:12" x14ac:dyDescent="0.3">
      <c r="A68" s="46" t="s">
        <v>77</v>
      </c>
      <c r="B68" s="46">
        <f>LEN(Table2[[#This Row],[Employee ID]])</f>
        <v>7</v>
      </c>
      <c r="C68" s="46" t="s">
        <v>1374</v>
      </c>
      <c r="D68" s="47">
        <v>31787</v>
      </c>
      <c r="E68" s="47">
        <v>36820</v>
      </c>
      <c r="F68" s="46" t="s">
        <v>2605</v>
      </c>
      <c r="G68" s="46">
        <v>150654</v>
      </c>
      <c r="H68" s="46" t="s">
        <v>2614</v>
      </c>
      <c r="I68" s="46" t="s">
        <v>2617</v>
      </c>
      <c r="J68" s="46" t="s">
        <v>2678</v>
      </c>
      <c r="K68" s="46" t="s">
        <v>3305</v>
      </c>
      <c r="L68" s="46">
        <v>25</v>
      </c>
    </row>
    <row r="69" spans="1:12" x14ac:dyDescent="0.3">
      <c r="A69" s="46" t="s">
        <v>78</v>
      </c>
      <c r="B69" s="46">
        <f>LEN(Table2[[#This Row],[Employee ID]])</f>
        <v>7</v>
      </c>
      <c r="C69" s="46" t="s">
        <v>1375</v>
      </c>
      <c r="D69" s="47">
        <v>27843</v>
      </c>
      <c r="E69" s="47">
        <v>30936</v>
      </c>
      <c r="F69" s="46" t="s">
        <v>2603</v>
      </c>
      <c r="G69" s="46">
        <v>71862</v>
      </c>
      <c r="H69" s="46" t="s">
        <v>2615</v>
      </c>
      <c r="I69" s="46" t="s">
        <v>2616</v>
      </c>
      <c r="J69" s="46" t="s">
        <v>2679</v>
      </c>
      <c r="K69" s="46" t="s">
        <v>3304</v>
      </c>
      <c r="L69" s="46">
        <v>41</v>
      </c>
    </row>
    <row r="70" spans="1:12" x14ac:dyDescent="0.3">
      <c r="A70" s="46" t="s">
        <v>79</v>
      </c>
      <c r="B70" s="46">
        <f>LEN(Table2[[#This Row],[Employee ID]])</f>
        <v>7</v>
      </c>
      <c r="C70" s="46" t="s">
        <v>1376</v>
      </c>
      <c r="D70" s="47">
        <v>30759</v>
      </c>
      <c r="E70" s="47">
        <v>30364</v>
      </c>
      <c r="F70" s="46" t="s">
        <v>2601</v>
      </c>
      <c r="G70" s="46">
        <v>136427</v>
      </c>
      <c r="H70" s="46" t="s">
        <v>2615</v>
      </c>
      <c r="I70" s="46" t="s">
        <v>2616</v>
      </c>
      <c r="J70" s="46" t="s">
        <v>2680</v>
      </c>
      <c r="K70" s="46" t="s">
        <v>3309</v>
      </c>
      <c r="L70" s="46">
        <v>42</v>
      </c>
    </row>
    <row r="71" spans="1:12" x14ac:dyDescent="0.3">
      <c r="A71" s="46" t="s">
        <v>80</v>
      </c>
      <c r="B71" s="46">
        <f>LEN(Table2[[#This Row],[Employee ID]])</f>
        <v>7</v>
      </c>
      <c r="C71" s="46" t="s">
        <v>1377</v>
      </c>
      <c r="D71" s="47">
        <v>27512</v>
      </c>
      <c r="E71" s="47">
        <v>30385</v>
      </c>
      <c r="F71" s="46" t="s">
        <v>2603</v>
      </c>
      <c r="G71" s="46">
        <v>121979</v>
      </c>
      <c r="H71" s="46" t="s">
        <v>2609</v>
      </c>
      <c r="I71" s="46" t="s">
        <v>2617</v>
      </c>
      <c r="J71" s="46" t="s">
        <v>2681</v>
      </c>
      <c r="K71" s="46" t="s">
        <v>3305</v>
      </c>
      <c r="L71" s="46">
        <v>42</v>
      </c>
    </row>
    <row r="72" spans="1:12" x14ac:dyDescent="0.3">
      <c r="A72" s="46" t="s">
        <v>81</v>
      </c>
      <c r="B72" s="46">
        <f>LEN(Table2[[#This Row],[Employee ID]])</f>
        <v>7</v>
      </c>
      <c r="C72" s="46" t="s">
        <v>1378</v>
      </c>
      <c r="D72" s="47">
        <v>36676</v>
      </c>
      <c r="E72" s="47">
        <v>38476</v>
      </c>
      <c r="F72" s="46" t="s">
        <v>2605</v>
      </c>
      <c r="G72" s="46">
        <v>72905</v>
      </c>
      <c r="H72" s="46" t="s">
        <v>2613</v>
      </c>
      <c r="I72" s="46" t="s">
        <v>2617</v>
      </c>
      <c r="J72" s="46" t="s">
        <v>2682</v>
      </c>
      <c r="K72" s="46" t="s">
        <v>3304</v>
      </c>
      <c r="L72" s="46">
        <v>20</v>
      </c>
    </row>
    <row r="73" spans="1:12" x14ac:dyDescent="0.3">
      <c r="A73" s="46" t="s">
        <v>82</v>
      </c>
      <c r="B73" s="46">
        <f>LEN(Table2[[#This Row],[Employee ID]])</f>
        <v>7</v>
      </c>
      <c r="C73" s="46" t="s">
        <v>1379</v>
      </c>
      <c r="D73" s="47">
        <v>37151</v>
      </c>
      <c r="E73" s="47">
        <v>43514</v>
      </c>
      <c r="F73" s="46" t="s">
        <v>2602</v>
      </c>
      <c r="G73" s="46">
        <v>59956</v>
      </c>
      <c r="H73" s="46" t="s">
        <v>2610</v>
      </c>
      <c r="I73" s="46" t="s">
        <v>2616</v>
      </c>
      <c r="J73" s="46" t="s">
        <v>2683</v>
      </c>
      <c r="K73" s="46" t="s">
        <v>3304</v>
      </c>
      <c r="L73" s="46">
        <v>6</v>
      </c>
    </row>
    <row r="74" spans="1:12" x14ac:dyDescent="0.3">
      <c r="A74" s="46" t="s">
        <v>83</v>
      </c>
      <c r="B74" s="46">
        <f>LEN(Table2[[#This Row],[Employee ID]])</f>
        <v>7</v>
      </c>
      <c r="C74" s="46" t="s">
        <v>1380</v>
      </c>
      <c r="D74" s="47">
        <v>35634</v>
      </c>
      <c r="E74" s="47">
        <v>39720</v>
      </c>
      <c r="F74" s="46" t="s">
        <v>2604</v>
      </c>
      <c r="G74" s="46">
        <v>32080</v>
      </c>
      <c r="H74" s="46" t="s">
        <v>2606</v>
      </c>
      <c r="I74" s="46" t="s">
        <v>2616</v>
      </c>
      <c r="J74" s="46" t="s">
        <v>2654</v>
      </c>
      <c r="K74" s="46" t="s">
        <v>3305</v>
      </c>
      <c r="L74" s="46">
        <v>17</v>
      </c>
    </row>
    <row r="75" spans="1:12" x14ac:dyDescent="0.3">
      <c r="A75" s="46" t="s">
        <v>84</v>
      </c>
      <c r="B75" s="46">
        <f>LEN(Table2[[#This Row],[Employee ID]])</f>
        <v>7</v>
      </c>
      <c r="C75" s="46" t="s">
        <v>1381</v>
      </c>
      <c r="D75" s="47">
        <v>37159</v>
      </c>
      <c r="E75" s="47">
        <v>32437</v>
      </c>
      <c r="F75" s="46" t="s">
        <v>2601</v>
      </c>
      <c r="G75" s="46">
        <v>131471</v>
      </c>
      <c r="H75" s="46" t="s">
        <v>2615</v>
      </c>
      <c r="I75" s="46" t="s">
        <v>2617</v>
      </c>
      <c r="J75" s="46" t="s">
        <v>2684</v>
      </c>
      <c r="K75" s="46" t="s">
        <v>3306</v>
      </c>
      <c r="L75" s="46">
        <v>37</v>
      </c>
    </row>
    <row r="76" spans="1:12" x14ac:dyDescent="0.3">
      <c r="A76" s="46" t="s">
        <v>85</v>
      </c>
      <c r="B76" s="46">
        <f>LEN(Table2[[#This Row],[Employee ID]])</f>
        <v>7</v>
      </c>
      <c r="C76" s="46" t="s">
        <v>1382</v>
      </c>
      <c r="D76" s="47">
        <v>28670</v>
      </c>
      <c r="E76" s="47">
        <v>33723</v>
      </c>
      <c r="F76" s="46" t="s">
        <v>2602</v>
      </c>
      <c r="G76" s="46">
        <v>168741</v>
      </c>
      <c r="H76" s="46" t="s">
        <v>2615</v>
      </c>
      <c r="I76" s="46" t="s">
        <v>2616</v>
      </c>
      <c r="J76" s="46" t="s">
        <v>2685</v>
      </c>
      <c r="K76" s="46" t="s">
        <v>3308</v>
      </c>
      <c r="L76" s="46">
        <v>33</v>
      </c>
    </row>
    <row r="77" spans="1:12" x14ac:dyDescent="0.3">
      <c r="A77" s="46" t="s">
        <v>86</v>
      </c>
      <c r="B77" s="46">
        <f>LEN(Table2[[#This Row],[Employee ID]])</f>
        <v>7</v>
      </c>
      <c r="C77" s="46" t="s">
        <v>1383</v>
      </c>
      <c r="D77" s="47">
        <v>30121</v>
      </c>
      <c r="E77" s="47">
        <v>44747</v>
      </c>
      <c r="F77" s="46" t="s">
        <v>2603</v>
      </c>
      <c r="G77" s="46">
        <v>147618</v>
      </c>
      <c r="H77" s="46" t="s">
        <v>2607</v>
      </c>
      <c r="I77" s="46" t="s">
        <v>2617</v>
      </c>
      <c r="J77" s="46" t="s">
        <v>2686</v>
      </c>
      <c r="K77" s="46" t="s">
        <v>3306</v>
      </c>
      <c r="L77" s="46">
        <v>3</v>
      </c>
    </row>
    <row r="78" spans="1:12" x14ac:dyDescent="0.3">
      <c r="A78" s="46" t="s">
        <v>87</v>
      </c>
      <c r="B78" s="46">
        <f>LEN(Table2[[#This Row],[Employee ID]])</f>
        <v>7</v>
      </c>
      <c r="C78" s="46" t="s">
        <v>1384</v>
      </c>
      <c r="D78" s="47">
        <v>21999</v>
      </c>
      <c r="E78" s="47">
        <v>41368</v>
      </c>
      <c r="F78" s="46" t="s">
        <v>2604</v>
      </c>
      <c r="G78" s="46">
        <v>78345</v>
      </c>
      <c r="H78" s="46" t="s">
        <v>2608</v>
      </c>
      <c r="I78" s="46" t="s">
        <v>2617</v>
      </c>
      <c r="J78" s="46" t="s">
        <v>2687</v>
      </c>
      <c r="K78" s="46" t="s">
        <v>3304</v>
      </c>
      <c r="L78" s="46">
        <v>12</v>
      </c>
    </row>
    <row r="79" spans="1:12" x14ac:dyDescent="0.3">
      <c r="A79" s="46" t="s">
        <v>88</v>
      </c>
      <c r="B79" s="46">
        <f>LEN(Table2[[#This Row],[Employee ID]])</f>
        <v>7</v>
      </c>
      <c r="C79" s="46" t="s">
        <v>1385</v>
      </c>
      <c r="D79" s="47">
        <v>37479</v>
      </c>
      <c r="E79" s="47">
        <v>27958</v>
      </c>
      <c r="F79" s="46" t="s">
        <v>2599</v>
      </c>
      <c r="G79" s="46">
        <v>89820</v>
      </c>
      <c r="H79" s="46" t="s">
        <v>2607</v>
      </c>
      <c r="I79" s="46" t="s">
        <v>2617</v>
      </c>
      <c r="J79" s="46" t="s">
        <v>2688</v>
      </c>
      <c r="K79" s="46" t="s">
        <v>3304</v>
      </c>
      <c r="L79" s="46">
        <v>49</v>
      </c>
    </row>
    <row r="80" spans="1:12" x14ac:dyDescent="0.3">
      <c r="A80" s="46" t="s">
        <v>89</v>
      </c>
      <c r="B80" s="46">
        <f>LEN(Table2[[#This Row],[Employee ID]])</f>
        <v>7</v>
      </c>
      <c r="C80" s="46" t="s">
        <v>1386</v>
      </c>
      <c r="D80" s="47">
        <v>36835</v>
      </c>
      <c r="E80" s="47">
        <v>34830</v>
      </c>
      <c r="F80" s="46" t="s">
        <v>2600</v>
      </c>
      <c r="G80" s="46">
        <v>65839</v>
      </c>
      <c r="H80" s="46" t="s">
        <v>2614</v>
      </c>
      <c r="I80" s="46" t="s">
        <v>2616</v>
      </c>
      <c r="J80" s="46" t="s">
        <v>2689</v>
      </c>
      <c r="K80" s="46" t="s">
        <v>3308</v>
      </c>
      <c r="L80" s="46">
        <v>30</v>
      </c>
    </row>
    <row r="81" spans="1:12" x14ac:dyDescent="0.3">
      <c r="A81" s="46" t="s">
        <v>90</v>
      </c>
      <c r="B81" s="46">
        <f>LEN(Table2[[#This Row],[Employee ID]])</f>
        <v>7</v>
      </c>
      <c r="C81" s="46" t="s">
        <v>1387</v>
      </c>
      <c r="D81" s="47">
        <v>26429</v>
      </c>
      <c r="E81" s="47">
        <v>37514</v>
      </c>
      <c r="F81" s="46" t="s">
        <v>2605</v>
      </c>
      <c r="G81" s="46">
        <v>111018</v>
      </c>
      <c r="H81" s="46" t="s">
        <v>2615</v>
      </c>
      <c r="I81" s="46" t="s">
        <v>2617</v>
      </c>
      <c r="J81" s="46" t="s">
        <v>2690</v>
      </c>
      <c r="K81" s="46" t="s">
        <v>3305</v>
      </c>
      <c r="L81" s="46">
        <v>23</v>
      </c>
    </row>
    <row r="82" spans="1:12" x14ac:dyDescent="0.3">
      <c r="A82" s="46" t="s">
        <v>91</v>
      </c>
      <c r="B82" s="46">
        <f>LEN(Table2[[#This Row],[Employee ID]])</f>
        <v>7</v>
      </c>
      <c r="C82" s="46" t="s">
        <v>1388</v>
      </c>
      <c r="D82" s="47">
        <v>30297</v>
      </c>
      <c r="E82" s="47">
        <v>35280</v>
      </c>
      <c r="F82" s="46" t="s">
        <v>2600</v>
      </c>
      <c r="G82" s="46">
        <v>192271</v>
      </c>
      <c r="H82" s="46" t="s">
        <v>2611</v>
      </c>
      <c r="I82" s="46" t="s">
        <v>2617</v>
      </c>
      <c r="J82" s="46" t="s">
        <v>2691</v>
      </c>
      <c r="K82" s="46" t="s">
        <v>3309</v>
      </c>
      <c r="L82" s="46">
        <v>29</v>
      </c>
    </row>
    <row r="83" spans="1:12" x14ac:dyDescent="0.3">
      <c r="A83" s="46" t="s">
        <v>92</v>
      </c>
      <c r="B83" s="46">
        <f>LEN(Table2[[#This Row],[Employee ID]])</f>
        <v>7</v>
      </c>
      <c r="C83" s="46" t="s">
        <v>1389</v>
      </c>
      <c r="D83" s="47">
        <v>31518</v>
      </c>
      <c r="E83" s="47">
        <v>28592</v>
      </c>
      <c r="F83" s="46" t="s">
        <v>2599</v>
      </c>
      <c r="G83" s="46">
        <v>124152</v>
      </c>
      <c r="H83" s="46" t="s">
        <v>2610</v>
      </c>
      <c r="I83" s="46" t="s">
        <v>2617</v>
      </c>
      <c r="J83" s="46" t="s">
        <v>2692</v>
      </c>
      <c r="K83" s="46" t="s">
        <v>3308</v>
      </c>
      <c r="L83" s="46">
        <v>47</v>
      </c>
    </row>
    <row r="84" spans="1:12" x14ac:dyDescent="0.3">
      <c r="A84" s="46" t="s">
        <v>93</v>
      </c>
      <c r="B84" s="46">
        <f>LEN(Table2[[#This Row],[Employee ID]])</f>
        <v>7</v>
      </c>
      <c r="C84" s="46" t="s">
        <v>1390</v>
      </c>
      <c r="D84" s="47">
        <v>25892</v>
      </c>
      <c r="E84" s="47">
        <v>40278</v>
      </c>
      <c r="F84" s="46" t="s">
        <v>2599</v>
      </c>
      <c r="G84" s="46">
        <v>140596</v>
      </c>
      <c r="H84" s="46" t="s">
        <v>2610</v>
      </c>
      <c r="I84" s="46" t="s">
        <v>2616</v>
      </c>
      <c r="J84" s="46" t="s">
        <v>2693</v>
      </c>
      <c r="K84" s="46" t="s">
        <v>3306</v>
      </c>
      <c r="L84" s="46">
        <v>15</v>
      </c>
    </row>
    <row r="85" spans="1:12" x14ac:dyDescent="0.3">
      <c r="A85" s="46" t="s">
        <v>94</v>
      </c>
      <c r="B85" s="46">
        <f>LEN(Table2[[#This Row],[Employee ID]])</f>
        <v>7</v>
      </c>
      <c r="C85" s="46" t="s">
        <v>1391</v>
      </c>
      <c r="D85" s="47">
        <v>33313</v>
      </c>
      <c r="E85" s="47">
        <v>31360</v>
      </c>
      <c r="F85" s="46" t="s">
        <v>2599</v>
      </c>
      <c r="G85" s="46">
        <v>75555</v>
      </c>
      <c r="H85" s="46" t="s">
        <v>2609</v>
      </c>
      <c r="I85" s="46" t="s">
        <v>2616</v>
      </c>
      <c r="J85" s="46" t="s">
        <v>2694</v>
      </c>
      <c r="K85" s="46" t="s">
        <v>3307</v>
      </c>
      <c r="L85" s="46">
        <v>40</v>
      </c>
    </row>
    <row r="86" spans="1:12" x14ac:dyDescent="0.3">
      <c r="A86" s="46" t="s">
        <v>95</v>
      </c>
      <c r="B86" s="46">
        <f>LEN(Table2[[#This Row],[Employee ID]])</f>
        <v>7</v>
      </c>
      <c r="C86" s="46" t="s">
        <v>1392</v>
      </c>
      <c r="D86" s="47">
        <v>36071</v>
      </c>
      <c r="E86" s="47">
        <v>33986</v>
      </c>
      <c r="F86" s="46" t="s">
        <v>2601</v>
      </c>
      <c r="G86" s="46">
        <v>197609</v>
      </c>
      <c r="H86" s="46" t="s">
        <v>2608</v>
      </c>
      <c r="I86" s="46" t="s">
        <v>2616</v>
      </c>
      <c r="J86" s="46" t="s">
        <v>2695</v>
      </c>
      <c r="K86" s="46" t="s">
        <v>3305</v>
      </c>
      <c r="L86" s="46">
        <v>32</v>
      </c>
    </row>
    <row r="87" spans="1:12" x14ac:dyDescent="0.3">
      <c r="A87" s="46" t="s">
        <v>96</v>
      </c>
      <c r="B87" s="46">
        <f>LEN(Table2[[#This Row],[Employee ID]])</f>
        <v>7</v>
      </c>
      <c r="C87" s="46" t="s">
        <v>1393</v>
      </c>
      <c r="D87" s="47">
        <v>26469</v>
      </c>
      <c r="E87" s="47">
        <v>42044</v>
      </c>
      <c r="F87" s="46" t="s">
        <v>2600</v>
      </c>
      <c r="G87" s="46">
        <v>67840</v>
      </c>
      <c r="H87" s="46" t="s">
        <v>2614</v>
      </c>
      <c r="I87" s="46" t="s">
        <v>2617</v>
      </c>
      <c r="J87" s="46" t="s">
        <v>2696</v>
      </c>
      <c r="K87" s="46" t="s">
        <v>3310</v>
      </c>
      <c r="L87" s="46">
        <v>10</v>
      </c>
    </row>
    <row r="88" spans="1:12" x14ac:dyDescent="0.3">
      <c r="A88" s="46" t="s">
        <v>97</v>
      </c>
      <c r="B88" s="46">
        <f>LEN(Table2[[#This Row],[Employee ID]])</f>
        <v>7</v>
      </c>
      <c r="C88" s="46" t="s">
        <v>1394</v>
      </c>
      <c r="D88" s="47">
        <v>35426</v>
      </c>
      <c r="E88" s="47">
        <v>28869</v>
      </c>
      <c r="F88" s="46" t="s">
        <v>2603</v>
      </c>
      <c r="G88" s="46">
        <v>139965</v>
      </c>
      <c r="H88" s="46" t="s">
        <v>2606</v>
      </c>
      <c r="I88" s="46" t="s">
        <v>2616</v>
      </c>
      <c r="J88" s="46" t="s">
        <v>2697</v>
      </c>
      <c r="K88" s="46" t="s">
        <v>3308</v>
      </c>
      <c r="L88" s="46">
        <v>46</v>
      </c>
    </row>
    <row r="89" spans="1:12" x14ac:dyDescent="0.3">
      <c r="A89" s="46" t="s">
        <v>98</v>
      </c>
      <c r="B89" s="46">
        <f>LEN(Table2[[#This Row],[Employee ID]])</f>
        <v>7</v>
      </c>
      <c r="C89" s="46" t="s">
        <v>1395</v>
      </c>
      <c r="D89" s="47">
        <v>34841</v>
      </c>
      <c r="E89" s="47">
        <v>26899</v>
      </c>
      <c r="F89" s="46" t="s">
        <v>2604</v>
      </c>
      <c r="G89" s="46">
        <v>63405</v>
      </c>
      <c r="H89" s="46" t="s">
        <v>2610</v>
      </c>
      <c r="I89" s="46" t="s">
        <v>2616</v>
      </c>
      <c r="J89" s="46" t="s">
        <v>2698</v>
      </c>
      <c r="K89" s="46" t="s">
        <v>3304</v>
      </c>
      <c r="L89" s="46">
        <v>52</v>
      </c>
    </row>
    <row r="90" spans="1:12" x14ac:dyDescent="0.3">
      <c r="A90" s="46" t="s">
        <v>99</v>
      </c>
      <c r="B90" s="46">
        <f>LEN(Table2[[#This Row],[Employee ID]])</f>
        <v>7</v>
      </c>
      <c r="C90" s="46" t="s">
        <v>1396</v>
      </c>
      <c r="D90" s="47">
        <v>22063</v>
      </c>
      <c r="E90" s="47">
        <v>39912</v>
      </c>
      <c r="F90" s="46" t="s">
        <v>2605</v>
      </c>
      <c r="G90" s="46">
        <v>27330</v>
      </c>
      <c r="H90" s="46" t="s">
        <v>2611</v>
      </c>
      <c r="I90" s="46" t="s">
        <v>2617</v>
      </c>
      <c r="J90" s="46" t="s">
        <v>2699</v>
      </c>
      <c r="K90" s="46" t="s">
        <v>3309</v>
      </c>
      <c r="L90" s="46">
        <v>16</v>
      </c>
    </row>
    <row r="91" spans="1:12" x14ac:dyDescent="0.3">
      <c r="A91" s="46" t="s">
        <v>100</v>
      </c>
      <c r="B91" s="46">
        <f>LEN(Table2[[#This Row],[Employee ID]])</f>
        <v>7</v>
      </c>
      <c r="C91" s="46" t="s">
        <v>1397</v>
      </c>
      <c r="D91" s="47">
        <v>36876</v>
      </c>
      <c r="E91" s="47">
        <v>36863</v>
      </c>
      <c r="F91" s="46" t="s">
        <v>2602</v>
      </c>
      <c r="G91" s="46">
        <v>39355</v>
      </c>
      <c r="H91" s="46" t="s">
        <v>2614</v>
      </c>
      <c r="I91" s="46" t="s">
        <v>2616</v>
      </c>
      <c r="J91" s="46" t="s">
        <v>2700</v>
      </c>
      <c r="K91" s="46" t="s">
        <v>3308</v>
      </c>
      <c r="L91" s="46">
        <v>25</v>
      </c>
    </row>
    <row r="92" spans="1:12" x14ac:dyDescent="0.3">
      <c r="A92" s="46" t="s">
        <v>101</v>
      </c>
      <c r="B92" s="46">
        <f>LEN(Table2[[#This Row],[Employee ID]])</f>
        <v>7</v>
      </c>
      <c r="C92" s="46" t="s">
        <v>1398</v>
      </c>
      <c r="D92" s="47">
        <v>30306</v>
      </c>
      <c r="E92" s="47">
        <v>25659</v>
      </c>
      <c r="F92" s="46" t="s">
        <v>2599</v>
      </c>
      <c r="G92" s="46">
        <v>171372</v>
      </c>
      <c r="H92" s="46" t="s">
        <v>2615</v>
      </c>
      <c r="I92" s="46" t="s">
        <v>2617</v>
      </c>
      <c r="J92" s="46" t="s">
        <v>2701</v>
      </c>
      <c r="K92" s="46" t="s">
        <v>3306</v>
      </c>
      <c r="L92" s="46">
        <v>55</v>
      </c>
    </row>
    <row r="93" spans="1:12" x14ac:dyDescent="0.3">
      <c r="A93" s="46" t="s">
        <v>102</v>
      </c>
      <c r="B93" s="46">
        <f>LEN(Table2[[#This Row],[Employee ID]])</f>
        <v>7</v>
      </c>
      <c r="C93" s="46" t="s">
        <v>1399</v>
      </c>
      <c r="D93" s="47">
        <v>29612</v>
      </c>
      <c r="E93" s="47">
        <v>26017</v>
      </c>
      <c r="F93" s="46" t="s">
        <v>2599</v>
      </c>
      <c r="G93" s="46">
        <v>42944</v>
      </c>
      <c r="H93" s="46" t="s">
        <v>2608</v>
      </c>
      <c r="I93" s="46" t="s">
        <v>2616</v>
      </c>
      <c r="J93" s="46" t="s">
        <v>2702</v>
      </c>
      <c r="K93" s="46" t="s">
        <v>3310</v>
      </c>
      <c r="L93" s="46">
        <v>54</v>
      </c>
    </row>
    <row r="94" spans="1:12" x14ac:dyDescent="0.3">
      <c r="A94" s="46" t="s">
        <v>103</v>
      </c>
      <c r="B94" s="46">
        <f>LEN(Table2[[#This Row],[Employee ID]])</f>
        <v>7</v>
      </c>
      <c r="C94" s="46" t="s">
        <v>1400</v>
      </c>
      <c r="D94" s="47">
        <v>29940</v>
      </c>
      <c r="E94" s="47">
        <v>36676</v>
      </c>
      <c r="F94" s="46" t="s">
        <v>2601</v>
      </c>
      <c r="G94" s="46">
        <v>149378</v>
      </c>
      <c r="H94" s="46" t="s">
        <v>2610</v>
      </c>
      <c r="I94" s="46" t="s">
        <v>2616</v>
      </c>
      <c r="J94" s="46" t="s">
        <v>2703</v>
      </c>
      <c r="K94" s="46" t="s">
        <v>3310</v>
      </c>
      <c r="L94" s="46">
        <v>25</v>
      </c>
    </row>
    <row r="95" spans="1:12" x14ac:dyDescent="0.3">
      <c r="A95" s="46" t="s">
        <v>104</v>
      </c>
      <c r="B95" s="46">
        <f>LEN(Table2[[#This Row],[Employee ID]])</f>
        <v>7</v>
      </c>
      <c r="C95" s="46" t="s">
        <v>1401</v>
      </c>
      <c r="D95" s="47">
        <v>28760</v>
      </c>
      <c r="E95" s="47">
        <v>26704</v>
      </c>
      <c r="F95" s="46" t="s">
        <v>2601</v>
      </c>
      <c r="G95" s="46">
        <v>25054</v>
      </c>
      <c r="H95" s="46" t="s">
        <v>2606</v>
      </c>
      <c r="I95" s="46" t="s">
        <v>2616</v>
      </c>
      <c r="J95" s="46" t="s">
        <v>2670</v>
      </c>
      <c r="K95" s="46" t="s">
        <v>3306</v>
      </c>
      <c r="L95" s="46">
        <v>52</v>
      </c>
    </row>
    <row r="96" spans="1:12" x14ac:dyDescent="0.3">
      <c r="A96" s="46" t="s">
        <v>105</v>
      </c>
      <c r="B96" s="46">
        <f>LEN(Table2[[#This Row],[Employee ID]])</f>
        <v>7</v>
      </c>
      <c r="C96" s="46" t="s">
        <v>1402</v>
      </c>
      <c r="D96" s="47">
        <v>30424</v>
      </c>
      <c r="E96" s="47">
        <v>37922</v>
      </c>
      <c r="F96" s="46" t="s">
        <v>2600</v>
      </c>
      <c r="G96" s="46">
        <v>193403</v>
      </c>
      <c r="H96" s="46" t="s">
        <v>2607</v>
      </c>
      <c r="I96" s="46" t="s">
        <v>2616</v>
      </c>
      <c r="J96" s="46" t="s">
        <v>2704</v>
      </c>
      <c r="K96" s="46" t="s">
        <v>3305</v>
      </c>
      <c r="L96" s="46">
        <v>22</v>
      </c>
    </row>
    <row r="97" spans="1:12" x14ac:dyDescent="0.3">
      <c r="A97" s="46" t="s">
        <v>106</v>
      </c>
      <c r="B97" s="46">
        <f>LEN(Table2[[#This Row],[Employee ID]])</f>
        <v>7</v>
      </c>
      <c r="C97" s="46" t="s">
        <v>1403</v>
      </c>
      <c r="D97" s="47">
        <v>29564</v>
      </c>
      <c r="E97" s="47">
        <v>41700</v>
      </c>
      <c r="F97" s="46" t="s">
        <v>2601</v>
      </c>
      <c r="G97" s="46">
        <v>40071</v>
      </c>
      <c r="H97" s="46" t="s">
        <v>2608</v>
      </c>
      <c r="I97" s="46" t="s">
        <v>2616</v>
      </c>
      <c r="J97" s="46" t="s">
        <v>2705</v>
      </c>
      <c r="K97" s="46" t="s">
        <v>3307</v>
      </c>
      <c r="L97" s="46">
        <v>11</v>
      </c>
    </row>
    <row r="98" spans="1:12" x14ac:dyDescent="0.3">
      <c r="A98" s="46" t="s">
        <v>107</v>
      </c>
      <c r="B98" s="46">
        <f>LEN(Table2[[#This Row],[Employee ID]])</f>
        <v>7</v>
      </c>
      <c r="C98" s="46" t="s">
        <v>1404</v>
      </c>
      <c r="D98" s="47">
        <v>32404</v>
      </c>
      <c r="E98" s="47">
        <v>41564</v>
      </c>
      <c r="F98" s="46" t="s">
        <v>2604</v>
      </c>
      <c r="G98" s="46">
        <v>91540</v>
      </c>
      <c r="H98" s="46" t="s">
        <v>2611</v>
      </c>
      <c r="I98" s="46" t="s">
        <v>2617</v>
      </c>
      <c r="J98" s="46" t="s">
        <v>2706</v>
      </c>
      <c r="K98" s="46" t="s">
        <v>3307</v>
      </c>
      <c r="L98" s="46">
        <v>12</v>
      </c>
    </row>
    <row r="99" spans="1:12" x14ac:dyDescent="0.3">
      <c r="A99" s="46" t="s">
        <v>108</v>
      </c>
      <c r="B99" s="46">
        <f>LEN(Table2[[#This Row],[Employee ID]])</f>
        <v>7</v>
      </c>
      <c r="C99" s="46" t="s">
        <v>1405</v>
      </c>
      <c r="D99" s="47">
        <v>34516</v>
      </c>
      <c r="E99" s="47">
        <v>41488</v>
      </c>
      <c r="F99" s="46" t="s">
        <v>2603</v>
      </c>
      <c r="G99" s="46">
        <v>137831</v>
      </c>
      <c r="H99" s="46" t="s">
        <v>2614</v>
      </c>
      <c r="I99" s="46" t="s">
        <v>2616</v>
      </c>
      <c r="J99" s="46" t="s">
        <v>2707</v>
      </c>
      <c r="K99" s="46" t="s">
        <v>3307</v>
      </c>
      <c r="L99" s="46">
        <v>12</v>
      </c>
    </row>
    <row r="100" spans="1:12" x14ac:dyDescent="0.3">
      <c r="A100" s="46" t="s">
        <v>109</v>
      </c>
      <c r="B100" s="46">
        <f>LEN(Table2[[#This Row],[Employee ID]])</f>
        <v>7</v>
      </c>
      <c r="C100" s="46" t="s">
        <v>1406</v>
      </c>
      <c r="D100" s="47">
        <v>35943</v>
      </c>
      <c r="E100" s="47">
        <v>31506</v>
      </c>
      <c r="F100" s="46" t="s">
        <v>2604</v>
      </c>
      <c r="G100" s="46">
        <v>78402</v>
      </c>
      <c r="H100" s="46" t="s">
        <v>2615</v>
      </c>
      <c r="I100" s="46" t="s">
        <v>2616</v>
      </c>
      <c r="J100" s="46" t="s">
        <v>2708</v>
      </c>
      <c r="K100" s="46" t="s">
        <v>3304</v>
      </c>
      <c r="L100" s="46">
        <v>39</v>
      </c>
    </row>
    <row r="101" spans="1:12" x14ac:dyDescent="0.3">
      <c r="A101" s="46" t="s">
        <v>110</v>
      </c>
      <c r="B101" s="46">
        <f>LEN(Table2[[#This Row],[Employee ID]])</f>
        <v>7</v>
      </c>
      <c r="C101" s="46" t="s">
        <v>1407</v>
      </c>
      <c r="D101" s="47">
        <v>23869</v>
      </c>
      <c r="E101" s="47">
        <v>34508</v>
      </c>
      <c r="F101" s="46" t="s">
        <v>2605</v>
      </c>
      <c r="G101" s="46">
        <v>190879</v>
      </c>
      <c r="H101" s="46" t="s">
        <v>2615</v>
      </c>
      <c r="I101" s="46" t="s">
        <v>2617</v>
      </c>
      <c r="J101" s="46" t="s">
        <v>2709</v>
      </c>
      <c r="K101" s="46" t="s">
        <v>3309</v>
      </c>
      <c r="L101" s="46">
        <v>31</v>
      </c>
    </row>
    <row r="102" spans="1:12" x14ac:dyDescent="0.3">
      <c r="A102" s="46" t="s">
        <v>111</v>
      </c>
      <c r="B102" s="46">
        <f>LEN(Table2[[#This Row],[Employee ID]])</f>
        <v>7</v>
      </c>
      <c r="C102" s="46" t="s">
        <v>1408</v>
      </c>
      <c r="D102" s="47">
        <v>35464</v>
      </c>
      <c r="E102" s="47">
        <v>28641</v>
      </c>
      <c r="F102" s="46" t="s">
        <v>2600</v>
      </c>
      <c r="G102" s="46">
        <v>121963</v>
      </c>
      <c r="H102" s="46" t="s">
        <v>2607</v>
      </c>
      <c r="I102" s="46" t="s">
        <v>2616</v>
      </c>
      <c r="J102" s="46" t="s">
        <v>2710</v>
      </c>
      <c r="K102" s="46" t="s">
        <v>3308</v>
      </c>
      <c r="L102" s="46">
        <v>47</v>
      </c>
    </row>
    <row r="103" spans="1:12" x14ac:dyDescent="0.3">
      <c r="A103" s="46" t="s">
        <v>112</v>
      </c>
      <c r="B103" s="46">
        <f>LEN(Table2[[#This Row],[Employee ID]])</f>
        <v>7</v>
      </c>
      <c r="C103" s="46" t="s">
        <v>1409</v>
      </c>
      <c r="D103" s="47">
        <v>22493</v>
      </c>
      <c r="E103" s="47">
        <v>37166</v>
      </c>
      <c r="F103" s="46" t="s">
        <v>2602</v>
      </c>
      <c r="G103" s="46">
        <v>126914</v>
      </c>
      <c r="H103" s="46" t="s">
        <v>2615</v>
      </c>
      <c r="I103" s="46" t="s">
        <v>2617</v>
      </c>
      <c r="J103" s="46" t="s">
        <v>2711</v>
      </c>
      <c r="K103" s="46" t="s">
        <v>3306</v>
      </c>
      <c r="L103" s="46">
        <v>24</v>
      </c>
    </row>
    <row r="104" spans="1:12" x14ac:dyDescent="0.3">
      <c r="A104" s="46" t="s">
        <v>113</v>
      </c>
      <c r="B104" s="46">
        <f>LEN(Table2[[#This Row],[Employee ID]])</f>
        <v>7</v>
      </c>
      <c r="C104" s="46" t="s">
        <v>1410</v>
      </c>
      <c r="D104" s="47">
        <v>22133</v>
      </c>
      <c r="E104" s="47">
        <v>35535</v>
      </c>
      <c r="F104" s="46" t="s">
        <v>2605</v>
      </c>
      <c r="G104" s="46">
        <v>128889</v>
      </c>
      <c r="H104" s="46" t="s">
        <v>2611</v>
      </c>
      <c r="I104" s="46" t="s">
        <v>2617</v>
      </c>
      <c r="J104" s="46" t="s">
        <v>2637</v>
      </c>
      <c r="K104" s="46" t="s">
        <v>3305</v>
      </c>
      <c r="L104" s="46">
        <v>28</v>
      </c>
    </row>
    <row r="105" spans="1:12" x14ac:dyDescent="0.3">
      <c r="A105" s="46" t="s">
        <v>114</v>
      </c>
      <c r="B105" s="46">
        <f>LEN(Table2[[#This Row],[Employee ID]])</f>
        <v>7</v>
      </c>
      <c r="C105" s="46" t="s">
        <v>1411</v>
      </c>
      <c r="D105" s="47">
        <v>21560</v>
      </c>
      <c r="E105" s="47">
        <v>33934</v>
      </c>
      <c r="F105" s="46" t="s">
        <v>2602</v>
      </c>
      <c r="G105" s="46">
        <v>125971</v>
      </c>
      <c r="H105" s="46" t="s">
        <v>2606</v>
      </c>
      <c r="I105" s="46" t="s">
        <v>2617</v>
      </c>
      <c r="J105" s="46" t="s">
        <v>2712</v>
      </c>
      <c r="K105" s="46" t="s">
        <v>3310</v>
      </c>
      <c r="L105" s="46">
        <v>33</v>
      </c>
    </row>
    <row r="106" spans="1:12" x14ac:dyDescent="0.3">
      <c r="A106" s="46" t="s">
        <v>115</v>
      </c>
      <c r="B106" s="46">
        <f>LEN(Table2[[#This Row],[Employee ID]])</f>
        <v>7</v>
      </c>
      <c r="C106" s="46" t="s">
        <v>1412</v>
      </c>
      <c r="D106" s="47">
        <v>26720</v>
      </c>
      <c r="E106" s="47">
        <v>35110</v>
      </c>
      <c r="F106" s="46" t="s">
        <v>2603</v>
      </c>
      <c r="G106" s="46">
        <v>181690</v>
      </c>
      <c r="H106" s="46" t="s">
        <v>2615</v>
      </c>
      <c r="I106" s="46" t="s">
        <v>2616</v>
      </c>
      <c r="J106" s="46" t="s">
        <v>2713</v>
      </c>
      <c r="K106" s="46" t="s">
        <v>3304</v>
      </c>
      <c r="L106" s="46">
        <v>29</v>
      </c>
    </row>
    <row r="107" spans="1:12" x14ac:dyDescent="0.3">
      <c r="A107" s="46" t="s">
        <v>116</v>
      </c>
      <c r="B107" s="46">
        <f>LEN(Table2[[#This Row],[Employee ID]])</f>
        <v>7</v>
      </c>
      <c r="C107" s="46" t="s">
        <v>1413</v>
      </c>
      <c r="D107" s="47">
        <v>36868</v>
      </c>
      <c r="E107" s="47">
        <v>44083</v>
      </c>
      <c r="F107" s="46" t="s">
        <v>2605</v>
      </c>
      <c r="G107" s="46">
        <v>152678</v>
      </c>
      <c r="H107" s="46" t="s">
        <v>2615</v>
      </c>
      <c r="I107" s="46" t="s">
        <v>2617</v>
      </c>
      <c r="J107" s="46" t="s">
        <v>2714</v>
      </c>
      <c r="K107" s="46" t="s">
        <v>3308</v>
      </c>
      <c r="L107" s="46">
        <v>5</v>
      </c>
    </row>
    <row r="108" spans="1:12" x14ac:dyDescent="0.3">
      <c r="A108" s="46" t="s">
        <v>117</v>
      </c>
      <c r="B108" s="46">
        <f>LEN(Table2[[#This Row],[Employee ID]])</f>
        <v>7</v>
      </c>
      <c r="C108" s="46" t="s">
        <v>1414</v>
      </c>
      <c r="D108" s="47">
        <v>35544</v>
      </c>
      <c r="E108" s="47">
        <v>37569</v>
      </c>
      <c r="F108" s="46" t="s">
        <v>2602</v>
      </c>
      <c r="G108" s="46">
        <v>97361</v>
      </c>
      <c r="H108" s="46" t="s">
        <v>2615</v>
      </c>
      <c r="I108" s="46" t="s">
        <v>2616</v>
      </c>
      <c r="J108" s="46" t="s">
        <v>2715</v>
      </c>
      <c r="K108" s="46" t="s">
        <v>3305</v>
      </c>
      <c r="L108" s="46">
        <v>23</v>
      </c>
    </row>
    <row r="109" spans="1:12" x14ac:dyDescent="0.3">
      <c r="A109" s="46" t="s">
        <v>118</v>
      </c>
      <c r="B109" s="46">
        <f>LEN(Table2[[#This Row],[Employee ID]])</f>
        <v>7</v>
      </c>
      <c r="C109" s="46" t="s">
        <v>1415</v>
      </c>
      <c r="D109" s="47">
        <v>28474</v>
      </c>
      <c r="E109" s="47">
        <v>30877</v>
      </c>
      <c r="F109" s="46" t="s">
        <v>2600</v>
      </c>
      <c r="G109" s="46">
        <v>73776</v>
      </c>
      <c r="H109" s="46" t="s">
        <v>2610</v>
      </c>
      <c r="I109" s="46" t="s">
        <v>2617</v>
      </c>
      <c r="J109" s="46" t="s">
        <v>2716</v>
      </c>
      <c r="K109" s="46" t="s">
        <v>3305</v>
      </c>
      <c r="L109" s="46">
        <v>41</v>
      </c>
    </row>
    <row r="110" spans="1:12" x14ac:dyDescent="0.3">
      <c r="A110" s="46" t="s">
        <v>119</v>
      </c>
      <c r="B110" s="46">
        <f>LEN(Table2[[#This Row],[Employee ID]])</f>
        <v>7</v>
      </c>
      <c r="C110" s="46" t="s">
        <v>1416</v>
      </c>
      <c r="D110" s="47">
        <v>30409</v>
      </c>
      <c r="E110" s="47">
        <v>35949</v>
      </c>
      <c r="F110" s="46" t="s">
        <v>2604</v>
      </c>
      <c r="G110" s="46">
        <v>114532</v>
      </c>
      <c r="H110" s="46" t="s">
        <v>2610</v>
      </c>
      <c r="I110" s="46" t="s">
        <v>2616</v>
      </c>
      <c r="J110" s="46" t="s">
        <v>2717</v>
      </c>
      <c r="K110" s="46" t="s">
        <v>3306</v>
      </c>
      <c r="L110" s="46">
        <v>27</v>
      </c>
    </row>
    <row r="111" spans="1:12" x14ac:dyDescent="0.3">
      <c r="A111" s="46" t="s">
        <v>120</v>
      </c>
      <c r="B111" s="46">
        <f>LEN(Table2[[#This Row],[Employee ID]])</f>
        <v>7</v>
      </c>
      <c r="C111" s="46" t="s">
        <v>1417</v>
      </c>
      <c r="D111" s="47">
        <v>30267</v>
      </c>
      <c r="E111" s="47">
        <v>36994</v>
      </c>
      <c r="F111" s="46" t="s">
        <v>2605</v>
      </c>
      <c r="G111" s="46">
        <v>72048</v>
      </c>
      <c r="H111" s="46" t="s">
        <v>2607</v>
      </c>
      <c r="I111" s="46" t="s">
        <v>2616</v>
      </c>
      <c r="J111" s="46" t="s">
        <v>2718</v>
      </c>
      <c r="K111" s="46" t="s">
        <v>3309</v>
      </c>
      <c r="L111" s="46">
        <v>24</v>
      </c>
    </row>
    <row r="112" spans="1:12" x14ac:dyDescent="0.3">
      <c r="A112" s="46" t="s">
        <v>121</v>
      </c>
      <c r="B112" s="46">
        <f>LEN(Table2[[#This Row],[Employee ID]])</f>
        <v>7</v>
      </c>
      <c r="C112" s="46" t="s">
        <v>1418</v>
      </c>
      <c r="D112" s="47">
        <v>23889</v>
      </c>
      <c r="E112" s="47">
        <v>34296</v>
      </c>
      <c r="F112" s="46" t="s">
        <v>2603</v>
      </c>
      <c r="G112" s="46">
        <v>59198</v>
      </c>
      <c r="H112" s="46" t="s">
        <v>2610</v>
      </c>
      <c r="I112" s="46" t="s">
        <v>2616</v>
      </c>
      <c r="J112" s="46" t="s">
        <v>2719</v>
      </c>
      <c r="K112" s="46" t="s">
        <v>3309</v>
      </c>
      <c r="L112" s="46">
        <v>32</v>
      </c>
    </row>
    <row r="113" spans="1:12" x14ac:dyDescent="0.3">
      <c r="A113" s="46" t="s">
        <v>122</v>
      </c>
      <c r="B113" s="46">
        <f>LEN(Table2[[#This Row],[Employee ID]])</f>
        <v>7</v>
      </c>
      <c r="C113" s="46" t="s">
        <v>1419</v>
      </c>
      <c r="D113" s="47">
        <v>31922</v>
      </c>
      <c r="E113" s="47">
        <v>29349</v>
      </c>
      <c r="F113" s="46" t="s">
        <v>2600</v>
      </c>
      <c r="G113" s="46">
        <v>81849</v>
      </c>
      <c r="H113" s="46" t="s">
        <v>2607</v>
      </c>
      <c r="I113" s="46" t="s">
        <v>2616</v>
      </c>
      <c r="J113" s="46" t="s">
        <v>2641</v>
      </c>
      <c r="K113" s="46" t="s">
        <v>3305</v>
      </c>
      <c r="L113" s="46">
        <v>45</v>
      </c>
    </row>
    <row r="114" spans="1:12" x14ac:dyDescent="0.3">
      <c r="A114" s="46" t="s">
        <v>123</v>
      </c>
      <c r="B114" s="46">
        <f>LEN(Table2[[#This Row],[Employee ID]])</f>
        <v>7</v>
      </c>
      <c r="C114" s="46" t="s">
        <v>1420</v>
      </c>
      <c r="D114" s="47">
        <v>37595</v>
      </c>
      <c r="E114" s="47">
        <v>36022</v>
      </c>
      <c r="F114" s="46" t="s">
        <v>2602</v>
      </c>
      <c r="G114" s="46">
        <v>113427</v>
      </c>
      <c r="H114" s="46" t="s">
        <v>2614</v>
      </c>
      <c r="I114" s="46" t="s">
        <v>2616</v>
      </c>
      <c r="J114" s="46" t="s">
        <v>2720</v>
      </c>
      <c r="K114" s="46" t="s">
        <v>3310</v>
      </c>
      <c r="L114" s="46">
        <v>27</v>
      </c>
    </row>
    <row r="115" spans="1:12" x14ac:dyDescent="0.3">
      <c r="A115" s="46" t="s">
        <v>124</v>
      </c>
      <c r="B115" s="46">
        <f>LEN(Table2[[#This Row],[Employee ID]])</f>
        <v>7</v>
      </c>
      <c r="C115" s="46" t="s">
        <v>1421</v>
      </c>
      <c r="D115" s="47">
        <v>22097</v>
      </c>
      <c r="E115" s="47">
        <v>26334</v>
      </c>
      <c r="F115" s="46" t="s">
        <v>2603</v>
      </c>
      <c r="G115" s="46">
        <v>87854</v>
      </c>
      <c r="H115" s="46" t="s">
        <v>2613</v>
      </c>
      <c r="I115" s="46" t="s">
        <v>2617</v>
      </c>
      <c r="J115" s="46" t="s">
        <v>2721</v>
      </c>
      <c r="K115" s="46" t="s">
        <v>3306</v>
      </c>
      <c r="L115" s="46">
        <v>53</v>
      </c>
    </row>
    <row r="116" spans="1:12" x14ac:dyDescent="0.3">
      <c r="A116" s="46" t="s">
        <v>125</v>
      </c>
      <c r="B116" s="46">
        <f>LEN(Table2[[#This Row],[Employee ID]])</f>
        <v>7</v>
      </c>
      <c r="C116" s="46" t="s">
        <v>1422</v>
      </c>
      <c r="D116" s="47">
        <v>37253</v>
      </c>
      <c r="E116" s="47">
        <v>29934</v>
      </c>
      <c r="F116" s="46" t="s">
        <v>2600</v>
      </c>
      <c r="G116" s="46">
        <v>167925</v>
      </c>
      <c r="H116" s="46" t="s">
        <v>2606</v>
      </c>
      <c r="I116" s="46" t="s">
        <v>2616</v>
      </c>
      <c r="J116" s="46" t="s">
        <v>2631</v>
      </c>
      <c r="K116" s="46" t="s">
        <v>3308</v>
      </c>
      <c r="L116" s="46">
        <v>44</v>
      </c>
    </row>
    <row r="117" spans="1:12" x14ac:dyDescent="0.3">
      <c r="A117" s="46" t="s">
        <v>126</v>
      </c>
      <c r="B117" s="46">
        <f>LEN(Table2[[#This Row],[Employee ID]])</f>
        <v>7</v>
      </c>
      <c r="C117" s="46" t="s">
        <v>1423</v>
      </c>
      <c r="D117" s="47">
        <v>33310</v>
      </c>
      <c r="E117" s="47">
        <v>44786</v>
      </c>
      <c r="F117" s="46" t="s">
        <v>2602</v>
      </c>
      <c r="G117" s="46">
        <v>45491</v>
      </c>
      <c r="H117" s="46" t="s">
        <v>2612</v>
      </c>
      <c r="I117" s="46" t="s">
        <v>2616</v>
      </c>
      <c r="J117" s="46" t="s">
        <v>2722</v>
      </c>
      <c r="K117" s="46" t="s">
        <v>3304</v>
      </c>
      <c r="L117" s="46">
        <v>3</v>
      </c>
    </row>
    <row r="118" spans="1:12" x14ac:dyDescent="0.3">
      <c r="A118" s="46" t="s">
        <v>127</v>
      </c>
      <c r="B118" s="46">
        <f>LEN(Table2[[#This Row],[Employee ID]])</f>
        <v>7</v>
      </c>
      <c r="C118" s="46" t="s">
        <v>1424</v>
      </c>
      <c r="D118" s="47">
        <v>36631</v>
      </c>
      <c r="E118" s="47">
        <v>32023</v>
      </c>
      <c r="F118" s="46" t="s">
        <v>2599</v>
      </c>
      <c r="G118" s="46">
        <v>25003</v>
      </c>
      <c r="H118" s="46" t="s">
        <v>2613</v>
      </c>
      <c r="I118" s="46" t="s">
        <v>2616</v>
      </c>
      <c r="J118" s="46" t="s">
        <v>2673</v>
      </c>
      <c r="K118" s="46" t="s">
        <v>3307</v>
      </c>
      <c r="L118" s="46">
        <v>38</v>
      </c>
    </row>
    <row r="119" spans="1:12" x14ac:dyDescent="0.3">
      <c r="A119" s="46" t="s">
        <v>128</v>
      </c>
      <c r="B119" s="46">
        <f>LEN(Table2[[#This Row],[Employee ID]])</f>
        <v>7</v>
      </c>
      <c r="C119" s="46" t="s">
        <v>1425</v>
      </c>
      <c r="D119" s="47">
        <v>22179</v>
      </c>
      <c r="E119" s="47">
        <v>36657</v>
      </c>
      <c r="F119" s="46" t="s">
        <v>2601</v>
      </c>
      <c r="G119" s="46">
        <v>163161</v>
      </c>
      <c r="H119" s="46" t="s">
        <v>2608</v>
      </c>
      <c r="I119" s="46" t="s">
        <v>2617</v>
      </c>
      <c r="J119" s="46" t="s">
        <v>2723</v>
      </c>
      <c r="K119" s="46" t="s">
        <v>3308</v>
      </c>
      <c r="L119" s="46">
        <v>25</v>
      </c>
    </row>
    <row r="120" spans="1:12" x14ac:dyDescent="0.3">
      <c r="A120" s="46" t="s">
        <v>129</v>
      </c>
      <c r="B120" s="46">
        <f>LEN(Table2[[#This Row],[Employee ID]])</f>
        <v>7</v>
      </c>
      <c r="C120" s="46" t="s">
        <v>1426</v>
      </c>
      <c r="D120" s="47">
        <v>24581</v>
      </c>
      <c r="E120" s="47">
        <v>41911</v>
      </c>
      <c r="F120" s="46" t="s">
        <v>2602</v>
      </c>
      <c r="G120" s="46">
        <v>135113</v>
      </c>
      <c r="H120" s="46" t="s">
        <v>2615</v>
      </c>
      <c r="I120" s="46" t="s">
        <v>2617</v>
      </c>
      <c r="J120" s="46" t="s">
        <v>2724</v>
      </c>
      <c r="K120" s="46" t="s">
        <v>3306</v>
      </c>
      <c r="L120" s="46">
        <v>11</v>
      </c>
    </row>
    <row r="121" spans="1:12" x14ac:dyDescent="0.3">
      <c r="A121" s="46" t="s">
        <v>130</v>
      </c>
      <c r="B121" s="46">
        <f>LEN(Table2[[#This Row],[Employee ID]])</f>
        <v>7</v>
      </c>
      <c r="C121" s="46" t="s">
        <v>1427</v>
      </c>
      <c r="D121" s="47">
        <v>37046</v>
      </c>
      <c r="E121" s="47">
        <v>32043</v>
      </c>
      <c r="F121" s="46" t="s">
        <v>2599</v>
      </c>
      <c r="G121" s="46">
        <v>51800</v>
      </c>
      <c r="H121" s="46" t="s">
        <v>2614</v>
      </c>
      <c r="I121" s="46" t="s">
        <v>2617</v>
      </c>
      <c r="J121" s="46" t="s">
        <v>2725</v>
      </c>
      <c r="K121" s="46" t="s">
        <v>3310</v>
      </c>
      <c r="L121" s="46">
        <v>38</v>
      </c>
    </row>
    <row r="122" spans="1:12" x14ac:dyDescent="0.3">
      <c r="A122" s="46" t="s">
        <v>131</v>
      </c>
      <c r="B122" s="46">
        <f>LEN(Table2[[#This Row],[Employee ID]])</f>
        <v>7</v>
      </c>
      <c r="C122" s="46" t="s">
        <v>1428</v>
      </c>
      <c r="D122" s="47">
        <v>22355</v>
      </c>
      <c r="E122" s="47">
        <v>35746</v>
      </c>
      <c r="F122" s="46" t="s">
        <v>2605</v>
      </c>
      <c r="G122" s="46">
        <v>75606</v>
      </c>
      <c r="H122" s="46" t="s">
        <v>2615</v>
      </c>
      <c r="I122" s="46" t="s">
        <v>2617</v>
      </c>
      <c r="J122" s="46" t="s">
        <v>2726</v>
      </c>
      <c r="K122" s="46" t="s">
        <v>3307</v>
      </c>
      <c r="L122" s="46">
        <v>28</v>
      </c>
    </row>
    <row r="123" spans="1:12" x14ac:dyDescent="0.3">
      <c r="A123" s="46" t="s">
        <v>132</v>
      </c>
      <c r="B123" s="46">
        <f>LEN(Table2[[#This Row],[Employee ID]])</f>
        <v>7</v>
      </c>
      <c r="C123" s="46" t="s">
        <v>1429</v>
      </c>
      <c r="D123" s="47">
        <v>34471</v>
      </c>
      <c r="E123" s="47">
        <v>39005</v>
      </c>
      <c r="F123" s="46" t="s">
        <v>2604</v>
      </c>
      <c r="G123" s="46">
        <v>73953</v>
      </c>
      <c r="H123" s="46" t="s">
        <v>2610</v>
      </c>
      <c r="I123" s="46" t="s">
        <v>2616</v>
      </c>
      <c r="J123" s="46" t="s">
        <v>2727</v>
      </c>
      <c r="K123" s="46" t="s">
        <v>3310</v>
      </c>
      <c r="L123" s="46">
        <v>19</v>
      </c>
    </row>
    <row r="124" spans="1:12" x14ac:dyDescent="0.3">
      <c r="A124" s="46" t="s">
        <v>133</v>
      </c>
      <c r="B124" s="46">
        <f>LEN(Table2[[#This Row],[Employee ID]])</f>
        <v>7</v>
      </c>
      <c r="C124" s="46" t="s">
        <v>1430</v>
      </c>
      <c r="D124" s="47">
        <v>28443</v>
      </c>
      <c r="E124" s="47">
        <v>31278</v>
      </c>
      <c r="F124" s="46" t="s">
        <v>2599</v>
      </c>
      <c r="G124" s="46">
        <v>141275</v>
      </c>
      <c r="H124" s="46" t="s">
        <v>2611</v>
      </c>
      <c r="I124" s="46" t="s">
        <v>2617</v>
      </c>
      <c r="J124" s="46" t="s">
        <v>2728</v>
      </c>
      <c r="K124" s="46" t="s">
        <v>3309</v>
      </c>
      <c r="L124" s="46">
        <v>40</v>
      </c>
    </row>
    <row r="125" spans="1:12" x14ac:dyDescent="0.3">
      <c r="A125" s="46" t="s">
        <v>134</v>
      </c>
      <c r="B125" s="46">
        <f>LEN(Table2[[#This Row],[Employee ID]])</f>
        <v>7</v>
      </c>
      <c r="C125" s="46" t="s">
        <v>1431</v>
      </c>
      <c r="D125" s="47">
        <v>37533</v>
      </c>
      <c r="E125" s="47">
        <v>44050</v>
      </c>
      <c r="F125" s="46" t="s">
        <v>2605</v>
      </c>
      <c r="G125" s="46">
        <v>130755</v>
      </c>
      <c r="H125" s="46" t="s">
        <v>2607</v>
      </c>
      <c r="I125" s="46" t="s">
        <v>2616</v>
      </c>
      <c r="J125" s="46" t="s">
        <v>2729</v>
      </c>
      <c r="K125" s="46" t="s">
        <v>3304</v>
      </c>
      <c r="L125" s="46">
        <v>5</v>
      </c>
    </row>
    <row r="126" spans="1:12" x14ac:dyDescent="0.3">
      <c r="A126" s="46" t="s">
        <v>135</v>
      </c>
      <c r="B126" s="46">
        <f>LEN(Table2[[#This Row],[Employee ID]])</f>
        <v>7</v>
      </c>
      <c r="C126" s="46" t="s">
        <v>1432</v>
      </c>
      <c r="D126" s="47">
        <v>28009</v>
      </c>
      <c r="E126" s="47">
        <v>37912</v>
      </c>
      <c r="F126" s="46" t="s">
        <v>2602</v>
      </c>
      <c r="G126" s="46">
        <v>177416</v>
      </c>
      <c r="H126" s="46" t="s">
        <v>2613</v>
      </c>
      <c r="I126" s="46" t="s">
        <v>2617</v>
      </c>
      <c r="J126" s="46" t="s">
        <v>2730</v>
      </c>
      <c r="K126" s="46" t="s">
        <v>3306</v>
      </c>
      <c r="L126" s="46">
        <v>22</v>
      </c>
    </row>
    <row r="127" spans="1:12" x14ac:dyDescent="0.3">
      <c r="A127" s="46" t="s">
        <v>136</v>
      </c>
      <c r="B127" s="46">
        <f>LEN(Table2[[#This Row],[Employee ID]])</f>
        <v>7</v>
      </c>
      <c r="C127" s="46" t="s">
        <v>1433</v>
      </c>
      <c r="D127" s="47">
        <v>35838</v>
      </c>
      <c r="E127" s="47">
        <v>32060</v>
      </c>
      <c r="F127" s="46" t="s">
        <v>2601</v>
      </c>
      <c r="G127" s="46">
        <v>111102</v>
      </c>
      <c r="H127" s="46" t="s">
        <v>2611</v>
      </c>
      <c r="I127" s="46" t="s">
        <v>2616</v>
      </c>
      <c r="J127" s="46" t="s">
        <v>2636</v>
      </c>
      <c r="K127" s="46" t="s">
        <v>3306</v>
      </c>
      <c r="L127" s="46">
        <v>38</v>
      </c>
    </row>
    <row r="128" spans="1:12" x14ac:dyDescent="0.3">
      <c r="A128" s="46" t="s">
        <v>137</v>
      </c>
      <c r="B128" s="46">
        <f>LEN(Table2[[#This Row],[Employee ID]])</f>
        <v>7</v>
      </c>
      <c r="C128" s="46" t="s">
        <v>1434</v>
      </c>
      <c r="D128" s="47">
        <v>32449</v>
      </c>
      <c r="E128" s="47">
        <v>31437</v>
      </c>
      <c r="F128" s="46" t="s">
        <v>2605</v>
      </c>
      <c r="G128" s="46">
        <v>71732</v>
      </c>
      <c r="H128" s="46" t="s">
        <v>2613</v>
      </c>
      <c r="I128" s="46" t="s">
        <v>2616</v>
      </c>
      <c r="J128" s="46" t="s">
        <v>2731</v>
      </c>
      <c r="K128" s="46" t="s">
        <v>3306</v>
      </c>
      <c r="L128" s="46">
        <v>39</v>
      </c>
    </row>
    <row r="129" spans="1:12" x14ac:dyDescent="0.3">
      <c r="A129" s="46" t="s">
        <v>138</v>
      </c>
      <c r="B129" s="46">
        <f>LEN(Table2[[#This Row],[Employee ID]])</f>
        <v>7</v>
      </c>
      <c r="C129" s="46" t="s">
        <v>1435</v>
      </c>
      <c r="D129" s="47">
        <v>37463</v>
      </c>
      <c r="E129" s="47">
        <v>36211</v>
      </c>
      <c r="F129" s="46" t="s">
        <v>2603</v>
      </c>
      <c r="G129" s="46">
        <v>175989</v>
      </c>
      <c r="H129" s="46" t="s">
        <v>2607</v>
      </c>
      <c r="I129" s="46" t="s">
        <v>2616</v>
      </c>
      <c r="J129" s="46" t="s">
        <v>2732</v>
      </c>
      <c r="K129" s="46" t="s">
        <v>3308</v>
      </c>
      <c r="L129" s="46">
        <v>26</v>
      </c>
    </row>
    <row r="130" spans="1:12" x14ac:dyDescent="0.3">
      <c r="A130" s="46" t="s">
        <v>139</v>
      </c>
      <c r="B130" s="46">
        <f>LEN(Table2[[#This Row],[Employee ID]])</f>
        <v>7</v>
      </c>
      <c r="C130" s="46" t="s">
        <v>1436</v>
      </c>
      <c r="D130" s="47">
        <v>26137</v>
      </c>
      <c r="E130" s="47">
        <v>43458</v>
      </c>
      <c r="F130" s="46" t="s">
        <v>2603</v>
      </c>
      <c r="G130" s="46">
        <v>192707</v>
      </c>
      <c r="H130" s="46" t="s">
        <v>2614</v>
      </c>
      <c r="I130" s="46" t="s">
        <v>2617</v>
      </c>
      <c r="J130" s="46" t="s">
        <v>2733</v>
      </c>
      <c r="K130" s="46" t="s">
        <v>3305</v>
      </c>
      <c r="L130" s="46">
        <v>7</v>
      </c>
    </row>
    <row r="131" spans="1:12" x14ac:dyDescent="0.3">
      <c r="A131" s="46" t="s">
        <v>140</v>
      </c>
      <c r="B131" s="46">
        <f>LEN(Table2[[#This Row],[Employee ID]])</f>
        <v>7</v>
      </c>
      <c r="C131" s="46" t="s">
        <v>1437</v>
      </c>
      <c r="D131" s="47">
        <v>26634</v>
      </c>
      <c r="E131" s="47">
        <v>39912</v>
      </c>
      <c r="F131" s="46" t="s">
        <v>2600</v>
      </c>
      <c r="G131" s="46">
        <v>34614</v>
      </c>
      <c r="H131" s="46" t="s">
        <v>2615</v>
      </c>
      <c r="I131" s="46" t="s">
        <v>2616</v>
      </c>
      <c r="J131" s="46" t="s">
        <v>2734</v>
      </c>
      <c r="K131" s="46" t="s">
        <v>3307</v>
      </c>
      <c r="L131" s="46">
        <v>16</v>
      </c>
    </row>
    <row r="132" spans="1:12" x14ac:dyDescent="0.3">
      <c r="A132" s="46" t="s">
        <v>141</v>
      </c>
      <c r="B132" s="46">
        <f>LEN(Table2[[#This Row],[Employee ID]])</f>
        <v>7</v>
      </c>
      <c r="C132" s="46" t="s">
        <v>1438</v>
      </c>
      <c r="D132" s="47">
        <v>23170</v>
      </c>
      <c r="E132" s="47">
        <v>31077</v>
      </c>
      <c r="F132" s="46" t="s">
        <v>2604</v>
      </c>
      <c r="G132" s="46">
        <v>151924</v>
      </c>
      <c r="H132" s="46" t="s">
        <v>2607</v>
      </c>
      <c r="I132" s="46" t="s">
        <v>2616</v>
      </c>
      <c r="J132" s="46" t="s">
        <v>2659</v>
      </c>
      <c r="K132" s="46" t="s">
        <v>3310</v>
      </c>
      <c r="L132" s="46">
        <v>40</v>
      </c>
    </row>
    <row r="133" spans="1:12" x14ac:dyDescent="0.3">
      <c r="A133" s="46" t="s">
        <v>142</v>
      </c>
      <c r="B133" s="46">
        <f>LEN(Table2[[#This Row],[Employee ID]])</f>
        <v>7</v>
      </c>
      <c r="C133" s="46" t="s">
        <v>1439</v>
      </c>
      <c r="D133" s="47">
        <v>34292</v>
      </c>
      <c r="E133" s="47">
        <v>40810</v>
      </c>
      <c r="F133" s="46" t="s">
        <v>2605</v>
      </c>
      <c r="G133" s="46">
        <v>177286</v>
      </c>
      <c r="H133" s="46" t="s">
        <v>2608</v>
      </c>
      <c r="I133" s="46" t="s">
        <v>2616</v>
      </c>
      <c r="J133" s="46" t="s">
        <v>2735</v>
      </c>
      <c r="K133" s="46" t="s">
        <v>3307</v>
      </c>
      <c r="L133" s="46">
        <v>14</v>
      </c>
    </row>
    <row r="134" spans="1:12" x14ac:dyDescent="0.3">
      <c r="A134" s="46" t="s">
        <v>143</v>
      </c>
      <c r="B134" s="46">
        <f>LEN(Table2[[#This Row],[Employee ID]])</f>
        <v>7</v>
      </c>
      <c r="C134" s="46" t="s">
        <v>1440</v>
      </c>
      <c r="D134" s="47">
        <v>30094</v>
      </c>
      <c r="E134" s="47">
        <v>33381</v>
      </c>
      <c r="F134" s="46" t="s">
        <v>2599</v>
      </c>
      <c r="G134" s="46">
        <v>90280</v>
      </c>
      <c r="H134" s="46" t="s">
        <v>2607</v>
      </c>
      <c r="I134" s="46" t="s">
        <v>2616</v>
      </c>
      <c r="J134" s="46" t="s">
        <v>2736</v>
      </c>
      <c r="K134" s="46" t="s">
        <v>3306</v>
      </c>
      <c r="L134" s="46">
        <v>34</v>
      </c>
    </row>
    <row r="135" spans="1:12" x14ac:dyDescent="0.3">
      <c r="A135" s="46" t="s">
        <v>144</v>
      </c>
      <c r="B135" s="46">
        <f>LEN(Table2[[#This Row],[Employee ID]])</f>
        <v>7</v>
      </c>
      <c r="C135" s="46" t="s">
        <v>1441</v>
      </c>
      <c r="D135" s="47">
        <v>37413</v>
      </c>
      <c r="E135" s="47">
        <v>41090</v>
      </c>
      <c r="F135" s="46" t="s">
        <v>2605</v>
      </c>
      <c r="G135" s="46">
        <v>63630</v>
      </c>
      <c r="H135" s="46" t="s">
        <v>2614</v>
      </c>
      <c r="I135" s="46" t="s">
        <v>2617</v>
      </c>
      <c r="J135" s="46" t="s">
        <v>2737</v>
      </c>
      <c r="K135" s="46" t="s">
        <v>3310</v>
      </c>
      <c r="L135" s="46">
        <v>13</v>
      </c>
    </row>
    <row r="136" spans="1:12" x14ac:dyDescent="0.3">
      <c r="A136" s="46" t="s">
        <v>145</v>
      </c>
      <c r="B136" s="46">
        <f>LEN(Table2[[#This Row],[Employee ID]])</f>
        <v>7</v>
      </c>
      <c r="C136" s="46" t="s">
        <v>1442</v>
      </c>
      <c r="D136" s="47">
        <v>27785</v>
      </c>
      <c r="E136" s="47">
        <v>39720</v>
      </c>
      <c r="F136" s="46" t="s">
        <v>2604</v>
      </c>
      <c r="G136" s="46">
        <v>176204</v>
      </c>
      <c r="H136" s="46" t="s">
        <v>2609</v>
      </c>
      <c r="I136" s="46" t="s">
        <v>2617</v>
      </c>
      <c r="J136" s="46" t="s">
        <v>2646</v>
      </c>
      <c r="K136" s="46" t="s">
        <v>3306</v>
      </c>
      <c r="L136" s="46">
        <v>17</v>
      </c>
    </row>
    <row r="137" spans="1:12" x14ac:dyDescent="0.3">
      <c r="A137" s="46" t="s">
        <v>146</v>
      </c>
      <c r="B137" s="46">
        <f>LEN(Table2[[#This Row],[Employee ID]])</f>
        <v>7</v>
      </c>
      <c r="C137" s="46" t="s">
        <v>1443</v>
      </c>
      <c r="D137" s="47">
        <v>35875</v>
      </c>
      <c r="E137" s="47">
        <v>29893</v>
      </c>
      <c r="F137" s="46" t="s">
        <v>2599</v>
      </c>
      <c r="G137" s="46">
        <v>110138</v>
      </c>
      <c r="H137" s="46" t="s">
        <v>2610</v>
      </c>
      <c r="I137" s="46" t="s">
        <v>2617</v>
      </c>
      <c r="J137" s="46" t="s">
        <v>2738</v>
      </c>
      <c r="K137" s="46" t="s">
        <v>3306</v>
      </c>
      <c r="L137" s="46">
        <v>44</v>
      </c>
    </row>
    <row r="138" spans="1:12" x14ac:dyDescent="0.3">
      <c r="A138" s="46" t="s">
        <v>147</v>
      </c>
      <c r="B138" s="46">
        <f>LEN(Table2[[#This Row],[Employee ID]])</f>
        <v>7</v>
      </c>
      <c r="C138" s="46" t="s">
        <v>1444</v>
      </c>
      <c r="D138" s="47">
        <v>36301</v>
      </c>
      <c r="E138" s="47">
        <v>31197</v>
      </c>
      <c r="F138" s="46" t="s">
        <v>2604</v>
      </c>
      <c r="G138" s="46">
        <v>179829</v>
      </c>
      <c r="H138" s="46" t="s">
        <v>2606</v>
      </c>
      <c r="I138" s="46" t="s">
        <v>2617</v>
      </c>
      <c r="J138" s="46" t="s">
        <v>2739</v>
      </c>
      <c r="K138" s="46" t="s">
        <v>3305</v>
      </c>
      <c r="L138" s="46">
        <v>40</v>
      </c>
    </row>
    <row r="139" spans="1:12" x14ac:dyDescent="0.3">
      <c r="A139" s="46" t="s">
        <v>148</v>
      </c>
      <c r="B139" s="46">
        <f>LEN(Table2[[#This Row],[Employee ID]])</f>
        <v>7</v>
      </c>
      <c r="C139" s="46" t="s">
        <v>1445</v>
      </c>
      <c r="D139" s="47">
        <v>27895</v>
      </c>
      <c r="E139" s="47">
        <v>43986</v>
      </c>
      <c r="F139" s="46" t="s">
        <v>2601</v>
      </c>
      <c r="G139" s="46">
        <v>194930</v>
      </c>
      <c r="H139" s="46" t="s">
        <v>2615</v>
      </c>
      <c r="I139" s="46" t="s">
        <v>2617</v>
      </c>
      <c r="J139" s="46" t="s">
        <v>2740</v>
      </c>
      <c r="K139" s="46" t="s">
        <v>3307</v>
      </c>
      <c r="L139" s="46">
        <v>5</v>
      </c>
    </row>
    <row r="140" spans="1:12" x14ac:dyDescent="0.3">
      <c r="A140" s="46" t="s">
        <v>149</v>
      </c>
      <c r="B140" s="46">
        <f>LEN(Table2[[#This Row],[Employee ID]])</f>
        <v>7</v>
      </c>
      <c r="C140" s="46" t="s">
        <v>1446</v>
      </c>
      <c r="D140" s="47">
        <v>34607</v>
      </c>
      <c r="E140" s="47">
        <v>30901</v>
      </c>
      <c r="F140" s="46" t="s">
        <v>2601</v>
      </c>
      <c r="G140" s="46">
        <v>185546</v>
      </c>
      <c r="H140" s="46" t="s">
        <v>2612</v>
      </c>
      <c r="I140" s="46" t="s">
        <v>2616</v>
      </c>
      <c r="J140" s="46" t="s">
        <v>2741</v>
      </c>
      <c r="K140" s="46" t="s">
        <v>3309</v>
      </c>
      <c r="L140" s="46">
        <v>41</v>
      </c>
    </row>
    <row r="141" spans="1:12" x14ac:dyDescent="0.3">
      <c r="A141" s="46" t="s">
        <v>150</v>
      </c>
      <c r="B141" s="46">
        <f>LEN(Table2[[#This Row],[Employee ID]])</f>
        <v>7</v>
      </c>
      <c r="C141" s="46" t="s">
        <v>1447</v>
      </c>
      <c r="D141" s="47">
        <v>23095</v>
      </c>
      <c r="E141" s="47">
        <v>36087</v>
      </c>
      <c r="F141" s="46" t="s">
        <v>2605</v>
      </c>
      <c r="G141" s="46">
        <v>122257</v>
      </c>
      <c r="H141" s="46" t="s">
        <v>2614</v>
      </c>
      <c r="I141" s="46" t="s">
        <v>2617</v>
      </c>
      <c r="J141" s="46" t="s">
        <v>2742</v>
      </c>
      <c r="K141" s="46" t="s">
        <v>3304</v>
      </c>
      <c r="L141" s="46">
        <v>27</v>
      </c>
    </row>
    <row r="142" spans="1:12" x14ac:dyDescent="0.3">
      <c r="A142" s="46" t="s">
        <v>151</v>
      </c>
      <c r="B142" s="46">
        <f>LEN(Table2[[#This Row],[Employee ID]])</f>
        <v>7</v>
      </c>
      <c r="C142" s="46" t="s">
        <v>1448</v>
      </c>
      <c r="D142" s="47">
        <v>22264</v>
      </c>
      <c r="E142" s="47">
        <v>40016</v>
      </c>
      <c r="F142" s="46" t="s">
        <v>2605</v>
      </c>
      <c r="G142" s="46">
        <v>162856</v>
      </c>
      <c r="H142" s="46" t="s">
        <v>2613</v>
      </c>
      <c r="I142" s="46" t="s">
        <v>2617</v>
      </c>
      <c r="J142" s="46" t="s">
        <v>2743</v>
      </c>
      <c r="K142" s="46" t="s">
        <v>3304</v>
      </c>
      <c r="L142" s="46">
        <v>16</v>
      </c>
    </row>
    <row r="143" spans="1:12" x14ac:dyDescent="0.3">
      <c r="A143" s="46" t="s">
        <v>152</v>
      </c>
      <c r="B143" s="46">
        <f>LEN(Table2[[#This Row],[Employee ID]])</f>
        <v>7</v>
      </c>
      <c r="C143" s="46" t="s">
        <v>1449</v>
      </c>
      <c r="D143" s="47">
        <v>28023</v>
      </c>
      <c r="E143" s="47">
        <v>42790</v>
      </c>
      <c r="F143" s="46" t="s">
        <v>2599</v>
      </c>
      <c r="G143" s="46">
        <v>190135</v>
      </c>
      <c r="H143" s="46" t="s">
        <v>2614</v>
      </c>
      <c r="I143" s="46" t="s">
        <v>2616</v>
      </c>
      <c r="J143" s="46" t="s">
        <v>2744</v>
      </c>
      <c r="K143" s="46" t="s">
        <v>3307</v>
      </c>
      <c r="L143" s="46">
        <v>8</v>
      </c>
    </row>
    <row r="144" spans="1:12" x14ac:dyDescent="0.3">
      <c r="A144" s="46" t="s">
        <v>153</v>
      </c>
      <c r="B144" s="46">
        <f>LEN(Table2[[#This Row],[Employee ID]])</f>
        <v>7</v>
      </c>
      <c r="C144" s="46" t="s">
        <v>1450</v>
      </c>
      <c r="D144" s="47">
        <v>22554</v>
      </c>
      <c r="E144" s="47">
        <v>42752</v>
      </c>
      <c r="F144" s="46" t="s">
        <v>2603</v>
      </c>
      <c r="G144" s="46">
        <v>142542</v>
      </c>
      <c r="H144" s="46" t="s">
        <v>2612</v>
      </c>
      <c r="I144" s="46" t="s">
        <v>2616</v>
      </c>
      <c r="J144" s="46" t="s">
        <v>2745</v>
      </c>
      <c r="K144" s="46" t="s">
        <v>3306</v>
      </c>
      <c r="L144" s="46">
        <v>8</v>
      </c>
    </row>
    <row r="145" spans="1:12" x14ac:dyDescent="0.3">
      <c r="A145" s="46" t="s">
        <v>154</v>
      </c>
      <c r="B145" s="46">
        <f>LEN(Table2[[#This Row],[Employee ID]])</f>
        <v>7</v>
      </c>
      <c r="C145" s="46" t="s">
        <v>1451</v>
      </c>
      <c r="D145" s="47">
        <v>27972</v>
      </c>
      <c r="E145" s="47">
        <v>32438</v>
      </c>
      <c r="F145" s="46" t="s">
        <v>2605</v>
      </c>
      <c r="G145" s="46">
        <v>55032</v>
      </c>
      <c r="H145" s="46" t="s">
        <v>2606</v>
      </c>
      <c r="I145" s="46" t="s">
        <v>2616</v>
      </c>
      <c r="J145" s="46" t="s">
        <v>2746</v>
      </c>
      <c r="K145" s="46" t="s">
        <v>3307</v>
      </c>
      <c r="L145" s="46">
        <v>37</v>
      </c>
    </row>
    <row r="146" spans="1:12" x14ac:dyDescent="0.3">
      <c r="A146" s="46" t="s">
        <v>155</v>
      </c>
      <c r="B146" s="46">
        <f>LEN(Table2[[#This Row],[Employee ID]])</f>
        <v>7</v>
      </c>
      <c r="C146" s="46" t="s">
        <v>1452</v>
      </c>
      <c r="D146" s="47">
        <v>30650</v>
      </c>
      <c r="E146" s="47">
        <v>25655</v>
      </c>
      <c r="F146" s="46" t="s">
        <v>2602</v>
      </c>
      <c r="G146" s="46">
        <v>199797</v>
      </c>
      <c r="H146" s="46" t="s">
        <v>2612</v>
      </c>
      <c r="I146" s="46" t="s">
        <v>2616</v>
      </c>
      <c r="J146" s="46" t="s">
        <v>2747</v>
      </c>
      <c r="K146" s="46" t="s">
        <v>3306</v>
      </c>
      <c r="L146" s="46">
        <v>55</v>
      </c>
    </row>
    <row r="147" spans="1:12" x14ac:dyDescent="0.3">
      <c r="A147" s="46" t="s">
        <v>156</v>
      </c>
      <c r="B147" s="46">
        <f>LEN(Table2[[#This Row],[Employee ID]])</f>
        <v>7</v>
      </c>
      <c r="C147" s="46" t="s">
        <v>1453</v>
      </c>
      <c r="D147" s="47">
        <v>32607</v>
      </c>
      <c r="E147" s="47">
        <v>39225</v>
      </c>
      <c r="F147" s="46" t="s">
        <v>2605</v>
      </c>
      <c r="G147" s="46">
        <v>136133</v>
      </c>
      <c r="H147" s="46" t="s">
        <v>2613</v>
      </c>
      <c r="I147" s="46" t="s">
        <v>2617</v>
      </c>
      <c r="J147" s="46" t="s">
        <v>2748</v>
      </c>
      <c r="K147" s="46" t="s">
        <v>3310</v>
      </c>
      <c r="L147" s="46">
        <v>18</v>
      </c>
    </row>
    <row r="148" spans="1:12" x14ac:dyDescent="0.3">
      <c r="A148" s="46" t="s">
        <v>157</v>
      </c>
      <c r="B148" s="46">
        <f>LEN(Table2[[#This Row],[Employee ID]])</f>
        <v>7</v>
      </c>
      <c r="C148" s="46" t="s">
        <v>1454</v>
      </c>
      <c r="D148" s="47">
        <v>28247</v>
      </c>
      <c r="E148" s="47">
        <v>36987</v>
      </c>
      <c r="F148" s="46" t="s">
        <v>2601</v>
      </c>
      <c r="G148" s="46">
        <v>167284</v>
      </c>
      <c r="H148" s="46" t="s">
        <v>2613</v>
      </c>
      <c r="I148" s="46" t="s">
        <v>2617</v>
      </c>
      <c r="J148" s="46" t="s">
        <v>2749</v>
      </c>
      <c r="K148" s="46" t="s">
        <v>3305</v>
      </c>
      <c r="L148" s="46">
        <v>24</v>
      </c>
    </row>
    <row r="149" spans="1:12" x14ac:dyDescent="0.3">
      <c r="A149" s="46" t="s">
        <v>158</v>
      </c>
      <c r="B149" s="46">
        <f>LEN(Table2[[#This Row],[Employee ID]])</f>
        <v>7</v>
      </c>
      <c r="C149" s="46" t="s">
        <v>1455</v>
      </c>
      <c r="D149" s="47">
        <v>32092</v>
      </c>
      <c r="E149" s="47">
        <v>26968</v>
      </c>
      <c r="F149" s="46" t="s">
        <v>2603</v>
      </c>
      <c r="G149" s="46">
        <v>192844</v>
      </c>
      <c r="H149" s="46" t="s">
        <v>2607</v>
      </c>
      <c r="I149" s="46" t="s">
        <v>2616</v>
      </c>
      <c r="J149" s="46" t="s">
        <v>2750</v>
      </c>
      <c r="K149" s="46" t="s">
        <v>3305</v>
      </c>
      <c r="L149" s="46">
        <v>52</v>
      </c>
    </row>
    <row r="150" spans="1:12" x14ac:dyDescent="0.3">
      <c r="A150" s="46" t="s">
        <v>159</v>
      </c>
      <c r="B150" s="46">
        <f>LEN(Table2[[#This Row],[Employee ID]])</f>
        <v>7</v>
      </c>
      <c r="C150" s="46" t="s">
        <v>1456</v>
      </c>
      <c r="D150" s="47">
        <v>27321</v>
      </c>
      <c r="E150" s="47">
        <v>33556</v>
      </c>
      <c r="F150" s="46" t="s">
        <v>2601</v>
      </c>
      <c r="G150" s="46">
        <v>103315</v>
      </c>
      <c r="H150" s="46" t="s">
        <v>2607</v>
      </c>
      <c r="I150" s="46" t="s">
        <v>2617</v>
      </c>
      <c r="J150" s="46" t="s">
        <v>2731</v>
      </c>
      <c r="K150" s="46" t="s">
        <v>3309</v>
      </c>
      <c r="L150" s="46">
        <v>34</v>
      </c>
    </row>
    <row r="151" spans="1:12" x14ac:dyDescent="0.3">
      <c r="A151" s="46" t="s">
        <v>160</v>
      </c>
      <c r="B151" s="46">
        <f>LEN(Table2[[#This Row],[Employee ID]])</f>
        <v>7</v>
      </c>
      <c r="C151" s="46" t="s">
        <v>1457</v>
      </c>
      <c r="D151" s="47">
        <v>32296</v>
      </c>
      <c r="E151" s="47">
        <v>33927</v>
      </c>
      <c r="F151" s="46" t="s">
        <v>2604</v>
      </c>
      <c r="G151" s="46">
        <v>25959</v>
      </c>
      <c r="H151" s="46" t="s">
        <v>2610</v>
      </c>
      <c r="I151" s="46" t="s">
        <v>2616</v>
      </c>
      <c r="J151" s="46" t="s">
        <v>2751</v>
      </c>
      <c r="K151" s="46" t="s">
        <v>3306</v>
      </c>
      <c r="L151" s="46">
        <v>33</v>
      </c>
    </row>
    <row r="152" spans="1:12" x14ac:dyDescent="0.3">
      <c r="A152" s="46" t="s">
        <v>161</v>
      </c>
      <c r="B152" s="46">
        <f>LEN(Table2[[#This Row],[Employee ID]])</f>
        <v>7</v>
      </c>
      <c r="C152" s="46" t="s">
        <v>1458</v>
      </c>
      <c r="D152" s="47">
        <v>35287</v>
      </c>
      <c r="E152" s="47">
        <v>38307</v>
      </c>
      <c r="F152" s="46" t="s">
        <v>2604</v>
      </c>
      <c r="G152" s="46">
        <v>112404</v>
      </c>
      <c r="H152" s="46" t="s">
        <v>2611</v>
      </c>
      <c r="I152" s="46" t="s">
        <v>2617</v>
      </c>
      <c r="J152" s="46" t="s">
        <v>2752</v>
      </c>
      <c r="K152" s="46" t="s">
        <v>3307</v>
      </c>
      <c r="L152" s="46">
        <v>21</v>
      </c>
    </row>
    <row r="153" spans="1:12" x14ac:dyDescent="0.3">
      <c r="A153" s="46" t="s">
        <v>162</v>
      </c>
      <c r="B153" s="46">
        <f>LEN(Table2[[#This Row],[Employee ID]])</f>
        <v>7</v>
      </c>
      <c r="C153" s="46" t="s">
        <v>1459</v>
      </c>
      <c r="D153" s="47">
        <v>23306</v>
      </c>
      <c r="E153" s="47">
        <v>28373</v>
      </c>
      <c r="F153" s="46" t="s">
        <v>2602</v>
      </c>
      <c r="G153" s="46">
        <v>190883</v>
      </c>
      <c r="H153" s="46" t="s">
        <v>2611</v>
      </c>
      <c r="I153" s="46" t="s">
        <v>2616</v>
      </c>
      <c r="J153" s="46" t="s">
        <v>2732</v>
      </c>
      <c r="K153" s="46" t="s">
        <v>3304</v>
      </c>
      <c r="L153" s="46">
        <v>48</v>
      </c>
    </row>
    <row r="154" spans="1:12" x14ac:dyDescent="0.3">
      <c r="A154" s="46" t="s">
        <v>163</v>
      </c>
      <c r="B154" s="46">
        <f>LEN(Table2[[#This Row],[Employee ID]])</f>
        <v>7</v>
      </c>
      <c r="C154" s="46" t="s">
        <v>1460</v>
      </c>
      <c r="D154" s="47">
        <v>24253</v>
      </c>
      <c r="E154" s="47">
        <v>36687</v>
      </c>
      <c r="F154" s="46" t="s">
        <v>2603</v>
      </c>
      <c r="G154" s="46">
        <v>148372</v>
      </c>
      <c r="H154" s="46" t="s">
        <v>2606</v>
      </c>
      <c r="I154" s="46" t="s">
        <v>2617</v>
      </c>
      <c r="J154" s="46" t="s">
        <v>2753</v>
      </c>
      <c r="K154" s="46" t="s">
        <v>3304</v>
      </c>
      <c r="L154" s="46">
        <v>25</v>
      </c>
    </row>
    <row r="155" spans="1:12" x14ac:dyDescent="0.3">
      <c r="A155" s="46" t="s">
        <v>164</v>
      </c>
      <c r="B155" s="46">
        <f>LEN(Table2[[#This Row],[Employee ID]])</f>
        <v>7</v>
      </c>
      <c r="C155" s="46" t="s">
        <v>1461</v>
      </c>
      <c r="D155" s="47">
        <v>28125</v>
      </c>
      <c r="E155" s="47">
        <v>38696</v>
      </c>
      <c r="F155" s="46" t="s">
        <v>2602</v>
      </c>
      <c r="G155" s="46">
        <v>124448</v>
      </c>
      <c r="H155" s="46" t="s">
        <v>2614</v>
      </c>
      <c r="I155" s="46" t="s">
        <v>2616</v>
      </c>
      <c r="J155" s="46" t="s">
        <v>2689</v>
      </c>
      <c r="K155" s="46" t="s">
        <v>3305</v>
      </c>
      <c r="L155" s="46">
        <v>20</v>
      </c>
    </row>
    <row r="156" spans="1:12" x14ac:dyDescent="0.3">
      <c r="A156" s="46" t="s">
        <v>165</v>
      </c>
      <c r="B156" s="46">
        <f>LEN(Table2[[#This Row],[Employee ID]])</f>
        <v>7</v>
      </c>
      <c r="C156" s="46" t="s">
        <v>1462</v>
      </c>
      <c r="D156" s="47">
        <v>33293</v>
      </c>
      <c r="E156" s="47">
        <v>43439</v>
      </c>
      <c r="F156" s="46" t="s">
        <v>2602</v>
      </c>
      <c r="G156" s="46">
        <v>128542</v>
      </c>
      <c r="H156" s="46" t="s">
        <v>2606</v>
      </c>
      <c r="I156" s="46" t="s">
        <v>2617</v>
      </c>
      <c r="J156" s="46" t="s">
        <v>2754</v>
      </c>
      <c r="K156" s="46" t="s">
        <v>3306</v>
      </c>
      <c r="L156" s="46">
        <v>7</v>
      </c>
    </row>
    <row r="157" spans="1:12" x14ac:dyDescent="0.3">
      <c r="A157" s="46" t="s">
        <v>166</v>
      </c>
      <c r="B157" s="46">
        <f>LEN(Table2[[#This Row],[Employee ID]])</f>
        <v>7</v>
      </c>
      <c r="C157" s="46" t="s">
        <v>1463</v>
      </c>
      <c r="D157" s="47">
        <v>23944</v>
      </c>
      <c r="E157" s="47">
        <v>42550</v>
      </c>
      <c r="F157" s="46" t="s">
        <v>2605</v>
      </c>
      <c r="G157" s="46">
        <v>134866</v>
      </c>
      <c r="H157" s="46" t="s">
        <v>2609</v>
      </c>
      <c r="I157" s="46" t="s">
        <v>2616</v>
      </c>
      <c r="J157" s="46" t="s">
        <v>2755</v>
      </c>
      <c r="K157" s="46" t="s">
        <v>3310</v>
      </c>
      <c r="L157" s="46">
        <v>9</v>
      </c>
    </row>
    <row r="158" spans="1:12" x14ac:dyDescent="0.3">
      <c r="A158" s="46" t="s">
        <v>167</v>
      </c>
      <c r="B158" s="46">
        <f>LEN(Table2[[#This Row],[Employee ID]])</f>
        <v>7</v>
      </c>
      <c r="C158" s="46" t="s">
        <v>1464</v>
      </c>
      <c r="D158" s="47">
        <v>25954</v>
      </c>
      <c r="E158" s="47">
        <v>27297</v>
      </c>
      <c r="F158" s="46" t="s">
        <v>2602</v>
      </c>
      <c r="G158" s="46">
        <v>27985</v>
      </c>
      <c r="H158" s="46" t="s">
        <v>2615</v>
      </c>
      <c r="I158" s="46" t="s">
        <v>2617</v>
      </c>
      <c r="J158" s="46" t="s">
        <v>2756</v>
      </c>
      <c r="K158" s="46" t="s">
        <v>3310</v>
      </c>
      <c r="L158" s="46">
        <v>51</v>
      </c>
    </row>
    <row r="159" spans="1:12" x14ac:dyDescent="0.3">
      <c r="A159" s="46" t="s">
        <v>168</v>
      </c>
      <c r="B159" s="46">
        <f>LEN(Table2[[#This Row],[Employee ID]])</f>
        <v>7</v>
      </c>
      <c r="C159" s="46" t="s">
        <v>1465</v>
      </c>
      <c r="D159" s="47">
        <v>29786</v>
      </c>
      <c r="E159" s="47">
        <v>33631</v>
      </c>
      <c r="F159" s="46" t="s">
        <v>2601</v>
      </c>
      <c r="G159" s="46">
        <v>152082</v>
      </c>
      <c r="H159" s="46" t="s">
        <v>2611</v>
      </c>
      <c r="I159" s="46" t="s">
        <v>2616</v>
      </c>
      <c r="J159" s="46" t="s">
        <v>2757</v>
      </c>
      <c r="K159" s="46" t="s">
        <v>3307</v>
      </c>
      <c r="L159" s="46">
        <v>33</v>
      </c>
    </row>
    <row r="160" spans="1:12" x14ac:dyDescent="0.3">
      <c r="A160" s="46" t="s">
        <v>169</v>
      </c>
      <c r="B160" s="46">
        <f>LEN(Table2[[#This Row],[Employee ID]])</f>
        <v>7</v>
      </c>
      <c r="C160" s="46" t="s">
        <v>1466</v>
      </c>
      <c r="D160" s="47">
        <v>21855</v>
      </c>
      <c r="E160" s="47">
        <v>33032</v>
      </c>
      <c r="F160" s="46" t="s">
        <v>2600</v>
      </c>
      <c r="G160" s="46">
        <v>155343</v>
      </c>
      <c r="H160" s="46" t="s">
        <v>2607</v>
      </c>
      <c r="I160" s="46" t="s">
        <v>2616</v>
      </c>
      <c r="J160" s="46" t="s">
        <v>2758</v>
      </c>
      <c r="K160" s="46" t="s">
        <v>3309</v>
      </c>
      <c r="L160" s="46">
        <v>35</v>
      </c>
    </row>
    <row r="161" spans="1:12" x14ac:dyDescent="0.3">
      <c r="A161" s="46" t="s">
        <v>170</v>
      </c>
      <c r="B161" s="46">
        <f>LEN(Table2[[#This Row],[Employee ID]])</f>
        <v>7</v>
      </c>
      <c r="C161" s="46" t="s">
        <v>1467</v>
      </c>
      <c r="D161" s="47">
        <v>24685</v>
      </c>
      <c r="E161" s="47">
        <v>27172</v>
      </c>
      <c r="F161" s="46" t="s">
        <v>2604</v>
      </c>
      <c r="G161" s="46">
        <v>41459</v>
      </c>
      <c r="H161" s="46" t="s">
        <v>2611</v>
      </c>
      <c r="I161" s="46" t="s">
        <v>2616</v>
      </c>
      <c r="J161" s="46" t="s">
        <v>2759</v>
      </c>
      <c r="K161" s="46" t="s">
        <v>3310</v>
      </c>
      <c r="L161" s="46">
        <v>51</v>
      </c>
    </row>
    <row r="162" spans="1:12" x14ac:dyDescent="0.3">
      <c r="A162" s="46" t="s">
        <v>171</v>
      </c>
      <c r="B162" s="46">
        <f>LEN(Table2[[#This Row],[Employee ID]])</f>
        <v>7</v>
      </c>
      <c r="C162" s="46" t="s">
        <v>1468</v>
      </c>
      <c r="D162" s="47">
        <v>28877</v>
      </c>
      <c r="E162" s="47">
        <v>30545</v>
      </c>
      <c r="F162" s="46" t="s">
        <v>2604</v>
      </c>
      <c r="G162" s="46">
        <v>106426</v>
      </c>
      <c r="H162" s="46" t="s">
        <v>2612</v>
      </c>
      <c r="I162" s="46" t="s">
        <v>2617</v>
      </c>
      <c r="J162" s="46" t="s">
        <v>2760</v>
      </c>
      <c r="K162" s="46" t="s">
        <v>3310</v>
      </c>
      <c r="L162" s="46">
        <v>42</v>
      </c>
    </row>
    <row r="163" spans="1:12" x14ac:dyDescent="0.3">
      <c r="A163" s="46" t="s">
        <v>172</v>
      </c>
      <c r="B163" s="46">
        <f>LEN(Table2[[#This Row],[Employee ID]])</f>
        <v>7</v>
      </c>
      <c r="C163" s="46" t="s">
        <v>1469</v>
      </c>
      <c r="D163" s="47">
        <v>27003</v>
      </c>
      <c r="E163" s="47">
        <v>27836</v>
      </c>
      <c r="F163" s="46" t="s">
        <v>2604</v>
      </c>
      <c r="G163" s="46">
        <v>48541</v>
      </c>
      <c r="H163" s="46" t="s">
        <v>2608</v>
      </c>
      <c r="I163" s="46" t="s">
        <v>2616</v>
      </c>
      <c r="J163" s="46" t="s">
        <v>2761</v>
      </c>
      <c r="K163" s="46" t="s">
        <v>3305</v>
      </c>
      <c r="L163" s="46">
        <v>49</v>
      </c>
    </row>
    <row r="164" spans="1:12" x14ac:dyDescent="0.3">
      <c r="A164" s="46" t="s">
        <v>173</v>
      </c>
      <c r="B164" s="46">
        <f>LEN(Table2[[#This Row],[Employee ID]])</f>
        <v>7</v>
      </c>
      <c r="C164" s="46" t="s">
        <v>1470</v>
      </c>
      <c r="D164" s="47">
        <v>33085</v>
      </c>
      <c r="E164" s="47">
        <v>43424</v>
      </c>
      <c r="F164" s="46" t="s">
        <v>2604</v>
      </c>
      <c r="G164" s="46">
        <v>107196</v>
      </c>
      <c r="H164" s="46" t="s">
        <v>2611</v>
      </c>
      <c r="I164" s="46" t="s">
        <v>2616</v>
      </c>
      <c r="J164" s="46" t="s">
        <v>2762</v>
      </c>
      <c r="K164" s="46" t="s">
        <v>3306</v>
      </c>
      <c r="L164" s="46">
        <v>7</v>
      </c>
    </row>
    <row r="165" spans="1:12" x14ac:dyDescent="0.3">
      <c r="A165" s="46" t="s">
        <v>174</v>
      </c>
      <c r="B165" s="46">
        <f>LEN(Table2[[#This Row],[Employee ID]])</f>
        <v>7</v>
      </c>
      <c r="C165" s="46" t="s">
        <v>1471</v>
      </c>
      <c r="D165" s="47">
        <v>32743</v>
      </c>
      <c r="E165" s="47">
        <v>26519</v>
      </c>
      <c r="F165" s="46" t="s">
        <v>2603</v>
      </c>
      <c r="G165" s="46">
        <v>121595</v>
      </c>
      <c r="H165" s="46" t="s">
        <v>2607</v>
      </c>
      <c r="I165" s="46" t="s">
        <v>2616</v>
      </c>
      <c r="J165" s="46" t="s">
        <v>2751</v>
      </c>
      <c r="K165" s="46" t="s">
        <v>3308</v>
      </c>
      <c r="L165" s="46">
        <v>53</v>
      </c>
    </row>
    <row r="166" spans="1:12" x14ac:dyDescent="0.3">
      <c r="A166" s="46" t="s">
        <v>175</v>
      </c>
      <c r="B166" s="46">
        <f>LEN(Table2[[#This Row],[Employee ID]])</f>
        <v>7</v>
      </c>
      <c r="C166" s="46" t="s">
        <v>1472</v>
      </c>
      <c r="D166" s="47">
        <v>27722</v>
      </c>
      <c r="E166" s="47">
        <v>30020</v>
      </c>
      <c r="F166" s="46" t="s">
        <v>2603</v>
      </c>
      <c r="G166" s="46">
        <v>125028</v>
      </c>
      <c r="H166" s="46" t="s">
        <v>2608</v>
      </c>
      <c r="I166" s="46" t="s">
        <v>2617</v>
      </c>
      <c r="J166" s="46" t="s">
        <v>2728</v>
      </c>
      <c r="K166" s="46" t="s">
        <v>3304</v>
      </c>
      <c r="L166" s="46">
        <v>43</v>
      </c>
    </row>
    <row r="167" spans="1:12" x14ac:dyDescent="0.3">
      <c r="A167" s="46" t="s">
        <v>176</v>
      </c>
      <c r="B167" s="46">
        <f>LEN(Table2[[#This Row],[Employee ID]])</f>
        <v>7</v>
      </c>
      <c r="C167" s="46" t="s">
        <v>1473</v>
      </c>
      <c r="D167" s="47">
        <v>33516</v>
      </c>
      <c r="E167" s="47">
        <v>28068</v>
      </c>
      <c r="F167" s="46" t="s">
        <v>2604</v>
      </c>
      <c r="G167" s="46">
        <v>171175</v>
      </c>
      <c r="H167" s="46" t="s">
        <v>2615</v>
      </c>
      <c r="I167" s="46" t="s">
        <v>2617</v>
      </c>
      <c r="J167" s="46" t="s">
        <v>2763</v>
      </c>
      <c r="K167" s="46" t="s">
        <v>3309</v>
      </c>
      <c r="L167" s="46">
        <v>49</v>
      </c>
    </row>
    <row r="168" spans="1:12" x14ac:dyDescent="0.3">
      <c r="A168" s="46" t="s">
        <v>177</v>
      </c>
      <c r="B168" s="46">
        <f>LEN(Table2[[#This Row],[Employee ID]])</f>
        <v>7</v>
      </c>
      <c r="C168" s="46" t="s">
        <v>1474</v>
      </c>
      <c r="D168" s="47">
        <v>33332</v>
      </c>
      <c r="E168" s="47">
        <v>26212</v>
      </c>
      <c r="F168" s="46" t="s">
        <v>2602</v>
      </c>
      <c r="G168" s="46">
        <v>113135</v>
      </c>
      <c r="H168" s="46" t="s">
        <v>2608</v>
      </c>
      <c r="I168" s="46" t="s">
        <v>2616</v>
      </c>
      <c r="J168" s="46" t="s">
        <v>2764</v>
      </c>
      <c r="K168" s="46" t="s">
        <v>3305</v>
      </c>
      <c r="L168" s="46">
        <v>54</v>
      </c>
    </row>
    <row r="169" spans="1:12" x14ac:dyDescent="0.3">
      <c r="A169" s="46" t="s">
        <v>178</v>
      </c>
      <c r="B169" s="46">
        <f>LEN(Table2[[#This Row],[Employee ID]])</f>
        <v>7</v>
      </c>
      <c r="C169" s="46" t="s">
        <v>1475</v>
      </c>
      <c r="D169" s="47">
        <v>33751</v>
      </c>
      <c r="E169" s="47">
        <v>38269</v>
      </c>
      <c r="F169" s="46" t="s">
        <v>2605</v>
      </c>
      <c r="G169" s="46">
        <v>190299</v>
      </c>
      <c r="H169" s="46" t="s">
        <v>2607</v>
      </c>
      <c r="I169" s="46" t="s">
        <v>2617</v>
      </c>
      <c r="J169" s="46" t="s">
        <v>2765</v>
      </c>
      <c r="K169" s="46" t="s">
        <v>3304</v>
      </c>
      <c r="L169" s="46">
        <v>21</v>
      </c>
    </row>
    <row r="170" spans="1:12" x14ac:dyDescent="0.3">
      <c r="A170" s="46" t="s">
        <v>179</v>
      </c>
      <c r="B170" s="46">
        <f>LEN(Table2[[#This Row],[Employee ID]])</f>
        <v>7</v>
      </c>
      <c r="C170" s="46" t="s">
        <v>1476</v>
      </c>
      <c r="D170" s="47">
        <v>35933</v>
      </c>
      <c r="E170" s="47">
        <v>27638</v>
      </c>
      <c r="F170" s="46" t="s">
        <v>2599</v>
      </c>
      <c r="G170" s="46">
        <v>199943</v>
      </c>
      <c r="H170" s="46" t="s">
        <v>2615</v>
      </c>
      <c r="I170" s="46" t="s">
        <v>2617</v>
      </c>
      <c r="J170" s="46" t="s">
        <v>2766</v>
      </c>
      <c r="K170" s="46" t="s">
        <v>3304</v>
      </c>
      <c r="L170" s="46">
        <v>50</v>
      </c>
    </row>
    <row r="171" spans="1:12" x14ac:dyDescent="0.3">
      <c r="A171" s="46" t="s">
        <v>180</v>
      </c>
      <c r="B171" s="46">
        <f>LEN(Table2[[#This Row],[Employee ID]])</f>
        <v>7</v>
      </c>
      <c r="C171" s="46" t="s">
        <v>1477</v>
      </c>
      <c r="D171" s="47">
        <v>33044</v>
      </c>
      <c r="E171" s="47">
        <v>39661</v>
      </c>
      <c r="F171" s="46" t="s">
        <v>2599</v>
      </c>
      <c r="G171" s="46">
        <v>159613</v>
      </c>
      <c r="H171" s="46" t="s">
        <v>2610</v>
      </c>
      <c r="I171" s="46" t="s">
        <v>2617</v>
      </c>
      <c r="J171" s="46" t="s">
        <v>2767</v>
      </c>
      <c r="K171" s="46" t="s">
        <v>3306</v>
      </c>
      <c r="L171" s="46">
        <v>17</v>
      </c>
    </row>
    <row r="172" spans="1:12" x14ac:dyDescent="0.3">
      <c r="A172" s="46" t="s">
        <v>181</v>
      </c>
      <c r="B172" s="46">
        <f>LEN(Table2[[#This Row],[Employee ID]])</f>
        <v>7</v>
      </c>
      <c r="C172" s="46" t="s">
        <v>1478</v>
      </c>
      <c r="D172" s="47">
        <v>31135</v>
      </c>
      <c r="E172" s="47">
        <v>26117</v>
      </c>
      <c r="F172" s="46" t="s">
        <v>2604</v>
      </c>
      <c r="G172" s="46">
        <v>29879</v>
      </c>
      <c r="H172" s="46" t="s">
        <v>2611</v>
      </c>
      <c r="I172" s="46" t="s">
        <v>2617</v>
      </c>
      <c r="J172" s="46" t="s">
        <v>2673</v>
      </c>
      <c r="K172" s="46" t="s">
        <v>3305</v>
      </c>
      <c r="L172" s="46">
        <v>54</v>
      </c>
    </row>
    <row r="173" spans="1:12" x14ac:dyDescent="0.3">
      <c r="A173" s="46" t="s">
        <v>182</v>
      </c>
      <c r="B173" s="46">
        <f>LEN(Table2[[#This Row],[Employee ID]])</f>
        <v>7</v>
      </c>
      <c r="C173" s="46" t="s">
        <v>1479</v>
      </c>
      <c r="D173" s="47">
        <v>30942</v>
      </c>
      <c r="E173" s="47">
        <v>39061</v>
      </c>
      <c r="F173" s="46" t="s">
        <v>2602</v>
      </c>
      <c r="G173" s="46">
        <v>29720</v>
      </c>
      <c r="H173" s="46" t="s">
        <v>2612</v>
      </c>
      <c r="I173" s="46" t="s">
        <v>2616</v>
      </c>
      <c r="J173" s="46" t="s">
        <v>2768</v>
      </c>
      <c r="K173" s="46" t="s">
        <v>3308</v>
      </c>
      <c r="L173" s="46">
        <v>19</v>
      </c>
    </row>
    <row r="174" spans="1:12" x14ac:dyDescent="0.3">
      <c r="A174" s="46" t="s">
        <v>183</v>
      </c>
      <c r="B174" s="46">
        <f>LEN(Table2[[#This Row],[Employee ID]])</f>
        <v>7</v>
      </c>
      <c r="C174" s="46" t="s">
        <v>1480</v>
      </c>
      <c r="D174" s="47">
        <v>36706</v>
      </c>
      <c r="E174" s="47">
        <v>35891</v>
      </c>
      <c r="F174" s="46" t="s">
        <v>2604</v>
      </c>
      <c r="G174" s="46">
        <v>97738</v>
      </c>
      <c r="H174" s="46" t="s">
        <v>2612</v>
      </c>
      <c r="I174" s="46" t="s">
        <v>2617</v>
      </c>
      <c r="J174" s="46" t="s">
        <v>2769</v>
      </c>
      <c r="K174" s="46" t="s">
        <v>3309</v>
      </c>
      <c r="L174" s="46">
        <v>27</v>
      </c>
    </row>
    <row r="175" spans="1:12" x14ac:dyDescent="0.3">
      <c r="A175" s="46" t="s">
        <v>184</v>
      </c>
      <c r="B175" s="46">
        <f>LEN(Table2[[#This Row],[Employee ID]])</f>
        <v>7</v>
      </c>
      <c r="C175" s="46" t="s">
        <v>1481</v>
      </c>
      <c r="D175" s="47">
        <v>32861</v>
      </c>
      <c r="E175" s="47">
        <v>29664</v>
      </c>
      <c r="F175" s="46" t="s">
        <v>2605</v>
      </c>
      <c r="G175" s="46">
        <v>132497</v>
      </c>
      <c r="H175" s="46" t="s">
        <v>2613</v>
      </c>
      <c r="I175" s="46" t="s">
        <v>2617</v>
      </c>
      <c r="J175" s="46" t="s">
        <v>2770</v>
      </c>
      <c r="K175" s="46" t="s">
        <v>3306</v>
      </c>
      <c r="L175" s="46">
        <v>44</v>
      </c>
    </row>
    <row r="176" spans="1:12" x14ac:dyDescent="0.3">
      <c r="A176" s="46" t="s">
        <v>185</v>
      </c>
      <c r="B176" s="46">
        <f>LEN(Table2[[#This Row],[Employee ID]])</f>
        <v>7</v>
      </c>
      <c r="C176" s="46" t="s">
        <v>1482</v>
      </c>
      <c r="D176" s="47">
        <v>34259</v>
      </c>
      <c r="E176" s="47">
        <v>40541</v>
      </c>
      <c r="F176" s="46" t="s">
        <v>2603</v>
      </c>
      <c r="G176" s="46">
        <v>115779</v>
      </c>
      <c r="H176" s="46" t="s">
        <v>2609</v>
      </c>
      <c r="I176" s="46" t="s">
        <v>2616</v>
      </c>
      <c r="J176" s="46" t="s">
        <v>2771</v>
      </c>
      <c r="K176" s="46" t="s">
        <v>3307</v>
      </c>
      <c r="L176" s="46">
        <v>15</v>
      </c>
    </row>
    <row r="177" spans="1:12" x14ac:dyDescent="0.3">
      <c r="A177" s="46" t="s">
        <v>186</v>
      </c>
      <c r="B177" s="46">
        <f>LEN(Table2[[#This Row],[Employee ID]])</f>
        <v>7</v>
      </c>
      <c r="C177" s="46" t="s">
        <v>1483</v>
      </c>
      <c r="D177" s="47">
        <v>31657</v>
      </c>
      <c r="E177" s="47">
        <v>41740</v>
      </c>
      <c r="F177" s="46" t="s">
        <v>2600</v>
      </c>
      <c r="G177" s="46">
        <v>165446</v>
      </c>
      <c r="H177" s="46" t="s">
        <v>2615</v>
      </c>
      <c r="I177" s="46" t="s">
        <v>2617</v>
      </c>
      <c r="J177" s="46" t="s">
        <v>2769</v>
      </c>
      <c r="K177" s="46" t="s">
        <v>3308</v>
      </c>
      <c r="L177" s="46">
        <v>11</v>
      </c>
    </row>
    <row r="178" spans="1:12" x14ac:dyDescent="0.3">
      <c r="A178" s="46" t="s">
        <v>187</v>
      </c>
      <c r="B178" s="46">
        <f>LEN(Table2[[#This Row],[Employee ID]])</f>
        <v>7</v>
      </c>
      <c r="C178" s="46" t="s">
        <v>1484</v>
      </c>
      <c r="D178" s="47">
        <v>22388</v>
      </c>
      <c r="E178" s="47">
        <v>42052</v>
      </c>
      <c r="F178" s="46" t="s">
        <v>2604</v>
      </c>
      <c r="G178" s="46">
        <v>159167</v>
      </c>
      <c r="H178" s="46" t="s">
        <v>2610</v>
      </c>
      <c r="I178" s="46" t="s">
        <v>2617</v>
      </c>
      <c r="J178" s="46" t="s">
        <v>2772</v>
      </c>
      <c r="K178" s="46" t="s">
        <v>3304</v>
      </c>
      <c r="L178" s="46">
        <v>10</v>
      </c>
    </row>
    <row r="179" spans="1:12" x14ac:dyDescent="0.3">
      <c r="A179" s="46" t="s">
        <v>188</v>
      </c>
      <c r="B179" s="46">
        <f>LEN(Table2[[#This Row],[Employee ID]])</f>
        <v>7</v>
      </c>
      <c r="C179" s="46" t="s">
        <v>1485</v>
      </c>
      <c r="D179" s="47">
        <v>36353</v>
      </c>
      <c r="E179" s="47">
        <v>34406</v>
      </c>
      <c r="F179" s="46" t="s">
        <v>2605</v>
      </c>
      <c r="G179" s="46">
        <v>159423</v>
      </c>
      <c r="H179" s="46" t="s">
        <v>2615</v>
      </c>
      <c r="I179" s="46" t="s">
        <v>2617</v>
      </c>
      <c r="J179" s="46" t="s">
        <v>2773</v>
      </c>
      <c r="K179" s="46" t="s">
        <v>3309</v>
      </c>
      <c r="L179" s="46">
        <v>31</v>
      </c>
    </row>
    <row r="180" spans="1:12" x14ac:dyDescent="0.3">
      <c r="A180" s="46" t="s">
        <v>189</v>
      </c>
      <c r="B180" s="46">
        <f>LEN(Table2[[#This Row],[Employee ID]])</f>
        <v>7</v>
      </c>
      <c r="C180" s="46" t="s">
        <v>1486</v>
      </c>
      <c r="D180" s="47">
        <v>22915</v>
      </c>
      <c r="E180" s="47">
        <v>33653</v>
      </c>
      <c r="F180" s="46" t="s">
        <v>2602</v>
      </c>
      <c r="G180" s="46">
        <v>24102</v>
      </c>
      <c r="H180" s="46" t="s">
        <v>2609</v>
      </c>
      <c r="I180" s="46" t="s">
        <v>2616</v>
      </c>
      <c r="J180" s="46" t="s">
        <v>2774</v>
      </c>
      <c r="K180" s="46" t="s">
        <v>3304</v>
      </c>
      <c r="L180" s="46">
        <v>33</v>
      </c>
    </row>
    <row r="181" spans="1:12" x14ac:dyDescent="0.3">
      <c r="A181" s="46" t="s">
        <v>190</v>
      </c>
      <c r="B181" s="46">
        <f>LEN(Table2[[#This Row],[Employee ID]])</f>
        <v>7</v>
      </c>
      <c r="C181" s="46" t="s">
        <v>1487</v>
      </c>
      <c r="D181" s="47">
        <v>25343</v>
      </c>
      <c r="E181" s="47">
        <v>44615</v>
      </c>
      <c r="F181" s="46" t="s">
        <v>2601</v>
      </c>
      <c r="G181" s="46">
        <v>188772</v>
      </c>
      <c r="H181" s="46" t="s">
        <v>2611</v>
      </c>
      <c r="I181" s="46" t="s">
        <v>2617</v>
      </c>
      <c r="J181" s="46" t="s">
        <v>2775</v>
      </c>
      <c r="K181" s="46" t="s">
        <v>3304</v>
      </c>
      <c r="L181" s="46">
        <v>3</v>
      </c>
    </row>
    <row r="182" spans="1:12" x14ac:dyDescent="0.3">
      <c r="A182" s="46" t="s">
        <v>191</v>
      </c>
      <c r="B182" s="46">
        <f>LEN(Table2[[#This Row],[Employee ID]])</f>
        <v>7</v>
      </c>
      <c r="C182" s="46" t="s">
        <v>1488</v>
      </c>
      <c r="D182" s="47">
        <v>30453</v>
      </c>
      <c r="E182" s="47">
        <v>33208</v>
      </c>
      <c r="F182" s="46" t="s">
        <v>2602</v>
      </c>
      <c r="G182" s="46">
        <v>77497</v>
      </c>
      <c r="H182" s="46" t="s">
        <v>2615</v>
      </c>
      <c r="I182" s="46" t="s">
        <v>2616</v>
      </c>
      <c r="J182" s="46" t="s">
        <v>2776</v>
      </c>
      <c r="K182" s="46" t="s">
        <v>3310</v>
      </c>
      <c r="L182" s="46">
        <v>35</v>
      </c>
    </row>
    <row r="183" spans="1:12" x14ac:dyDescent="0.3">
      <c r="A183" s="46" t="s">
        <v>192</v>
      </c>
      <c r="B183" s="46">
        <f>LEN(Table2[[#This Row],[Employee ID]])</f>
        <v>7</v>
      </c>
      <c r="C183" s="46" t="s">
        <v>1489</v>
      </c>
      <c r="D183" s="47">
        <v>33065</v>
      </c>
      <c r="E183" s="47">
        <v>27663</v>
      </c>
      <c r="F183" s="46" t="s">
        <v>2604</v>
      </c>
      <c r="G183" s="46">
        <v>195196</v>
      </c>
      <c r="H183" s="46" t="s">
        <v>2607</v>
      </c>
      <c r="I183" s="46" t="s">
        <v>2616</v>
      </c>
      <c r="J183" s="46" t="s">
        <v>2777</v>
      </c>
      <c r="K183" s="46" t="s">
        <v>3305</v>
      </c>
      <c r="L183" s="46">
        <v>50</v>
      </c>
    </row>
    <row r="184" spans="1:12" x14ac:dyDescent="0.3">
      <c r="A184" s="46" t="s">
        <v>193</v>
      </c>
      <c r="B184" s="46">
        <f>LEN(Table2[[#This Row],[Employee ID]])</f>
        <v>7</v>
      </c>
      <c r="C184" s="46" t="s">
        <v>1490</v>
      </c>
      <c r="D184" s="47">
        <v>37142</v>
      </c>
      <c r="E184" s="47">
        <v>27497</v>
      </c>
      <c r="F184" s="46" t="s">
        <v>2605</v>
      </c>
      <c r="G184" s="46">
        <v>177819</v>
      </c>
      <c r="H184" s="46" t="s">
        <v>2606</v>
      </c>
      <c r="I184" s="46" t="s">
        <v>2616</v>
      </c>
      <c r="J184" s="46" t="s">
        <v>2778</v>
      </c>
      <c r="K184" s="46" t="s">
        <v>3304</v>
      </c>
      <c r="L184" s="46">
        <v>50</v>
      </c>
    </row>
    <row r="185" spans="1:12" x14ac:dyDescent="0.3">
      <c r="A185" s="46" t="s">
        <v>194</v>
      </c>
      <c r="B185" s="46">
        <f>LEN(Table2[[#This Row],[Employee ID]])</f>
        <v>7</v>
      </c>
      <c r="C185" s="46" t="s">
        <v>1491</v>
      </c>
      <c r="D185" s="47">
        <v>23674</v>
      </c>
      <c r="E185" s="47">
        <v>31818</v>
      </c>
      <c r="F185" s="46" t="s">
        <v>2604</v>
      </c>
      <c r="G185" s="46">
        <v>122286</v>
      </c>
      <c r="H185" s="46" t="s">
        <v>2611</v>
      </c>
      <c r="I185" s="46" t="s">
        <v>2617</v>
      </c>
      <c r="J185" s="46" t="s">
        <v>2779</v>
      </c>
      <c r="K185" s="46" t="s">
        <v>3309</v>
      </c>
      <c r="L185" s="46">
        <v>38</v>
      </c>
    </row>
    <row r="186" spans="1:12" x14ac:dyDescent="0.3">
      <c r="A186" s="46" t="s">
        <v>195</v>
      </c>
      <c r="B186" s="46">
        <f>LEN(Table2[[#This Row],[Employee ID]])</f>
        <v>7</v>
      </c>
      <c r="C186" s="46" t="s">
        <v>1492</v>
      </c>
      <c r="D186" s="47">
        <v>35724</v>
      </c>
      <c r="E186" s="47">
        <v>36907</v>
      </c>
      <c r="F186" s="46" t="s">
        <v>2605</v>
      </c>
      <c r="G186" s="46">
        <v>188898</v>
      </c>
      <c r="H186" s="46" t="s">
        <v>2611</v>
      </c>
      <c r="I186" s="46" t="s">
        <v>2616</v>
      </c>
      <c r="J186" s="46" t="s">
        <v>2780</v>
      </c>
      <c r="K186" s="46" t="s">
        <v>3309</v>
      </c>
      <c r="L186" s="46">
        <v>24</v>
      </c>
    </row>
    <row r="187" spans="1:12" x14ac:dyDescent="0.3">
      <c r="A187" s="46" t="s">
        <v>196</v>
      </c>
      <c r="B187" s="46">
        <f>LEN(Table2[[#This Row],[Employee ID]])</f>
        <v>7</v>
      </c>
      <c r="C187" s="46" t="s">
        <v>1493</v>
      </c>
      <c r="D187" s="47">
        <v>33942</v>
      </c>
      <c r="E187" s="47">
        <v>31705</v>
      </c>
      <c r="F187" s="46" t="s">
        <v>2603</v>
      </c>
      <c r="G187" s="46">
        <v>118487</v>
      </c>
      <c r="H187" s="46" t="s">
        <v>2606</v>
      </c>
      <c r="I187" s="46" t="s">
        <v>2617</v>
      </c>
      <c r="J187" s="46" t="s">
        <v>2781</v>
      </c>
      <c r="K187" s="46" t="s">
        <v>3310</v>
      </c>
      <c r="L187" s="46">
        <v>39</v>
      </c>
    </row>
    <row r="188" spans="1:12" x14ac:dyDescent="0.3">
      <c r="A188" s="46" t="s">
        <v>197</v>
      </c>
      <c r="B188" s="46">
        <f>LEN(Table2[[#This Row],[Employee ID]])</f>
        <v>7</v>
      </c>
      <c r="C188" s="46" t="s">
        <v>1494</v>
      </c>
      <c r="D188" s="47">
        <v>24688</v>
      </c>
      <c r="E188" s="47">
        <v>43618</v>
      </c>
      <c r="F188" s="46" t="s">
        <v>2603</v>
      </c>
      <c r="G188" s="46">
        <v>180975</v>
      </c>
      <c r="H188" s="46" t="s">
        <v>2610</v>
      </c>
      <c r="I188" s="46" t="s">
        <v>2616</v>
      </c>
      <c r="J188" s="46" t="s">
        <v>2782</v>
      </c>
      <c r="K188" s="46" t="s">
        <v>3304</v>
      </c>
      <c r="L188" s="46">
        <v>6</v>
      </c>
    </row>
    <row r="189" spans="1:12" x14ac:dyDescent="0.3">
      <c r="A189" s="46" t="s">
        <v>198</v>
      </c>
      <c r="B189" s="46">
        <f>LEN(Table2[[#This Row],[Employee ID]])</f>
        <v>7</v>
      </c>
      <c r="C189" s="46" t="s">
        <v>1495</v>
      </c>
      <c r="D189" s="47">
        <v>23556</v>
      </c>
      <c r="E189" s="47">
        <v>40633</v>
      </c>
      <c r="F189" s="46" t="s">
        <v>2602</v>
      </c>
      <c r="G189" s="46">
        <v>135474</v>
      </c>
      <c r="H189" s="46" t="s">
        <v>2612</v>
      </c>
      <c r="I189" s="46" t="s">
        <v>2616</v>
      </c>
      <c r="J189" s="46" t="s">
        <v>2783</v>
      </c>
      <c r="K189" s="46" t="s">
        <v>3310</v>
      </c>
      <c r="L189" s="46">
        <v>14</v>
      </c>
    </row>
    <row r="190" spans="1:12" x14ac:dyDescent="0.3">
      <c r="A190" s="46" t="s">
        <v>199</v>
      </c>
      <c r="B190" s="46">
        <f>LEN(Table2[[#This Row],[Employee ID]])</f>
        <v>7</v>
      </c>
      <c r="C190" s="46" t="s">
        <v>1496</v>
      </c>
      <c r="D190" s="47">
        <v>23668</v>
      </c>
      <c r="E190" s="47">
        <v>43670</v>
      </c>
      <c r="F190" s="46" t="s">
        <v>2605</v>
      </c>
      <c r="G190" s="46">
        <v>24316</v>
      </c>
      <c r="H190" s="46" t="s">
        <v>2614</v>
      </c>
      <c r="I190" s="46" t="s">
        <v>2617</v>
      </c>
      <c r="J190" s="46" t="s">
        <v>2784</v>
      </c>
      <c r="K190" s="46" t="s">
        <v>3304</v>
      </c>
      <c r="L190" s="46">
        <v>6</v>
      </c>
    </row>
    <row r="191" spans="1:12" x14ac:dyDescent="0.3">
      <c r="A191" s="46" t="s">
        <v>200</v>
      </c>
      <c r="B191" s="46">
        <f>LEN(Table2[[#This Row],[Employee ID]])</f>
        <v>7</v>
      </c>
      <c r="C191" s="46" t="s">
        <v>1497</v>
      </c>
      <c r="D191" s="47">
        <v>31352</v>
      </c>
      <c r="E191" s="47">
        <v>39805</v>
      </c>
      <c r="F191" s="46" t="s">
        <v>2599</v>
      </c>
      <c r="G191" s="46">
        <v>99999</v>
      </c>
      <c r="H191" s="46" t="s">
        <v>2612</v>
      </c>
      <c r="I191" s="46" t="s">
        <v>2617</v>
      </c>
      <c r="J191" s="46" t="s">
        <v>2772</v>
      </c>
      <c r="K191" s="46" t="s">
        <v>3307</v>
      </c>
      <c r="L191" s="46">
        <v>17</v>
      </c>
    </row>
    <row r="192" spans="1:12" x14ac:dyDescent="0.3">
      <c r="A192" s="46" t="s">
        <v>201</v>
      </c>
      <c r="B192" s="46">
        <f>LEN(Table2[[#This Row],[Employee ID]])</f>
        <v>7</v>
      </c>
      <c r="C192" s="46" t="s">
        <v>1498</v>
      </c>
      <c r="D192" s="47">
        <v>31714</v>
      </c>
      <c r="E192" s="47">
        <v>37527</v>
      </c>
      <c r="F192" s="46" t="s">
        <v>2602</v>
      </c>
      <c r="G192" s="46">
        <v>134731</v>
      </c>
      <c r="H192" s="46" t="s">
        <v>2610</v>
      </c>
      <c r="I192" s="46" t="s">
        <v>2617</v>
      </c>
      <c r="J192" s="46" t="s">
        <v>2785</v>
      </c>
      <c r="K192" s="46" t="s">
        <v>3310</v>
      </c>
      <c r="L192" s="46">
        <v>23</v>
      </c>
    </row>
    <row r="193" spans="1:12" x14ac:dyDescent="0.3">
      <c r="A193" s="46" t="s">
        <v>202</v>
      </c>
      <c r="B193" s="46">
        <f>LEN(Table2[[#This Row],[Employee ID]])</f>
        <v>7</v>
      </c>
      <c r="C193" s="46" t="s">
        <v>1499</v>
      </c>
      <c r="D193" s="47">
        <v>36868</v>
      </c>
      <c r="E193" s="47">
        <v>43464</v>
      </c>
      <c r="F193" s="46" t="s">
        <v>2602</v>
      </c>
      <c r="G193" s="46">
        <v>90561</v>
      </c>
      <c r="H193" s="46" t="s">
        <v>2614</v>
      </c>
      <c r="I193" s="46" t="s">
        <v>2617</v>
      </c>
      <c r="J193" s="46" t="s">
        <v>2786</v>
      </c>
      <c r="K193" s="46" t="s">
        <v>3310</v>
      </c>
      <c r="L193" s="46">
        <v>7</v>
      </c>
    </row>
    <row r="194" spans="1:12" x14ac:dyDescent="0.3">
      <c r="A194" s="46" t="s">
        <v>203</v>
      </c>
      <c r="B194" s="46">
        <f>LEN(Table2[[#This Row],[Employee ID]])</f>
        <v>7</v>
      </c>
      <c r="C194" s="46" t="s">
        <v>1500</v>
      </c>
      <c r="D194" s="47">
        <v>22490</v>
      </c>
      <c r="E194" s="47">
        <v>27787</v>
      </c>
      <c r="F194" s="46" t="s">
        <v>2602</v>
      </c>
      <c r="G194" s="46">
        <v>195401</v>
      </c>
      <c r="H194" s="46" t="s">
        <v>2615</v>
      </c>
      <c r="I194" s="46" t="s">
        <v>2616</v>
      </c>
      <c r="J194" s="46" t="s">
        <v>2787</v>
      </c>
      <c r="K194" s="46" t="s">
        <v>3310</v>
      </c>
      <c r="L194" s="46">
        <v>49</v>
      </c>
    </row>
    <row r="195" spans="1:12" x14ac:dyDescent="0.3">
      <c r="A195" s="46" t="s">
        <v>204</v>
      </c>
      <c r="B195" s="46">
        <f>LEN(Table2[[#This Row],[Employee ID]])</f>
        <v>7</v>
      </c>
      <c r="C195" s="46" t="s">
        <v>1501</v>
      </c>
      <c r="D195" s="47">
        <v>33028</v>
      </c>
      <c r="E195" s="47">
        <v>42219</v>
      </c>
      <c r="F195" s="46" t="s">
        <v>2601</v>
      </c>
      <c r="G195" s="46">
        <v>122332</v>
      </c>
      <c r="H195" s="46" t="s">
        <v>2613</v>
      </c>
      <c r="I195" s="46" t="s">
        <v>2617</v>
      </c>
      <c r="J195" s="46" t="s">
        <v>2788</v>
      </c>
      <c r="K195" s="46" t="s">
        <v>3306</v>
      </c>
      <c r="L195" s="46">
        <v>10</v>
      </c>
    </row>
    <row r="196" spans="1:12" x14ac:dyDescent="0.3">
      <c r="A196" s="46" t="s">
        <v>205</v>
      </c>
      <c r="B196" s="46">
        <f>LEN(Table2[[#This Row],[Employee ID]])</f>
        <v>7</v>
      </c>
      <c r="C196" s="46" t="s">
        <v>1502</v>
      </c>
      <c r="D196" s="47">
        <v>26606</v>
      </c>
      <c r="E196" s="47">
        <v>44146</v>
      </c>
      <c r="F196" s="46" t="s">
        <v>2605</v>
      </c>
      <c r="G196" s="46">
        <v>179271</v>
      </c>
      <c r="H196" s="46" t="s">
        <v>2614</v>
      </c>
      <c r="I196" s="46" t="s">
        <v>2616</v>
      </c>
      <c r="J196" s="46" t="s">
        <v>2789</v>
      </c>
      <c r="K196" s="46" t="s">
        <v>3309</v>
      </c>
      <c r="L196" s="46">
        <v>5</v>
      </c>
    </row>
    <row r="197" spans="1:12" x14ac:dyDescent="0.3">
      <c r="A197" s="46" t="s">
        <v>206</v>
      </c>
      <c r="B197" s="46">
        <f>LEN(Table2[[#This Row],[Employee ID]])</f>
        <v>7</v>
      </c>
      <c r="C197" s="46" t="s">
        <v>1503</v>
      </c>
      <c r="D197" s="47">
        <v>30247</v>
      </c>
      <c r="E197" s="47">
        <v>34691</v>
      </c>
      <c r="F197" s="46" t="s">
        <v>2605</v>
      </c>
      <c r="G197" s="46">
        <v>42836</v>
      </c>
      <c r="H197" s="46" t="s">
        <v>2610</v>
      </c>
      <c r="I197" s="46" t="s">
        <v>2616</v>
      </c>
      <c r="J197" s="46" t="s">
        <v>2790</v>
      </c>
      <c r="K197" s="46" t="s">
        <v>3306</v>
      </c>
      <c r="L197" s="46">
        <v>31</v>
      </c>
    </row>
    <row r="198" spans="1:12" x14ac:dyDescent="0.3">
      <c r="A198" s="46" t="s">
        <v>207</v>
      </c>
      <c r="B198" s="46">
        <f>LEN(Table2[[#This Row],[Employee ID]])</f>
        <v>7</v>
      </c>
      <c r="C198" s="46" t="s">
        <v>1504</v>
      </c>
      <c r="D198" s="47">
        <v>32890</v>
      </c>
      <c r="E198" s="47">
        <v>29504</v>
      </c>
      <c r="F198" s="46" t="s">
        <v>2601</v>
      </c>
      <c r="G198" s="46">
        <v>54996</v>
      </c>
      <c r="H198" s="46" t="s">
        <v>2612</v>
      </c>
      <c r="I198" s="46" t="s">
        <v>2616</v>
      </c>
      <c r="J198" s="46" t="s">
        <v>2673</v>
      </c>
      <c r="K198" s="46" t="s">
        <v>3309</v>
      </c>
      <c r="L198" s="46">
        <v>45</v>
      </c>
    </row>
    <row r="199" spans="1:12" x14ac:dyDescent="0.3">
      <c r="A199" s="46" t="s">
        <v>208</v>
      </c>
      <c r="B199" s="46">
        <f>LEN(Table2[[#This Row],[Employee ID]])</f>
        <v>7</v>
      </c>
      <c r="C199" s="46" t="s">
        <v>1505</v>
      </c>
      <c r="D199" s="47">
        <v>30980</v>
      </c>
      <c r="E199" s="47">
        <v>43554</v>
      </c>
      <c r="F199" s="46" t="s">
        <v>2599</v>
      </c>
      <c r="G199" s="46">
        <v>29694</v>
      </c>
      <c r="H199" s="46" t="s">
        <v>2608</v>
      </c>
      <c r="I199" s="46" t="s">
        <v>2616</v>
      </c>
      <c r="J199" s="46" t="s">
        <v>2791</v>
      </c>
      <c r="K199" s="46" t="s">
        <v>3305</v>
      </c>
      <c r="L199" s="46">
        <v>6</v>
      </c>
    </row>
    <row r="200" spans="1:12" x14ac:dyDescent="0.3">
      <c r="A200" s="46" t="s">
        <v>209</v>
      </c>
      <c r="B200" s="46">
        <f>LEN(Table2[[#This Row],[Employee ID]])</f>
        <v>7</v>
      </c>
      <c r="C200" s="46" t="s">
        <v>1506</v>
      </c>
      <c r="D200" s="47">
        <v>26540</v>
      </c>
      <c r="E200" s="47">
        <v>42478</v>
      </c>
      <c r="F200" s="46" t="s">
        <v>2601</v>
      </c>
      <c r="G200" s="46">
        <v>125701</v>
      </c>
      <c r="H200" s="46" t="s">
        <v>2609</v>
      </c>
      <c r="I200" s="46" t="s">
        <v>2616</v>
      </c>
      <c r="J200" s="46" t="s">
        <v>2785</v>
      </c>
      <c r="K200" s="46" t="s">
        <v>3307</v>
      </c>
      <c r="L200" s="46">
        <v>9</v>
      </c>
    </row>
    <row r="201" spans="1:12" x14ac:dyDescent="0.3">
      <c r="A201" s="46" t="s">
        <v>210</v>
      </c>
      <c r="B201" s="46">
        <f>LEN(Table2[[#This Row],[Employee ID]])</f>
        <v>7</v>
      </c>
      <c r="C201" s="46" t="s">
        <v>1507</v>
      </c>
      <c r="D201" s="47">
        <v>30143</v>
      </c>
      <c r="E201" s="47">
        <v>40215</v>
      </c>
      <c r="F201" s="46" t="s">
        <v>2601</v>
      </c>
      <c r="G201" s="46">
        <v>139016</v>
      </c>
      <c r="H201" s="46" t="s">
        <v>2615</v>
      </c>
      <c r="I201" s="46" t="s">
        <v>2617</v>
      </c>
      <c r="J201" s="46" t="s">
        <v>2619</v>
      </c>
      <c r="K201" s="46" t="s">
        <v>3307</v>
      </c>
      <c r="L201" s="46">
        <v>15</v>
      </c>
    </row>
    <row r="202" spans="1:12" x14ac:dyDescent="0.3">
      <c r="A202" s="46" t="s">
        <v>211</v>
      </c>
      <c r="B202" s="46">
        <f>LEN(Table2[[#This Row],[Employee ID]])</f>
        <v>7</v>
      </c>
      <c r="C202" s="46" t="s">
        <v>1508</v>
      </c>
      <c r="D202" s="47">
        <v>33303</v>
      </c>
      <c r="E202" s="47">
        <v>40434</v>
      </c>
      <c r="F202" s="46" t="s">
        <v>2605</v>
      </c>
      <c r="G202" s="46">
        <v>83961</v>
      </c>
      <c r="H202" s="46" t="s">
        <v>2607</v>
      </c>
      <c r="I202" s="46" t="s">
        <v>2616</v>
      </c>
      <c r="J202" s="46" t="s">
        <v>2792</v>
      </c>
      <c r="K202" s="46" t="s">
        <v>3307</v>
      </c>
      <c r="L202" s="46">
        <v>15</v>
      </c>
    </row>
    <row r="203" spans="1:12" x14ac:dyDescent="0.3">
      <c r="A203" s="46" t="s">
        <v>212</v>
      </c>
      <c r="B203" s="46">
        <f>LEN(Table2[[#This Row],[Employee ID]])</f>
        <v>7</v>
      </c>
      <c r="C203" s="46" t="s">
        <v>1509</v>
      </c>
      <c r="D203" s="47">
        <v>23102</v>
      </c>
      <c r="E203" s="47">
        <v>29216</v>
      </c>
      <c r="F203" s="46" t="s">
        <v>2601</v>
      </c>
      <c r="G203" s="46">
        <v>90088</v>
      </c>
      <c r="H203" s="46" t="s">
        <v>2609</v>
      </c>
      <c r="I203" s="46" t="s">
        <v>2616</v>
      </c>
      <c r="J203" s="46" t="s">
        <v>2793</v>
      </c>
      <c r="K203" s="46" t="s">
        <v>3305</v>
      </c>
      <c r="L203" s="46">
        <v>46</v>
      </c>
    </row>
    <row r="204" spans="1:12" x14ac:dyDescent="0.3">
      <c r="A204" s="46" t="s">
        <v>213</v>
      </c>
      <c r="B204" s="46">
        <f>LEN(Table2[[#This Row],[Employee ID]])</f>
        <v>7</v>
      </c>
      <c r="C204" s="46" t="s">
        <v>1510</v>
      </c>
      <c r="D204" s="47">
        <v>33650</v>
      </c>
      <c r="E204" s="47">
        <v>28979</v>
      </c>
      <c r="F204" s="46" t="s">
        <v>2603</v>
      </c>
      <c r="G204" s="46">
        <v>65963</v>
      </c>
      <c r="H204" s="46" t="s">
        <v>2613</v>
      </c>
      <c r="I204" s="46" t="s">
        <v>2617</v>
      </c>
      <c r="J204" s="46" t="s">
        <v>2794</v>
      </c>
      <c r="K204" s="46" t="s">
        <v>3310</v>
      </c>
      <c r="L204" s="46">
        <v>46</v>
      </c>
    </row>
    <row r="205" spans="1:12" x14ac:dyDescent="0.3">
      <c r="A205" s="46" t="s">
        <v>214</v>
      </c>
      <c r="B205" s="46">
        <f>LEN(Table2[[#This Row],[Employee ID]])</f>
        <v>7</v>
      </c>
      <c r="C205" s="46" t="s">
        <v>1511</v>
      </c>
      <c r="D205" s="47">
        <v>25453</v>
      </c>
      <c r="E205" s="47">
        <v>31125</v>
      </c>
      <c r="F205" s="46" t="s">
        <v>2601</v>
      </c>
      <c r="G205" s="46">
        <v>174831</v>
      </c>
      <c r="H205" s="46" t="s">
        <v>2608</v>
      </c>
      <c r="I205" s="46" t="s">
        <v>2616</v>
      </c>
      <c r="J205" s="46" t="s">
        <v>2795</v>
      </c>
      <c r="K205" s="46" t="s">
        <v>3304</v>
      </c>
      <c r="L205" s="46">
        <v>40</v>
      </c>
    </row>
    <row r="206" spans="1:12" x14ac:dyDescent="0.3">
      <c r="A206" s="46" t="s">
        <v>215</v>
      </c>
      <c r="B206" s="46">
        <f>LEN(Table2[[#This Row],[Employee ID]])</f>
        <v>7</v>
      </c>
      <c r="C206" s="46" t="s">
        <v>1512</v>
      </c>
      <c r="D206" s="47">
        <v>36411</v>
      </c>
      <c r="E206" s="47">
        <v>38078</v>
      </c>
      <c r="F206" s="46" t="s">
        <v>2604</v>
      </c>
      <c r="G206" s="46">
        <v>194883</v>
      </c>
      <c r="H206" s="46" t="s">
        <v>2609</v>
      </c>
      <c r="I206" s="46" t="s">
        <v>2617</v>
      </c>
      <c r="J206" s="46" t="s">
        <v>2796</v>
      </c>
      <c r="K206" s="46" t="s">
        <v>3306</v>
      </c>
      <c r="L206" s="46">
        <v>21</v>
      </c>
    </row>
    <row r="207" spans="1:12" x14ac:dyDescent="0.3">
      <c r="A207" s="46" t="s">
        <v>216</v>
      </c>
      <c r="B207" s="46">
        <f>LEN(Table2[[#This Row],[Employee ID]])</f>
        <v>7</v>
      </c>
      <c r="C207" s="46" t="s">
        <v>1513</v>
      </c>
      <c r="D207" s="47">
        <v>31922</v>
      </c>
      <c r="E207" s="47">
        <v>43097</v>
      </c>
      <c r="F207" s="46" t="s">
        <v>2599</v>
      </c>
      <c r="G207" s="46">
        <v>113337</v>
      </c>
      <c r="H207" s="46" t="s">
        <v>2607</v>
      </c>
      <c r="I207" s="46" t="s">
        <v>2617</v>
      </c>
      <c r="J207" s="46" t="s">
        <v>2797</v>
      </c>
      <c r="K207" s="46" t="s">
        <v>3305</v>
      </c>
      <c r="L207" s="46">
        <v>8</v>
      </c>
    </row>
    <row r="208" spans="1:12" x14ac:dyDescent="0.3">
      <c r="A208" s="46" t="s">
        <v>217</v>
      </c>
      <c r="B208" s="46">
        <f>LEN(Table2[[#This Row],[Employee ID]])</f>
        <v>7</v>
      </c>
      <c r="C208" s="46" t="s">
        <v>1514</v>
      </c>
      <c r="D208" s="47">
        <v>26317</v>
      </c>
      <c r="E208" s="47">
        <v>36943</v>
      </c>
      <c r="F208" s="46" t="s">
        <v>2600</v>
      </c>
      <c r="G208" s="46">
        <v>62056</v>
      </c>
      <c r="H208" s="46" t="s">
        <v>2607</v>
      </c>
      <c r="I208" s="46" t="s">
        <v>2616</v>
      </c>
      <c r="J208" s="46" t="s">
        <v>2798</v>
      </c>
      <c r="K208" s="46" t="s">
        <v>3307</v>
      </c>
      <c r="L208" s="46">
        <v>24</v>
      </c>
    </row>
    <row r="209" spans="1:12" x14ac:dyDescent="0.3">
      <c r="A209" s="46" t="s">
        <v>218</v>
      </c>
      <c r="B209" s="46">
        <f>LEN(Table2[[#This Row],[Employee ID]])</f>
        <v>7</v>
      </c>
      <c r="C209" s="46" t="s">
        <v>1515</v>
      </c>
      <c r="D209" s="47">
        <v>29456</v>
      </c>
      <c r="E209" s="47">
        <v>30937</v>
      </c>
      <c r="F209" s="46" t="s">
        <v>2604</v>
      </c>
      <c r="G209" s="46">
        <v>176823</v>
      </c>
      <c r="H209" s="46" t="s">
        <v>2611</v>
      </c>
      <c r="I209" s="46" t="s">
        <v>2617</v>
      </c>
      <c r="J209" s="46" t="s">
        <v>2799</v>
      </c>
      <c r="K209" s="46" t="s">
        <v>3305</v>
      </c>
      <c r="L209" s="46">
        <v>41</v>
      </c>
    </row>
    <row r="210" spans="1:12" x14ac:dyDescent="0.3">
      <c r="A210" s="46" t="s">
        <v>219</v>
      </c>
      <c r="B210" s="46">
        <f>LEN(Table2[[#This Row],[Employee ID]])</f>
        <v>7</v>
      </c>
      <c r="C210" s="46" t="s">
        <v>1516</v>
      </c>
      <c r="D210" s="47">
        <v>25694</v>
      </c>
      <c r="E210" s="47">
        <v>26765</v>
      </c>
      <c r="F210" s="46" t="s">
        <v>2602</v>
      </c>
      <c r="G210" s="46">
        <v>185101</v>
      </c>
      <c r="H210" s="46" t="s">
        <v>2606</v>
      </c>
      <c r="I210" s="46" t="s">
        <v>2616</v>
      </c>
      <c r="J210" s="46" t="s">
        <v>2800</v>
      </c>
      <c r="K210" s="46" t="s">
        <v>3304</v>
      </c>
      <c r="L210" s="46">
        <v>52</v>
      </c>
    </row>
    <row r="211" spans="1:12" x14ac:dyDescent="0.3">
      <c r="A211" s="46" t="s">
        <v>220</v>
      </c>
      <c r="B211" s="46">
        <f>LEN(Table2[[#This Row],[Employee ID]])</f>
        <v>7</v>
      </c>
      <c r="C211" s="46" t="s">
        <v>1517</v>
      </c>
      <c r="D211" s="47">
        <v>22359</v>
      </c>
      <c r="E211" s="47">
        <v>30652</v>
      </c>
      <c r="F211" s="46" t="s">
        <v>2604</v>
      </c>
      <c r="G211" s="46">
        <v>141580</v>
      </c>
      <c r="H211" s="46" t="s">
        <v>2614</v>
      </c>
      <c r="I211" s="46" t="s">
        <v>2616</v>
      </c>
      <c r="J211" s="46" t="s">
        <v>2801</v>
      </c>
      <c r="K211" s="46" t="s">
        <v>3305</v>
      </c>
      <c r="L211" s="46">
        <v>42</v>
      </c>
    </row>
    <row r="212" spans="1:12" x14ac:dyDescent="0.3">
      <c r="A212" s="46" t="s">
        <v>221</v>
      </c>
      <c r="B212" s="46">
        <f>LEN(Table2[[#This Row],[Employee ID]])</f>
        <v>7</v>
      </c>
      <c r="C212" s="46" t="s">
        <v>1518</v>
      </c>
      <c r="D212" s="47">
        <v>32006</v>
      </c>
      <c r="E212" s="47">
        <v>42316</v>
      </c>
      <c r="F212" s="46" t="s">
        <v>2600</v>
      </c>
      <c r="G212" s="46">
        <v>113976</v>
      </c>
      <c r="H212" s="46" t="s">
        <v>2610</v>
      </c>
      <c r="I212" s="46" t="s">
        <v>2616</v>
      </c>
      <c r="J212" s="46" t="s">
        <v>2771</v>
      </c>
      <c r="K212" s="46" t="s">
        <v>3309</v>
      </c>
      <c r="L212" s="46">
        <v>10</v>
      </c>
    </row>
    <row r="213" spans="1:12" x14ac:dyDescent="0.3">
      <c r="A213" s="46" t="s">
        <v>222</v>
      </c>
      <c r="B213" s="46">
        <f>LEN(Table2[[#This Row],[Employee ID]])</f>
        <v>7</v>
      </c>
      <c r="C213" s="46" t="s">
        <v>1519</v>
      </c>
      <c r="D213" s="47">
        <v>29548</v>
      </c>
      <c r="E213" s="47">
        <v>26409</v>
      </c>
      <c r="F213" s="46" t="s">
        <v>2600</v>
      </c>
      <c r="G213" s="46">
        <v>77824</v>
      </c>
      <c r="H213" s="46" t="s">
        <v>2608</v>
      </c>
      <c r="I213" s="46" t="s">
        <v>2616</v>
      </c>
      <c r="J213" s="46" t="s">
        <v>2802</v>
      </c>
      <c r="K213" s="46" t="s">
        <v>3310</v>
      </c>
      <c r="L213" s="46">
        <v>53</v>
      </c>
    </row>
    <row r="214" spans="1:12" x14ac:dyDescent="0.3">
      <c r="A214" s="46" t="s">
        <v>223</v>
      </c>
      <c r="B214" s="46">
        <f>LEN(Table2[[#This Row],[Employee ID]])</f>
        <v>7</v>
      </c>
      <c r="C214" s="46" t="s">
        <v>1520</v>
      </c>
      <c r="D214" s="47">
        <v>26671</v>
      </c>
      <c r="E214" s="47">
        <v>28185</v>
      </c>
      <c r="F214" s="46" t="s">
        <v>2605</v>
      </c>
      <c r="G214" s="46">
        <v>156032</v>
      </c>
      <c r="H214" s="46" t="s">
        <v>2615</v>
      </c>
      <c r="I214" s="46" t="s">
        <v>2617</v>
      </c>
      <c r="J214" s="46" t="s">
        <v>2803</v>
      </c>
      <c r="K214" s="46" t="s">
        <v>3307</v>
      </c>
      <c r="L214" s="46">
        <v>48</v>
      </c>
    </row>
    <row r="215" spans="1:12" x14ac:dyDescent="0.3">
      <c r="A215" s="46" t="s">
        <v>224</v>
      </c>
      <c r="B215" s="46">
        <f>LEN(Table2[[#This Row],[Employee ID]])</f>
        <v>7</v>
      </c>
      <c r="C215" s="46" t="s">
        <v>1521</v>
      </c>
      <c r="D215" s="47">
        <v>26533</v>
      </c>
      <c r="E215" s="47">
        <v>28125</v>
      </c>
      <c r="F215" s="46" t="s">
        <v>2599</v>
      </c>
      <c r="G215" s="46">
        <v>126244</v>
      </c>
      <c r="H215" s="46" t="s">
        <v>2613</v>
      </c>
      <c r="I215" s="46" t="s">
        <v>2616</v>
      </c>
      <c r="J215" s="46" t="s">
        <v>2804</v>
      </c>
      <c r="K215" s="46" t="s">
        <v>3310</v>
      </c>
      <c r="L215" s="46">
        <v>49</v>
      </c>
    </row>
    <row r="216" spans="1:12" x14ac:dyDescent="0.3">
      <c r="A216" s="46" t="s">
        <v>225</v>
      </c>
      <c r="B216" s="46">
        <f>LEN(Table2[[#This Row],[Employee ID]])</f>
        <v>7</v>
      </c>
      <c r="C216" s="46" t="s">
        <v>1522</v>
      </c>
      <c r="D216" s="47">
        <v>27457</v>
      </c>
      <c r="E216" s="47">
        <v>32971</v>
      </c>
      <c r="F216" s="46" t="s">
        <v>2599</v>
      </c>
      <c r="G216" s="46">
        <v>26678</v>
      </c>
      <c r="H216" s="46" t="s">
        <v>2611</v>
      </c>
      <c r="I216" s="46" t="s">
        <v>2617</v>
      </c>
      <c r="J216" s="46" t="s">
        <v>2796</v>
      </c>
      <c r="K216" s="46" t="s">
        <v>3309</v>
      </c>
      <c r="L216" s="46">
        <v>35</v>
      </c>
    </row>
    <row r="217" spans="1:12" x14ac:dyDescent="0.3">
      <c r="A217" s="46" t="s">
        <v>226</v>
      </c>
      <c r="B217" s="46">
        <f>LEN(Table2[[#This Row],[Employee ID]])</f>
        <v>7</v>
      </c>
      <c r="C217" s="46" t="s">
        <v>1523</v>
      </c>
      <c r="D217" s="47">
        <v>28520</v>
      </c>
      <c r="E217" s="47">
        <v>40973</v>
      </c>
      <c r="F217" s="46" t="s">
        <v>2603</v>
      </c>
      <c r="G217" s="46">
        <v>176758</v>
      </c>
      <c r="H217" s="46" t="s">
        <v>2608</v>
      </c>
      <c r="I217" s="46" t="s">
        <v>2616</v>
      </c>
      <c r="J217" s="46" t="s">
        <v>2805</v>
      </c>
      <c r="K217" s="46" t="s">
        <v>3308</v>
      </c>
      <c r="L217" s="46">
        <v>13</v>
      </c>
    </row>
    <row r="218" spans="1:12" x14ac:dyDescent="0.3">
      <c r="A218" s="46" t="s">
        <v>227</v>
      </c>
      <c r="B218" s="46">
        <f>LEN(Table2[[#This Row],[Employee ID]])</f>
        <v>7</v>
      </c>
      <c r="C218" s="46" t="s">
        <v>1524</v>
      </c>
      <c r="D218" s="47">
        <v>30933</v>
      </c>
      <c r="E218" s="47">
        <v>34633</v>
      </c>
      <c r="F218" s="46" t="s">
        <v>2600</v>
      </c>
      <c r="G218" s="46">
        <v>86777</v>
      </c>
      <c r="H218" s="46" t="s">
        <v>2609</v>
      </c>
      <c r="I218" s="46" t="s">
        <v>2616</v>
      </c>
      <c r="J218" s="46" t="s">
        <v>2791</v>
      </c>
      <c r="K218" s="46" t="s">
        <v>3306</v>
      </c>
      <c r="L218" s="46">
        <v>31</v>
      </c>
    </row>
    <row r="219" spans="1:12" x14ac:dyDescent="0.3">
      <c r="A219" s="46" t="s">
        <v>228</v>
      </c>
      <c r="B219" s="46">
        <f>LEN(Table2[[#This Row],[Employee ID]])</f>
        <v>7</v>
      </c>
      <c r="C219" s="46" t="s">
        <v>1525</v>
      </c>
      <c r="D219" s="47">
        <v>35887</v>
      </c>
      <c r="E219" s="47">
        <v>38998</v>
      </c>
      <c r="F219" s="46" t="s">
        <v>2602</v>
      </c>
      <c r="G219" s="46">
        <v>87547</v>
      </c>
      <c r="H219" s="46" t="s">
        <v>2615</v>
      </c>
      <c r="I219" s="46" t="s">
        <v>2617</v>
      </c>
      <c r="J219" s="46" t="s">
        <v>2806</v>
      </c>
      <c r="K219" s="46" t="s">
        <v>3307</v>
      </c>
      <c r="L219" s="46">
        <v>19</v>
      </c>
    </row>
    <row r="220" spans="1:12" x14ac:dyDescent="0.3">
      <c r="A220" s="46" t="s">
        <v>229</v>
      </c>
      <c r="B220" s="46">
        <f>LEN(Table2[[#This Row],[Employee ID]])</f>
        <v>7</v>
      </c>
      <c r="C220" s="46" t="s">
        <v>1526</v>
      </c>
      <c r="D220" s="47">
        <v>29569</v>
      </c>
      <c r="E220" s="47">
        <v>35347</v>
      </c>
      <c r="F220" s="46" t="s">
        <v>2602</v>
      </c>
      <c r="G220" s="46">
        <v>56437</v>
      </c>
      <c r="H220" s="46" t="s">
        <v>2615</v>
      </c>
      <c r="I220" s="46" t="s">
        <v>2617</v>
      </c>
      <c r="J220" s="46" t="s">
        <v>2807</v>
      </c>
      <c r="K220" s="46" t="s">
        <v>3309</v>
      </c>
      <c r="L220" s="46">
        <v>29</v>
      </c>
    </row>
    <row r="221" spans="1:12" x14ac:dyDescent="0.3">
      <c r="A221" s="46" t="s">
        <v>230</v>
      </c>
      <c r="B221" s="46">
        <f>LEN(Table2[[#This Row],[Employee ID]])</f>
        <v>7</v>
      </c>
      <c r="C221" s="46" t="s">
        <v>1527</v>
      </c>
      <c r="D221" s="47">
        <v>24453</v>
      </c>
      <c r="E221" s="47">
        <v>36989</v>
      </c>
      <c r="F221" s="46" t="s">
        <v>2602</v>
      </c>
      <c r="G221" s="46">
        <v>189895</v>
      </c>
      <c r="H221" s="46" t="s">
        <v>2611</v>
      </c>
      <c r="I221" s="46" t="s">
        <v>2616</v>
      </c>
      <c r="J221" s="46" t="s">
        <v>2793</v>
      </c>
      <c r="K221" s="46" t="s">
        <v>3310</v>
      </c>
      <c r="L221" s="46">
        <v>24</v>
      </c>
    </row>
    <row r="222" spans="1:12" x14ac:dyDescent="0.3">
      <c r="A222" s="46" t="s">
        <v>231</v>
      </c>
      <c r="B222" s="46">
        <f>LEN(Table2[[#This Row],[Employee ID]])</f>
        <v>7</v>
      </c>
      <c r="C222" s="46" t="s">
        <v>1528</v>
      </c>
      <c r="D222" s="47">
        <v>30184</v>
      </c>
      <c r="E222" s="47">
        <v>28219</v>
      </c>
      <c r="F222" s="46" t="s">
        <v>2600</v>
      </c>
      <c r="G222" s="46">
        <v>168429</v>
      </c>
      <c r="H222" s="46" t="s">
        <v>2610</v>
      </c>
      <c r="I222" s="46" t="s">
        <v>2617</v>
      </c>
      <c r="J222" s="46" t="s">
        <v>2808</v>
      </c>
      <c r="K222" s="46" t="s">
        <v>3307</v>
      </c>
      <c r="L222" s="46">
        <v>48</v>
      </c>
    </row>
    <row r="223" spans="1:12" x14ac:dyDescent="0.3">
      <c r="A223" s="46" t="s">
        <v>232</v>
      </c>
      <c r="B223" s="46">
        <f>LEN(Table2[[#This Row],[Employee ID]])</f>
        <v>7</v>
      </c>
      <c r="C223" s="46" t="s">
        <v>1529</v>
      </c>
      <c r="D223" s="47">
        <v>34475</v>
      </c>
      <c r="E223" s="47">
        <v>30488</v>
      </c>
      <c r="F223" s="46" t="s">
        <v>2604</v>
      </c>
      <c r="G223" s="46">
        <v>135508</v>
      </c>
      <c r="H223" s="46" t="s">
        <v>2606</v>
      </c>
      <c r="I223" s="46" t="s">
        <v>2616</v>
      </c>
      <c r="J223" s="46" t="s">
        <v>2809</v>
      </c>
      <c r="K223" s="46" t="s">
        <v>3305</v>
      </c>
      <c r="L223" s="46">
        <v>42</v>
      </c>
    </row>
    <row r="224" spans="1:12" x14ac:dyDescent="0.3">
      <c r="A224" s="46" t="s">
        <v>233</v>
      </c>
      <c r="B224" s="46">
        <f>LEN(Table2[[#This Row],[Employee ID]])</f>
        <v>7</v>
      </c>
      <c r="C224" s="46" t="s">
        <v>1530</v>
      </c>
      <c r="D224" s="47">
        <v>28874</v>
      </c>
      <c r="E224" s="47">
        <v>38471</v>
      </c>
      <c r="F224" s="46" t="s">
        <v>2600</v>
      </c>
      <c r="G224" s="46">
        <v>165255</v>
      </c>
      <c r="H224" s="46" t="s">
        <v>2615</v>
      </c>
      <c r="I224" s="46" t="s">
        <v>2617</v>
      </c>
      <c r="J224" s="46" t="s">
        <v>2810</v>
      </c>
      <c r="K224" s="46" t="s">
        <v>3309</v>
      </c>
      <c r="L224" s="46">
        <v>20</v>
      </c>
    </row>
    <row r="225" spans="1:12" x14ac:dyDescent="0.3">
      <c r="A225" s="46" t="s">
        <v>234</v>
      </c>
      <c r="B225" s="46">
        <f>LEN(Table2[[#This Row],[Employee ID]])</f>
        <v>7</v>
      </c>
      <c r="C225" s="46" t="s">
        <v>1531</v>
      </c>
      <c r="D225" s="47">
        <v>26683</v>
      </c>
      <c r="E225" s="47">
        <v>42027</v>
      </c>
      <c r="F225" s="46" t="s">
        <v>2600</v>
      </c>
      <c r="G225" s="46">
        <v>140480</v>
      </c>
      <c r="H225" s="46" t="s">
        <v>2614</v>
      </c>
      <c r="I225" s="46" t="s">
        <v>2617</v>
      </c>
      <c r="J225" s="46" t="s">
        <v>2811</v>
      </c>
      <c r="K225" s="46" t="s">
        <v>3310</v>
      </c>
      <c r="L225" s="46">
        <v>10</v>
      </c>
    </row>
    <row r="226" spans="1:12" x14ac:dyDescent="0.3">
      <c r="A226" s="46" t="s">
        <v>235</v>
      </c>
      <c r="B226" s="46">
        <f>LEN(Table2[[#This Row],[Employee ID]])</f>
        <v>7</v>
      </c>
      <c r="C226" s="46" t="s">
        <v>1532</v>
      </c>
      <c r="D226" s="47">
        <v>24933</v>
      </c>
      <c r="E226" s="47">
        <v>27655</v>
      </c>
      <c r="F226" s="46" t="s">
        <v>2600</v>
      </c>
      <c r="G226" s="46">
        <v>106994</v>
      </c>
      <c r="H226" s="46" t="s">
        <v>2615</v>
      </c>
      <c r="I226" s="46" t="s">
        <v>2617</v>
      </c>
      <c r="J226" s="46" t="s">
        <v>2796</v>
      </c>
      <c r="K226" s="46" t="s">
        <v>3304</v>
      </c>
      <c r="L226" s="46">
        <v>50</v>
      </c>
    </row>
    <row r="227" spans="1:12" x14ac:dyDescent="0.3">
      <c r="A227" s="46" t="s">
        <v>236</v>
      </c>
      <c r="B227" s="46">
        <f>LEN(Table2[[#This Row],[Employee ID]])</f>
        <v>7</v>
      </c>
      <c r="C227" s="46" t="s">
        <v>1533</v>
      </c>
      <c r="D227" s="47">
        <v>27326</v>
      </c>
      <c r="E227" s="47">
        <v>41558</v>
      </c>
      <c r="F227" s="46" t="s">
        <v>2604</v>
      </c>
      <c r="G227" s="46">
        <v>192699</v>
      </c>
      <c r="H227" s="46" t="s">
        <v>2607</v>
      </c>
      <c r="I227" s="46" t="s">
        <v>2616</v>
      </c>
      <c r="J227" s="46" t="s">
        <v>2812</v>
      </c>
      <c r="K227" s="46" t="s">
        <v>3307</v>
      </c>
      <c r="L227" s="46">
        <v>12</v>
      </c>
    </row>
    <row r="228" spans="1:12" x14ac:dyDescent="0.3">
      <c r="A228" s="46" t="s">
        <v>237</v>
      </c>
      <c r="B228" s="46">
        <f>LEN(Table2[[#This Row],[Employee ID]])</f>
        <v>7</v>
      </c>
      <c r="C228" s="46" t="s">
        <v>1534</v>
      </c>
      <c r="D228" s="47">
        <v>28591</v>
      </c>
      <c r="E228" s="47">
        <v>42164</v>
      </c>
      <c r="F228" s="46" t="s">
        <v>2599</v>
      </c>
      <c r="G228" s="46">
        <v>170232</v>
      </c>
      <c r="H228" s="46" t="s">
        <v>2608</v>
      </c>
      <c r="I228" s="46" t="s">
        <v>2616</v>
      </c>
      <c r="J228" s="46" t="s">
        <v>2767</v>
      </c>
      <c r="K228" s="46" t="s">
        <v>3310</v>
      </c>
      <c r="L228" s="46">
        <v>10</v>
      </c>
    </row>
    <row r="229" spans="1:12" x14ac:dyDescent="0.3">
      <c r="A229" s="46" t="s">
        <v>238</v>
      </c>
      <c r="B229" s="46">
        <f>LEN(Table2[[#This Row],[Employee ID]])</f>
        <v>7</v>
      </c>
      <c r="C229" s="46" t="s">
        <v>1535</v>
      </c>
      <c r="D229" s="47">
        <v>35687</v>
      </c>
      <c r="E229" s="47">
        <v>39535</v>
      </c>
      <c r="F229" s="46" t="s">
        <v>2599</v>
      </c>
      <c r="G229" s="46">
        <v>37157</v>
      </c>
      <c r="H229" s="46" t="s">
        <v>2610</v>
      </c>
      <c r="I229" s="46" t="s">
        <v>2617</v>
      </c>
      <c r="J229" s="46" t="s">
        <v>2813</v>
      </c>
      <c r="K229" s="46" t="s">
        <v>3309</v>
      </c>
      <c r="L229" s="46">
        <v>17</v>
      </c>
    </row>
    <row r="230" spans="1:12" x14ac:dyDescent="0.3">
      <c r="A230" s="46" t="s">
        <v>239</v>
      </c>
      <c r="B230" s="46">
        <f>LEN(Table2[[#This Row],[Employee ID]])</f>
        <v>7</v>
      </c>
      <c r="C230" s="46" t="s">
        <v>1536</v>
      </c>
      <c r="D230" s="47">
        <v>30000</v>
      </c>
      <c r="E230" s="47">
        <v>37827</v>
      </c>
      <c r="F230" s="46" t="s">
        <v>2602</v>
      </c>
      <c r="G230" s="46">
        <v>45021</v>
      </c>
      <c r="H230" s="46" t="s">
        <v>2607</v>
      </c>
      <c r="I230" s="46" t="s">
        <v>2617</v>
      </c>
      <c r="J230" s="46" t="s">
        <v>2814</v>
      </c>
      <c r="K230" s="46" t="s">
        <v>3305</v>
      </c>
      <c r="L230" s="46">
        <v>22</v>
      </c>
    </row>
    <row r="231" spans="1:12" x14ac:dyDescent="0.3">
      <c r="A231" s="46" t="s">
        <v>240</v>
      </c>
      <c r="B231" s="46">
        <f>LEN(Table2[[#This Row],[Employee ID]])</f>
        <v>7</v>
      </c>
      <c r="C231" s="46" t="s">
        <v>1537</v>
      </c>
      <c r="D231" s="47">
        <v>21690</v>
      </c>
      <c r="E231" s="47">
        <v>40826</v>
      </c>
      <c r="F231" s="46" t="s">
        <v>2604</v>
      </c>
      <c r="G231" s="46">
        <v>129347</v>
      </c>
      <c r="H231" s="46" t="s">
        <v>2612</v>
      </c>
      <c r="I231" s="46" t="s">
        <v>2616</v>
      </c>
      <c r="J231" s="46" t="s">
        <v>2740</v>
      </c>
      <c r="K231" s="46" t="s">
        <v>3305</v>
      </c>
      <c r="L231" s="46">
        <v>14</v>
      </c>
    </row>
    <row r="232" spans="1:12" x14ac:dyDescent="0.3">
      <c r="A232" s="46" t="s">
        <v>241</v>
      </c>
      <c r="B232" s="46">
        <f>LEN(Table2[[#This Row],[Employee ID]])</f>
        <v>7</v>
      </c>
      <c r="C232" s="46" t="s">
        <v>1538</v>
      </c>
      <c r="D232" s="47">
        <v>29500</v>
      </c>
      <c r="E232" s="47">
        <v>28342</v>
      </c>
      <c r="F232" s="46" t="s">
        <v>2602</v>
      </c>
      <c r="G232" s="46">
        <v>161813</v>
      </c>
      <c r="H232" s="46" t="s">
        <v>2609</v>
      </c>
      <c r="I232" s="46" t="s">
        <v>2617</v>
      </c>
      <c r="J232" s="46" t="s">
        <v>2815</v>
      </c>
      <c r="K232" s="46" t="s">
        <v>3309</v>
      </c>
      <c r="L232" s="46">
        <v>48</v>
      </c>
    </row>
    <row r="233" spans="1:12" x14ac:dyDescent="0.3">
      <c r="A233" s="46" t="s">
        <v>242</v>
      </c>
      <c r="B233" s="46">
        <f>LEN(Table2[[#This Row],[Employee ID]])</f>
        <v>7</v>
      </c>
      <c r="C233" s="46" t="s">
        <v>1539</v>
      </c>
      <c r="D233" s="47">
        <v>30692</v>
      </c>
      <c r="E233" s="47">
        <v>41204</v>
      </c>
      <c r="F233" s="46" t="s">
        <v>2601</v>
      </c>
      <c r="G233" s="46">
        <v>195099</v>
      </c>
      <c r="H233" s="46" t="s">
        <v>2610</v>
      </c>
      <c r="I233" s="46" t="s">
        <v>2617</v>
      </c>
      <c r="J233" s="46" t="s">
        <v>2630</v>
      </c>
      <c r="K233" s="46" t="s">
        <v>3310</v>
      </c>
      <c r="L233" s="46">
        <v>13</v>
      </c>
    </row>
    <row r="234" spans="1:12" x14ac:dyDescent="0.3">
      <c r="A234" s="46" t="s">
        <v>243</v>
      </c>
      <c r="B234" s="46">
        <f>LEN(Table2[[#This Row],[Employee ID]])</f>
        <v>7</v>
      </c>
      <c r="C234" s="46" t="s">
        <v>1540</v>
      </c>
      <c r="D234" s="47">
        <v>36947</v>
      </c>
      <c r="E234" s="47">
        <v>29949</v>
      </c>
      <c r="F234" s="46" t="s">
        <v>2603</v>
      </c>
      <c r="G234" s="46">
        <v>41472</v>
      </c>
      <c r="H234" s="46" t="s">
        <v>2613</v>
      </c>
      <c r="I234" s="46" t="s">
        <v>2617</v>
      </c>
      <c r="J234" s="46" t="s">
        <v>2660</v>
      </c>
      <c r="K234" s="46" t="s">
        <v>3306</v>
      </c>
      <c r="L234" s="46">
        <v>44</v>
      </c>
    </row>
    <row r="235" spans="1:12" x14ac:dyDescent="0.3">
      <c r="A235" s="46" t="s">
        <v>244</v>
      </c>
      <c r="B235" s="46">
        <f>LEN(Table2[[#This Row],[Employee ID]])</f>
        <v>7</v>
      </c>
      <c r="C235" s="46" t="s">
        <v>1541</v>
      </c>
      <c r="D235" s="47">
        <v>27655</v>
      </c>
      <c r="E235" s="47">
        <v>32499</v>
      </c>
      <c r="F235" s="46" t="s">
        <v>2599</v>
      </c>
      <c r="G235" s="46">
        <v>102105</v>
      </c>
      <c r="H235" s="46" t="s">
        <v>2612</v>
      </c>
      <c r="I235" s="46" t="s">
        <v>2616</v>
      </c>
      <c r="J235" s="46" t="s">
        <v>2816</v>
      </c>
      <c r="K235" s="46" t="s">
        <v>3309</v>
      </c>
      <c r="L235" s="46">
        <v>37</v>
      </c>
    </row>
    <row r="236" spans="1:12" x14ac:dyDescent="0.3">
      <c r="A236" s="46" t="s">
        <v>245</v>
      </c>
      <c r="B236" s="46">
        <f>LEN(Table2[[#This Row],[Employee ID]])</f>
        <v>7</v>
      </c>
      <c r="C236" s="46" t="s">
        <v>1542</v>
      </c>
      <c r="D236" s="47">
        <v>25599</v>
      </c>
      <c r="E236" s="47">
        <v>28548</v>
      </c>
      <c r="F236" s="46" t="s">
        <v>2603</v>
      </c>
      <c r="G236" s="46">
        <v>129694</v>
      </c>
      <c r="H236" s="46" t="s">
        <v>2612</v>
      </c>
      <c r="I236" s="46" t="s">
        <v>2616</v>
      </c>
      <c r="J236" s="46" t="s">
        <v>2817</v>
      </c>
      <c r="K236" s="46" t="s">
        <v>3306</v>
      </c>
      <c r="L236" s="46">
        <v>47</v>
      </c>
    </row>
    <row r="237" spans="1:12" x14ac:dyDescent="0.3">
      <c r="A237" s="46" t="s">
        <v>246</v>
      </c>
      <c r="B237" s="46">
        <f>LEN(Table2[[#This Row],[Employee ID]])</f>
        <v>7</v>
      </c>
      <c r="C237" s="46" t="s">
        <v>1543</v>
      </c>
      <c r="D237" s="47">
        <v>23840</v>
      </c>
      <c r="E237" s="47">
        <v>37743</v>
      </c>
      <c r="F237" s="46" t="s">
        <v>2602</v>
      </c>
      <c r="G237" s="46">
        <v>79104</v>
      </c>
      <c r="H237" s="46" t="s">
        <v>2608</v>
      </c>
      <c r="I237" s="46" t="s">
        <v>2616</v>
      </c>
      <c r="J237" s="46" t="s">
        <v>2818</v>
      </c>
      <c r="K237" s="46" t="s">
        <v>3308</v>
      </c>
      <c r="L237" s="46">
        <v>22</v>
      </c>
    </row>
    <row r="238" spans="1:12" x14ac:dyDescent="0.3">
      <c r="A238" s="46" t="s">
        <v>247</v>
      </c>
      <c r="B238" s="46">
        <f>LEN(Table2[[#This Row],[Employee ID]])</f>
        <v>7</v>
      </c>
      <c r="C238" s="46" t="s">
        <v>1544</v>
      </c>
      <c r="D238" s="47">
        <v>31940</v>
      </c>
      <c r="E238" s="47">
        <v>39410</v>
      </c>
      <c r="F238" s="46" t="s">
        <v>2601</v>
      </c>
      <c r="G238" s="46">
        <v>79632</v>
      </c>
      <c r="H238" s="46" t="s">
        <v>2611</v>
      </c>
      <c r="I238" s="46" t="s">
        <v>2616</v>
      </c>
      <c r="J238" s="46" t="s">
        <v>2819</v>
      </c>
      <c r="K238" s="46" t="s">
        <v>3309</v>
      </c>
      <c r="L238" s="46">
        <v>18</v>
      </c>
    </row>
    <row r="239" spans="1:12" x14ac:dyDescent="0.3">
      <c r="A239" s="46" t="s">
        <v>248</v>
      </c>
      <c r="B239" s="46">
        <f>LEN(Table2[[#This Row],[Employee ID]])</f>
        <v>7</v>
      </c>
      <c r="C239" s="46" t="s">
        <v>1545</v>
      </c>
      <c r="D239" s="47">
        <v>35667</v>
      </c>
      <c r="E239" s="47">
        <v>25907</v>
      </c>
      <c r="F239" s="46" t="s">
        <v>2601</v>
      </c>
      <c r="G239" s="46">
        <v>72402</v>
      </c>
      <c r="H239" s="46" t="s">
        <v>2612</v>
      </c>
      <c r="I239" s="46" t="s">
        <v>2616</v>
      </c>
      <c r="J239" s="46" t="s">
        <v>2820</v>
      </c>
      <c r="K239" s="46" t="s">
        <v>3309</v>
      </c>
      <c r="L239" s="46">
        <v>55</v>
      </c>
    </row>
    <row r="240" spans="1:12" x14ac:dyDescent="0.3">
      <c r="A240" s="46" t="s">
        <v>249</v>
      </c>
      <c r="B240" s="46">
        <f>LEN(Table2[[#This Row],[Employee ID]])</f>
        <v>7</v>
      </c>
      <c r="C240" s="46" t="s">
        <v>1546</v>
      </c>
      <c r="D240" s="47">
        <v>22969</v>
      </c>
      <c r="E240" s="47">
        <v>35421</v>
      </c>
      <c r="F240" s="46" t="s">
        <v>2603</v>
      </c>
      <c r="G240" s="46">
        <v>101428</v>
      </c>
      <c r="H240" s="46" t="s">
        <v>2606</v>
      </c>
      <c r="I240" s="46" t="s">
        <v>2617</v>
      </c>
      <c r="J240" s="46" t="s">
        <v>2821</v>
      </c>
      <c r="K240" s="46" t="s">
        <v>3305</v>
      </c>
      <c r="L240" s="46">
        <v>29</v>
      </c>
    </row>
    <row r="241" spans="1:12" x14ac:dyDescent="0.3">
      <c r="A241" s="46" t="s">
        <v>250</v>
      </c>
      <c r="B241" s="46">
        <f>LEN(Table2[[#This Row],[Employee ID]])</f>
        <v>7</v>
      </c>
      <c r="C241" s="46" t="s">
        <v>1547</v>
      </c>
      <c r="D241" s="47">
        <v>22680</v>
      </c>
      <c r="E241" s="47">
        <v>34968</v>
      </c>
      <c r="F241" s="46" t="s">
        <v>2604</v>
      </c>
      <c r="G241" s="46">
        <v>149194</v>
      </c>
      <c r="H241" s="46" t="s">
        <v>2607</v>
      </c>
      <c r="I241" s="46" t="s">
        <v>2617</v>
      </c>
      <c r="J241" s="46" t="s">
        <v>2822</v>
      </c>
      <c r="K241" s="46" t="s">
        <v>3309</v>
      </c>
      <c r="L241" s="46">
        <v>30</v>
      </c>
    </row>
    <row r="242" spans="1:12" x14ac:dyDescent="0.3">
      <c r="A242" s="46" t="s">
        <v>251</v>
      </c>
      <c r="B242" s="46">
        <f>LEN(Table2[[#This Row],[Employee ID]])</f>
        <v>7</v>
      </c>
      <c r="C242" s="46" t="s">
        <v>1548</v>
      </c>
      <c r="D242" s="47">
        <v>24704</v>
      </c>
      <c r="E242" s="47">
        <v>38904</v>
      </c>
      <c r="F242" s="46" t="s">
        <v>2599</v>
      </c>
      <c r="G242" s="46">
        <v>188027</v>
      </c>
      <c r="H242" s="46" t="s">
        <v>2610</v>
      </c>
      <c r="I242" s="46" t="s">
        <v>2616</v>
      </c>
      <c r="J242" s="46" t="s">
        <v>2823</v>
      </c>
      <c r="K242" s="46" t="s">
        <v>3310</v>
      </c>
      <c r="L242" s="46">
        <v>19</v>
      </c>
    </row>
    <row r="243" spans="1:12" x14ac:dyDescent="0.3">
      <c r="A243" s="46" t="s">
        <v>252</v>
      </c>
      <c r="B243" s="46">
        <f>LEN(Table2[[#This Row],[Employee ID]])</f>
        <v>7</v>
      </c>
      <c r="C243" s="46" t="s">
        <v>1549</v>
      </c>
      <c r="D243" s="47">
        <v>29648</v>
      </c>
      <c r="E243" s="47">
        <v>27576</v>
      </c>
      <c r="F243" s="46" t="s">
        <v>2602</v>
      </c>
      <c r="G243" s="46">
        <v>143474</v>
      </c>
      <c r="H243" s="46" t="s">
        <v>2606</v>
      </c>
      <c r="I243" s="46" t="s">
        <v>2617</v>
      </c>
      <c r="J243" s="46" t="s">
        <v>2824</v>
      </c>
      <c r="K243" s="46" t="s">
        <v>3306</v>
      </c>
      <c r="L243" s="46">
        <v>50</v>
      </c>
    </row>
    <row r="244" spans="1:12" x14ac:dyDescent="0.3">
      <c r="A244" s="46" t="s">
        <v>253</v>
      </c>
      <c r="B244" s="46">
        <f>LEN(Table2[[#This Row],[Employee ID]])</f>
        <v>7</v>
      </c>
      <c r="C244" s="46" t="s">
        <v>1550</v>
      </c>
      <c r="D244" s="47">
        <v>30765</v>
      </c>
      <c r="E244" s="47">
        <v>40404</v>
      </c>
      <c r="F244" s="46" t="s">
        <v>2604</v>
      </c>
      <c r="G244" s="46">
        <v>50345</v>
      </c>
      <c r="H244" s="46" t="s">
        <v>2615</v>
      </c>
      <c r="I244" s="46" t="s">
        <v>2616</v>
      </c>
      <c r="J244" s="46" t="s">
        <v>2825</v>
      </c>
      <c r="K244" s="46" t="s">
        <v>3309</v>
      </c>
      <c r="L244" s="46">
        <v>15</v>
      </c>
    </row>
    <row r="245" spans="1:12" x14ac:dyDescent="0.3">
      <c r="A245" s="46" t="s">
        <v>254</v>
      </c>
      <c r="B245" s="46">
        <f>LEN(Table2[[#This Row],[Employee ID]])</f>
        <v>7</v>
      </c>
      <c r="C245" s="46" t="s">
        <v>1551</v>
      </c>
      <c r="D245" s="47">
        <v>25928</v>
      </c>
      <c r="E245" s="47">
        <v>26103</v>
      </c>
      <c r="F245" s="46" t="s">
        <v>2603</v>
      </c>
      <c r="G245" s="46">
        <v>171901</v>
      </c>
      <c r="H245" s="46" t="s">
        <v>2613</v>
      </c>
      <c r="I245" s="46" t="s">
        <v>2617</v>
      </c>
      <c r="J245" s="46" t="s">
        <v>2826</v>
      </c>
      <c r="K245" s="46" t="s">
        <v>3309</v>
      </c>
      <c r="L245" s="46">
        <v>54</v>
      </c>
    </row>
    <row r="246" spans="1:12" x14ac:dyDescent="0.3">
      <c r="A246" s="46" t="s">
        <v>255</v>
      </c>
      <c r="B246" s="46">
        <f>LEN(Table2[[#This Row],[Employee ID]])</f>
        <v>7</v>
      </c>
      <c r="C246" s="46" t="s">
        <v>1552</v>
      </c>
      <c r="D246" s="47">
        <v>29101</v>
      </c>
      <c r="E246" s="47">
        <v>28121</v>
      </c>
      <c r="F246" s="46" t="s">
        <v>2602</v>
      </c>
      <c r="G246" s="46">
        <v>172910</v>
      </c>
      <c r="H246" s="46" t="s">
        <v>2613</v>
      </c>
      <c r="I246" s="46" t="s">
        <v>2617</v>
      </c>
      <c r="J246" s="46" t="s">
        <v>2827</v>
      </c>
      <c r="K246" s="46" t="s">
        <v>3309</v>
      </c>
      <c r="L246" s="46">
        <v>49</v>
      </c>
    </row>
    <row r="247" spans="1:12" x14ac:dyDescent="0.3">
      <c r="A247" s="46" t="s">
        <v>256</v>
      </c>
      <c r="B247" s="46">
        <f>LEN(Table2[[#This Row],[Employee ID]])</f>
        <v>7</v>
      </c>
      <c r="C247" s="46" t="s">
        <v>1553</v>
      </c>
      <c r="D247" s="47">
        <v>32334</v>
      </c>
      <c r="E247" s="47">
        <v>41738</v>
      </c>
      <c r="F247" s="46" t="s">
        <v>2605</v>
      </c>
      <c r="G247" s="46">
        <v>71170</v>
      </c>
      <c r="H247" s="46" t="s">
        <v>2612</v>
      </c>
      <c r="I247" s="46" t="s">
        <v>2617</v>
      </c>
      <c r="J247" s="46" t="s">
        <v>2828</v>
      </c>
      <c r="K247" s="46" t="s">
        <v>3308</v>
      </c>
      <c r="L247" s="46">
        <v>11</v>
      </c>
    </row>
    <row r="248" spans="1:12" x14ac:dyDescent="0.3">
      <c r="A248" s="46" t="s">
        <v>257</v>
      </c>
      <c r="B248" s="46">
        <f>LEN(Table2[[#This Row],[Employee ID]])</f>
        <v>7</v>
      </c>
      <c r="C248" s="46" t="s">
        <v>1554</v>
      </c>
      <c r="D248" s="47">
        <v>31699</v>
      </c>
      <c r="E248" s="47">
        <v>41403</v>
      </c>
      <c r="F248" s="46" t="s">
        <v>2604</v>
      </c>
      <c r="G248" s="46">
        <v>70909</v>
      </c>
      <c r="H248" s="46" t="s">
        <v>2608</v>
      </c>
      <c r="I248" s="46" t="s">
        <v>2617</v>
      </c>
      <c r="J248" s="46" t="s">
        <v>2829</v>
      </c>
      <c r="K248" s="46" t="s">
        <v>3307</v>
      </c>
      <c r="L248" s="46">
        <v>12</v>
      </c>
    </row>
    <row r="249" spans="1:12" x14ac:dyDescent="0.3">
      <c r="A249" s="46" t="s">
        <v>258</v>
      </c>
      <c r="B249" s="46">
        <f>LEN(Table2[[#This Row],[Employee ID]])</f>
        <v>7</v>
      </c>
      <c r="C249" s="46" t="s">
        <v>1555</v>
      </c>
      <c r="D249" s="47">
        <v>28464</v>
      </c>
      <c r="E249" s="47">
        <v>39226</v>
      </c>
      <c r="F249" s="46" t="s">
        <v>2602</v>
      </c>
      <c r="G249" s="46">
        <v>197254</v>
      </c>
      <c r="H249" s="46" t="s">
        <v>2615</v>
      </c>
      <c r="I249" s="46" t="s">
        <v>2616</v>
      </c>
      <c r="J249" s="46" t="s">
        <v>2830</v>
      </c>
      <c r="K249" s="46" t="s">
        <v>3305</v>
      </c>
      <c r="L249" s="46">
        <v>18</v>
      </c>
    </row>
    <row r="250" spans="1:12" x14ac:dyDescent="0.3">
      <c r="A250" s="46" t="s">
        <v>259</v>
      </c>
      <c r="B250" s="46">
        <f>LEN(Table2[[#This Row],[Employee ID]])</f>
        <v>7</v>
      </c>
      <c r="C250" s="46" t="s">
        <v>1556</v>
      </c>
      <c r="D250" s="47">
        <v>24830</v>
      </c>
      <c r="E250" s="47">
        <v>43600</v>
      </c>
      <c r="F250" s="46" t="s">
        <v>2605</v>
      </c>
      <c r="G250" s="46">
        <v>35613</v>
      </c>
      <c r="H250" s="46" t="s">
        <v>2609</v>
      </c>
      <c r="I250" s="46" t="s">
        <v>2616</v>
      </c>
      <c r="J250" s="46" t="s">
        <v>2831</v>
      </c>
      <c r="K250" s="46" t="s">
        <v>3308</v>
      </c>
      <c r="L250" s="46">
        <v>6</v>
      </c>
    </row>
    <row r="251" spans="1:12" x14ac:dyDescent="0.3">
      <c r="A251" s="46" t="s">
        <v>260</v>
      </c>
      <c r="B251" s="46">
        <f>LEN(Table2[[#This Row],[Employee ID]])</f>
        <v>7</v>
      </c>
      <c r="C251" s="46" t="s">
        <v>1557</v>
      </c>
      <c r="D251" s="47">
        <v>35157</v>
      </c>
      <c r="E251" s="47">
        <v>32732</v>
      </c>
      <c r="F251" s="46" t="s">
        <v>2600</v>
      </c>
      <c r="G251" s="46">
        <v>47983</v>
      </c>
      <c r="H251" s="46" t="s">
        <v>2612</v>
      </c>
      <c r="I251" s="46" t="s">
        <v>2617</v>
      </c>
      <c r="J251" s="46" t="s">
        <v>2832</v>
      </c>
      <c r="K251" s="46" t="s">
        <v>3304</v>
      </c>
      <c r="L251" s="46">
        <v>36</v>
      </c>
    </row>
    <row r="252" spans="1:12" x14ac:dyDescent="0.3">
      <c r="A252" s="46" t="s">
        <v>261</v>
      </c>
      <c r="B252" s="46">
        <f>LEN(Table2[[#This Row],[Employee ID]])</f>
        <v>7</v>
      </c>
      <c r="C252" s="46" t="s">
        <v>1558</v>
      </c>
      <c r="D252" s="47">
        <v>36199</v>
      </c>
      <c r="E252" s="47">
        <v>41217</v>
      </c>
      <c r="F252" s="46" t="s">
        <v>2605</v>
      </c>
      <c r="G252" s="46">
        <v>171080</v>
      </c>
      <c r="H252" s="46" t="s">
        <v>2610</v>
      </c>
      <c r="I252" s="46" t="s">
        <v>2616</v>
      </c>
      <c r="J252" s="46" t="s">
        <v>2833</v>
      </c>
      <c r="K252" s="46" t="s">
        <v>3309</v>
      </c>
      <c r="L252" s="46">
        <v>13</v>
      </c>
    </row>
    <row r="253" spans="1:12" x14ac:dyDescent="0.3">
      <c r="A253" s="46" t="s">
        <v>262</v>
      </c>
      <c r="B253" s="46">
        <f>LEN(Table2[[#This Row],[Employee ID]])</f>
        <v>7</v>
      </c>
      <c r="C253" s="46" t="s">
        <v>1559</v>
      </c>
      <c r="D253" s="47">
        <v>27967</v>
      </c>
      <c r="E253" s="47">
        <v>34486</v>
      </c>
      <c r="F253" s="46" t="s">
        <v>2600</v>
      </c>
      <c r="G253" s="46">
        <v>61763</v>
      </c>
      <c r="H253" s="46" t="s">
        <v>2612</v>
      </c>
      <c r="I253" s="46" t="s">
        <v>2616</v>
      </c>
      <c r="J253" s="46" t="s">
        <v>2709</v>
      </c>
      <c r="K253" s="46" t="s">
        <v>3307</v>
      </c>
      <c r="L253" s="46">
        <v>31</v>
      </c>
    </row>
    <row r="254" spans="1:12" x14ac:dyDescent="0.3">
      <c r="A254" s="46" t="s">
        <v>263</v>
      </c>
      <c r="B254" s="46">
        <f>LEN(Table2[[#This Row],[Employee ID]])</f>
        <v>7</v>
      </c>
      <c r="C254" s="46" t="s">
        <v>1560</v>
      </c>
      <c r="D254" s="47">
        <v>29919</v>
      </c>
      <c r="E254" s="47">
        <v>39050</v>
      </c>
      <c r="F254" s="46" t="s">
        <v>2599</v>
      </c>
      <c r="G254" s="46">
        <v>66043</v>
      </c>
      <c r="H254" s="46" t="s">
        <v>2612</v>
      </c>
      <c r="I254" s="46" t="s">
        <v>2617</v>
      </c>
      <c r="J254" s="46" t="s">
        <v>2702</v>
      </c>
      <c r="K254" s="46" t="s">
        <v>3304</v>
      </c>
      <c r="L254" s="46">
        <v>19</v>
      </c>
    </row>
    <row r="255" spans="1:12" x14ac:dyDescent="0.3">
      <c r="A255" s="46" t="s">
        <v>264</v>
      </c>
      <c r="B255" s="46">
        <f>LEN(Table2[[#This Row],[Employee ID]])</f>
        <v>7</v>
      </c>
      <c r="C255" s="46" t="s">
        <v>1561</v>
      </c>
      <c r="D255" s="47">
        <v>21867</v>
      </c>
      <c r="E255" s="47">
        <v>38456</v>
      </c>
      <c r="F255" s="46" t="s">
        <v>2601</v>
      </c>
      <c r="G255" s="46">
        <v>111617</v>
      </c>
      <c r="H255" s="46" t="s">
        <v>2608</v>
      </c>
      <c r="I255" s="46" t="s">
        <v>2617</v>
      </c>
      <c r="J255" s="46" t="s">
        <v>2705</v>
      </c>
      <c r="K255" s="46" t="s">
        <v>3309</v>
      </c>
      <c r="L255" s="46">
        <v>20</v>
      </c>
    </row>
    <row r="256" spans="1:12" x14ac:dyDescent="0.3">
      <c r="A256" s="46" t="s">
        <v>265</v>
      </c>
      <c r="B256" s="46">
        <f>LEN(Table2[[#This Row],[Employee ID]])</f>
        <v>7</v>
      </c>
      <c r="C256" s="46" t="s">
        <v>1562</v>
      </c>
      <c r="D256" s="47">
        <v>34360</v>
      </c>
      <c r="E256" s="47">
        <v>35537</v>
      </c>
      <c r="F256" s="46" t="s">
        <v>2604</v>
      </c>
      <c r="G256" s="46">
        <v>198231</v>
      </c>
      <c r="H256" s="46" t="s">
        <v>2608</v>
      </c>
      <c r="I256" s="46" t="s">
        <v>2617</v>
      </c>
      <c r="J256" s="46" t="s">
        <v>2834</v>
      </c>
      <c r="K256" s="46" t="s">
        <v>3308</v>
      </c>
      <c r="L256" s="46">
        <v>28</v>
      </c>
    </row>
    <row r="257" spans="1:12" x14ac:dyDescent="0.3">
      <c r="A257" s="46" t="s">
        <v>266</v>
      </c>
      <c r="B257" s="46">
        <f>LEN(Table2[[#This Row],[Employee ID]])</f>
        <v>7</v>
      </c>
      <c r="C257" s="46" t="s">
        <v>1563</v>
      </c>
      <c r="D257" s="47">
        <v>27318</v>
      </c>
      <c r="E257" s="47">
        <v>30059</v>
      </c>
      <c r="F257" s="46" t="s">
        <v>2605</v>
      </c>
      <c r="G257" s="46">
        <v>162644</v>
      </c>
      <c r="H257" s="46" t="s">
        <v>2614</v>
      </c>
      <c r="I257" s="46" t="s">
        <v>2616</v>
      </c>
      <c r="J257" s="46" t="s">
        <v>2835</v>
      </c>
      <c r="K257" s="46" t="s">
        <v>3305</v>
      </c>
      <c r="L257" s="46">
        <v>43</v>
      </c>
    </row>
    <row r="258" spans="1:12" x14ac:dyDescent="0.3">
      <c r="A258" s="46" t="s">
        <v>267</v>
      </c>
      <c r="B258" s="46">
        <f>LEN(Table2[[#This Row],[Employee ID]])</f>
        <v>7</v>
      </c>
      <c r="C258" s="46" t="s">
        <v>1564</v>
      </c>
      <c r="D258" s="47">
        <v>23829</v>
      </c>
      <c r="E258" s="47">
        <v>32617</v>
      </c>
      <c r="F258" s="46" t="s">
        <v>2605</v>
      </c>
      <c r="G258" s="46">
        <v>92162</v>
      </c>
      <c r="H258" s="46" t="s">
        <v>2609</v>
      </c>
      <c r="I258" s="46" t="s">
        <v>2616</v>
      </c>
      <c r="J258" s="46" t="s">
        <v>2836</v>
      </c>
      <c r="K258" s="46" t="s">
        <v>3306</v>
      </c>
      <c r="L258" s="46">
        <v>36</v>
      </c>
    </row>
    <row r="259" spans="1:12" x14ac:dyDescent="0.3">
      <c r="A259" s="46" t="s">
        <v>268</v>
      </c>
      <c r="B259" s="46">
        <f>LEN(Table2[[#This Row],[Employee ID]])</f>
        <v>7</v>
      </c>
      <c r="C259" s="46" t="s">
        <v>1565</v>
      </c>
      <c r="D259" s="47">
        <v>33303</v>
      </c>
      <c r="E259" s="47">
        <v>30025</v>
      </c>
      <c r="F259" s="46" t="s">
        <v>2599</v>
      </c>
      <c r="G259" s="46">
        <v>117881</v>
      </c>
      <c r="H259" s="46" t="s">
        <v>2610</v>
      </c>
      <c r="I259" s="46" t="s">
        <v>2617</v>
      </c>
      <c r="J259" s="46" t="s">
        <v>2764</v>
      </c>
      <c r="K259" s="46" t="s">
        <v>3309</v>
      </c>
      <c r="L259" s="46">
        <v>43</v>
      </c>
    </row>
    <row r="260" spans="1:12" x14ac:dyDescent="0.3">
      <c r="A260" s="46" t="s">
        <v>269</v>
      </c>
      <c r="B260" s="46">
        <f>LEN(Table2[[#This Row],[Employee ID]])</f>
        <v>7</v>
      </c>
      <c r="C260" s="46" t="s">
        <v>1566</v>
      </c>
      <c r="D260" s="47">
        <v>35672</v>
      </c>
      <c r="E260" s="47">
        <v>35539</v>
      </c>
      <c r="F260" s="46" t="s">
        <v>2600</v>
      </c>
      <c r="G260" s="46">
        <v>91309</v>
      </c>
      <c r="H260" s="46" t="s">
        <v>2614</v>
      </c>
      <c r="I260" s="46" t="s">
        <v>2617</v>
      </c>
      <c r="J260" s="46" t="s">
        <v>2671</v>
      </c>
      <c r="K260" s="46" t="s">
        <v>3310</v>
      </c>
      <c r="L260" s="46">
        <v>28</v>
      </c>
    </row>
    <row r="261" spans="1:12" x14ac:dyDescent="0.3">
      <c r="A261" s="46" t="s">
        <v>270</v>
      </c>
      <c r="B261" s="46">
        <f>LEN(Table2[[#This Row],[Employee ID]])</f>
        <v>7</v>
      </c>
      <c r="C261" s="46" t="s">
        <v>1567</v>
      </c>
      <c r="D261" s="47">
        <v>27363</v>
      </c>
      <c r="E261" s="47">
        <v>28257</v>
      </c>
      <c r="F261" s="46" t="s">
        <v>2602</v>
      </c>
      <c r="G261" s="46">
        <v>104299</v>
      </c>
      <c r="H261" s="46" t="s">
        <v>2613</v>
      </c>
      <c r="I261" s="46" t="s">
        <v>2617</v>
      </c>
      <c r="J261" s="46" t="s">
        <v>2837</v>
      </c>
      <c r="K261" s="46" t="s">
        <v>3308</v>
      </c>
      <c r="L261" s="46">
        <v>48</v>
      </c>
    </row>
    <row r="262" spans="1:12" x14ac:dyDescent="0.3">
      <c r="A262" s="46" t="s">
        <v>271</v>
      </c>
      <c r="B262" s="46">
        <f>LEN(Table2[[#This Row],[Employee ID]])</f>
        <v>7</v>
      </c>
      <c r="C262" s="46" t="s">
        <v>1568</v>
      </c>
      <c r="D262" s="47">
        <v>28428</v>
      </c>
      <c r="E262" s="47">
        <v>28554</v>
      </c>
      <c r="F262" s="46" t="s">
        <v>2601</v>
      </c>
      <c r="G262" s="46">
        <v>197369</v>
      </c>
      <c r="H262" s="46" t="s">
        <v>2609</v>
      </c>
      <c r="I262" s="46" t="s">
        <v>2616</v>
      </c>
      <c r="J262" s="46" t="s">
        <v>2838</v>
      </c>
      <c r="K262" s="46" t="s">
        <v>3307</v>
      </c>
      <c r="L262" s="46">
        <v>47</v>
      </c>
    </row>
    <row r="263" spans="1:12" x14ac:dyDescent="0.3">
      <c r="A263" s="46" t="s">
        <v>272</v>
      </c>
      <c r="B263" s="46">
        <f>LEN(Table2[[#This Row],[Employee ID]])</f>
        <v>7</v>
      </c>
      <c r="C263" s="46" t="s">
        <v>1569</v>
      </c>
      <c r="D263" s="47">
        <v>35859</v>
      </c>
      <c r="E263" s="47">
        <v>26316</v>
      </c>
      <c r="F263" s="46" t="s">
        <v>2605</v>
      </c>
      <c r="G263" s="46">
        <v>80296</v>
      </c>
      <c r="H263" s="46" t="s">
        <v>2606</v>
      </c>
      <c r="I263" s="46" t="s">
        <v>2616</v>
      </c>
      <c r="J263" s="46" t="s">
        <v>2839</v>
      </c>
      <c r="K263" s="46" t="s">
        <v>3305</v>
      </c>
      <c r="L263" s="46">
        <v>53</v>
      </c>
    </row>
    <row r="264" spans="1:12" x14ac:dyDescent="0.3">
      <c r="A264" s="46" t="s">
        <v>273</v>
      </c>
      <c r="B264" s="46">
        <f>LEN(Table2[[#This Row],[Employee ID]])</f>
        <v>7</v>
      </c>
      <c r="C264" s="46" t="s">
        <v>1570</v>
      </c>
      <c r="D264" s="47">
        <v>36545</v>
      </c>
      <c r="E264" s="47">
        <v>31234</v>
      </c>
      <c r="F264" s="46" t="s">
        <v>2605</v>
      </c>
      <c r="G264" s="46">
        <v>196718</v>
      </c>
      <c r="H264" s="46" t="s">
        <v>2615</v>
      </c>
      <c r="I264" s="46" t="s">
        <v>2616</v>
      </c>
      <c r="J264" s="46" t="s">
        <v>2660</v>
      </c>
      <c r="K264" s="46" t="s">
        <v>3304</v>
      </c>
      <c r="L264" s="46">
        <v>40</v>
      </c>
    </row>
    <row r="265" spans="1:12" x14ac:dyDescent="0.3">
      <c r="A265" s="46" t="s">
        <v>274</v>
      </c>
      <c r="B265" s="46">
        <f>LEN(Table2[[#This Row],[Employee ID]])</f>
        <v>7</v>
      </c>
      <c r="C265" s="46" t="s">
        <v>1571</v>
      </c>
      <c r="D265" s="47">
        <v>26261</v>
      </c>
      <c r="E265" s="47">
        <v>44480</v>
      </c>
      <c r="F265" s="46" t="s">
        <v>2605</v>
      </c>
      <c r="G265" s="46">
        <v>68652</v>
      </c>
      <c r="H265" s="46" t="s">
        <v>2606</v>
      </c>
      <c r="I265" s="46" t="s">
        <v>2616</v>
      </c>
      <c r="J265" s="46" t="s">
        <v>2840</v>
      </c>
      <c r="K265" s="46" t="s">
        <v>3305</v>
      </c>
      <c r="L265" s="46">
        <v>4</v>
      </c>
    </row>
    <row r="266" spans="1:12" x14ac:dyDescent="0.3">
      <c r="A266" s="46" t="s">
        <v>275</v>
      </c>
      <c r="B266" s="46">
        <f>LEN(Table2[[#This Row],[Employee ID]])</f>
        <v>7</v>
      </c>
      <c r="C266" s="46" t="s">
        <v>1572</v>
      </c>
      <c r="D266" s="47">
        <v>23113</v>
      </c>
      <c r="E266" s="47">
        <v>36111</v>
      </c>
      <c r="F266" s="46" t="s">
        <v>2604</v>
      </c>
      <c r="G266" s="46">
        <v>84047</v>
      </c>
      <c r="H266" s="46" t="s">
        <v>2614</v>
      </c>
      <c r="I266" s="46" t="s">
        <v>2616</v>
      </c>
      <c r="J266" s="46" t="s">
        <v>2841</v>
      </c>
      <c r="K266" s="46" t="s">
        <v>3308</v>
      </c>
      <c r="L266" s="46">
        <v>27</v>
      </c>
    </row>
    <row r="267" spans="1:12" x14ac:dyDescent="0.3">
      <c r="A267" s="46" t="s">
        <v>276</v>
      </c>
      <c r="B267" s="46">
        <f>LEN(Table2[[#This Row],[Employee ID]])</f>
        <v>7</v>
      </c>
      <c r="C267" s="46" t="s">
        <v>1573</v>
      </c>
      <c r="D267" s="47">
        <v>21740</v>
      </c>
      <c r="E267" s="47">
        <v>40709</v>
      </c>
      <c r="F267" s="46" t="s">
        <v>2603</v>
      </c>
      <c r="G267" s="46">
        <v>71928</v>
      </c>
      <c r="H267" s="46" t="s">
        <v>2606</v>
      </c>
      <c r="I267" s="46" t="s">
        <v>2617</v>
      </c>
      <c r="J267" s="46" t="s">
        <v>2638</v>
      </c>
      <c r="K267" s="46" t="s">
        <v>3309</v>
      </c>
      <c r="L267" s="46">
        <v>14</v>
      </c>
    </row>
    <row r="268" spans="1:12" x14ac:dyDescent="0.3">
      <c r="A268" s="46" t="s">
        <v>277</v>
      </c>
      <c r="B268" s="46">
        <f>LEN(Table2[[#This Row],[Employee ID]])</f>
        <v>7</v>
      </c>
      <c r="C268" s="46" t="s">
        <v>1574</v>
      </c>
      <c r="D268" s="47">
        <v>33518</v>
      </c>
      <c r="E268" s="47">
        <v>29856</v>
      </c>
      <c r="F268" s="46" t="s">
        <v>2600</v>
      </c>
      <c r="G268" s="46">
        <v>63035</v>
      </c>
      <c r="H268" s="46" t="s">
        <v>2615</v>
      </c>
      <c r="I268" s="46" t="s">
        <v>2617</v>
      </c>
      <c r="J268" s="46" t="s">
        <v>2842</v>
      </c>
      <c r="K268" s="46" t="s">
        <v>3309</v>
      </c>
      <c r="L268" s="46">
        <v>44</v>
      </c>
    </row>
    <row r="269" spans="1:12" x14ac:dyDescent="0.3">
      <c r="A269" s="46" t="s">
        <v>278</v>
      </c>
      <c r="B269" s="46">
        <f>LEN(Table2[[#This Row],[Employee ID]])</f>
        <v>7</v>
      </c>
      <c r="C269" s="46" t="s">
        <v>1575</v>
      </c>
      <c r="D269" s="47">
        <v>36756</v>
      </c>
      <c r="E269" s="47">
        <v>30876</v>
      </c>
      <c r="F269" s="46" t="s">
        <v>2603</v>
      </c>
      <c r="G269" s="46">
        <v>140169</v>
      </c>
      <c r="H269" s="46" t="s">
        <v>2614</v>
      </c>
      <c r="I269" s="46" t="s">
        <v>2616</v>
      </c>
      <c r="J269" s="46" t="s">
        <v>2784</v>
      </c>
      <c r="K269" s="46" t="s">
        <v>3308</v>
      </c>
      <c r="L269" s="46">
        <v>41</v>
      </c>
    </row>
    <row r="270" spans="1:12" x14ac:dyDescent="0.3">
      <c r="A270" s="46" t="s">
        <v>279</v>
      </c>
      <c r="B270" s="46">
        <f>LEN(Table2[[#This Row],[Employee ID]])</f>
        <v>7</v>
      </c>
      <c r="C270" s="46" t="s">
        <v>1576</v>
      </c>
      <c r="D270" s="47">
        <v>31321</v>
      </c>
      <c r="E270" s="47">
        <v>31019</v>
      </c>
      <c r="F270" s="46" t="s">
        <v>2604</v>
      </c>
      <c r="G270" s="46">
        <v>86133</v>
      </c>
      <c r="H270" s="46" t="s">
        <v>2608</v>
      </c>
      <c r="I270" s="46" t="s">
        <v>2616</v>
      </c>
      <c r="J270" s="46" t="s">
        <v>2843</v>
      </c>
      <c r="K270" s="46" t="s">
        <v>3310</v>
      </c>
      <c r="L270" s="46">
        <v>41</v>
      </c>
    </row>
    <row r="271" spans="1:12" x14ac:dyDescent="0.3">
      <c r="A271" s="46" t="s">
        <v>280</v>
      </c>
      <c r="B271" s="46">
        <f>LEN(Table2[[#This Row],[Employee ID]])</f>
        <v>7</v>
      </c>
      <c r="C271" s="46" t="s">
        <v>1577</v>
      </c>
      <c r="D271" s="47">
        <v>28282</v>
      </c>
      <c r="E271" s="47">
        <v>29521</v>
      </c>
      <c r="F271" s="46" t="s">
        <v>2605</v>
      </c>
      <c r="G271" s="46">
        <v>82925</v>
      </c>
      <c r="H271" s="46" t="s">
        <v>2606</v>
      </c>
      <c r="I271" s="46" t="s">
        <v>2617</v>
      </c>
      <c r="J271" s="46" t="s">
        <v>2844</v>
      </c>
      <c r="K271" s="46" t="s">
        <v>3304</v>
      </c>
      <c r="L271" s="46">
        <v>45</v>
      </c>
    </row>
    <row r="272" spans="1:12" x14ac:dyDescent="0.3">
      <c r="A272" s="46" t="s">
        <v>281</v>
      </c>
      <c r="B272" s="46">
        <f>LEN(Table2[[#This Row],[Employee ID]])</f>
        <v>7</v>
      </c>
      <c r="C272" s="46" t="s">
        <v>1578</v>
      </c>
      <c r="D272" s="47">
        <v>27903</v>
      </c>
      <c r="E272" s="47">
        <v>29565</v>
      </c>
      <c r="F272" s="46" t="s">
        <v>2604</v>
      </c>
      <c r="G272" s="46">
        <v>47979</v>
      </c>
      <c r="H272" s="46" t="s">
        <v>2610</v>
      </c>
      <c r="I272" s="46" t="s">
        <v>2616</v>
      </c>
      <c r="J272" s="46" t="s">
        <v>2845</v>
      </c>
      <c r="K272" s="46" t="s">
        <v>3308</v>
      </c>
      <c r="L272" s="46">
        <v>45</v>
      </c>
    </row>
    <row r="273" spans="1:12" x14ac:dyDescent="0.3">
      <c r="A273" s="46" t="s">
        <v>282</v>
      </c>
      <c r="B273" s="46">
        <f>LEN(Table2[[#This Row],[Employee ID]])</f>
        <v>7</v>
      </c>
      <c r="C273" s="46" t="s">
        <v>1579</v>
      </c>
      <c r="D273" s="47">
        <v>36369</v>
      </c>
      <c r="E273" s="47">
        <v>43267</v>
      </c>
      <c r="F273" s="46" t="s">
        <v>2600</v>
      </c>
      <c r="G273" s="46">
        <v>26642</v>
      </c>
      <c r="H273" s="46" t="s">
        <v>2615</v>
      </c>
      <c r="I273" s="46" t="s">
        <v>2617</v>
      </c>
      <c r="J273" s="46" t="s">
        <v>2652</v>
      </c>
      <c r="K273" s="46" t="s">
        <v>3304</v>
      </c>
      <c r="L273" s="46">
        <v>7</v>
      </c>
    </row>
    <row r="274" spans="1:12" x14ac:dyDescent="0.3">
      <c r="A274" s="46" t="s">
        <v>283</v>
      </c>
      <c r="B274" s="46">
        <f>LEN(Table2[[#This Row],[Employee ID]])</f>
        <v>7</v>
      </c>
      <c r="C274" s="46" t="s">
        <v>1580</v>
      </c>
      <c r="D274" s="47">
        <v>31454</v>
      </c>
      <c r="E274" s="47">
        <v>29391</v>
      </c>
      <c r="F274" s="46" t="s">
        <v>2602</v>
      </c>
      <c r="G274" s="46">
        <v>133821</v>
      </c>
      <c r="H274" s="46" t="s">
        <v>2606</v>
      </c>
      <c r="I274" s="46" t="s">
        <v>2617</v>
      </c>
      <c r="J274" s="46" t="s">
        <v>2846</v>
      </c>
      <c r="K274" s="46" t="s">
        <v>3308</v>
      </c>
      <c r="L274" s="46">
        <v>45</v>
      </c>
    </row>
    <row r="275" spans="1:12" x14ac:dyDescent="0.3">
      <c r="A275" s="46" t="s">
        <v>284</v>
      </c>
      <c r="B275" s="46">
        <f>LEN(Table2[[#This Row],[Employee ID]])</f>
        <v>7</v>
      </c>
      <c r="C275" s="46" t="s">
        <v>1581</v>
      </c>
      <c r="D275" s="47">
        <v>22790</v>
      </c>
      <c r="E275" s="47">
        <v>25786</v>
      </c>
      <c r="F275" s="46" t="s">
        <v>2601</v>
      </c>
      <c r="G275" s="46">
        <v>25230</v>
      </c>
      <c r="H275" s="46" t="s">
        <v>2612</v>
      </c>
      <c r="I275" s="46" t="s">
        <v>2617</v>
      </c>
      <c r="J275" s="46" t="s">
        <v>2847</v>
      </c>
      <c r="K275" s="46" t="s">
        <v>3308</v>
      </c>
      <c r="L275" s="46">
        <v>55</v>
      </c>
    </row>
    <row r="276" spans="1:12" x14ac:dyDescent="0.3">
      <c r="A276" s="46" t="s">
        <v>285</v>
      </c>
      <c r="B276" s="46">
        <f>LEN(Table2[[#This Row],[Employee ID]])</f>
        <v>7</v>
      </c>
      <c r="C276" s="46" t="s">
        <v>1582</v>
      </c>
      <c r="D276" s="47">
        <v>29249</v>
      </c>
      <c r="E276" s="47">
        <v>36010</v>
      </c>
      <c r="F276" s="46" t="s">
        <v>2604</v>
      </c>
      <c r="G276" s="46">
        <v>33956</v>
      </c>
      <c r="H276" s="46" t="s">
        <v>2614</v>
      </c>
      <c r="I276" s="46" t="s">
        <v>2617</v>
      </c>
      <c r="J276" s="46" t="s">
        <v>2772</v>
      </c>
      <c r="K276" s="46" t="s">
        <v>3310</v>
      </c>
      <c r="L276" s="46">
        <v>27</v>
      </c>
    </row>
    <row r="277" spans="1:12" x14ac:dyDescent="0.3">
      <c r="A277" s="46" t="s">
        <v>286</v>
      </c>
      <c r="B277" s="46">
        <f>LEN(Table2[[#This Row],[Employee ID]])</f>
        <v>7</v>
      </c>
      <c r="C277" s="46" t="s">
        <v>1583</v>
      </c>
      <c r="D277" s="47">
        <v>33181</v>
      </c>
      <c r="E277" s="47">
        <v>31064</v>
      </c>
      <c r="F277" s="46" t="s">
        <v>2604</v>
      </c>
      <c r="G277" s="46">
        <v>133164</v>
      </c>
      <c r="H277" s="46" t="s">
        <v>2610</v>
      </c>
      <c r="I277" s="46" t="s">
        <v>2617</v>
      </c>
      <c r="J277" s="46" t="s">
        <v>2848</v>
      </c>
      <c r="K277" s="46" t="s">
        <v>3310</v>
      </c>
      <c r="L277" s="46">
        <v>40</v>
      </c>
    </row>
    <row r="278" spans="1:12" x14ac:dyDescent="0.3">
      <c r="A278" s="46" t="s">
        <v>287</v>
      </c>
      <c r="B278" s="46">
        <f>LEN(Table2[[#This Row],[Employee ID]])</f>
        <v>7</v>
      </c>
      <c r="C278" s="46" t="s">
        <v>1584</v>
      </c>
      <c r="D278" s="47">
        <v>33262</v>
      </c>
      <c r="E278" s="47">
        <v>28207</v>
      </c>
      <c r="F278" s="46" t="s">
        <v>2599</v>
      </c>
      <c r="G278" s="46">
        <v>165651</v>
      </c>
      <c r="H278" s="46" t="s">
        <v>2613</v>
      </c>
      <c r="I278" s="46" t="s">
        <v>2616</v>
      </c>
      <c r="J278" s="46" t="s">
        <v>2849</v>
      </c>
      <c r="K278" s="46" t="s">
        <v>3305</v>
      </c>
      <c r="L278" s="46">
        <v>48</v>
      </c>
    </row>
    <row r="279" spans="1:12" x14ac:dyDescent="0.3">
      <c r="A279" s="46" t="s">
        <v>288</v>
      </c>
      <c r="B279" s="46">
        <f>LEN(Table2[[#This Row],[Employee ID]])</f>
        <v>7</v>
      </c>
      <c r="C279" s="46" t="s">
        <v>1585</v>
      </c>
      <c r="D279" s="47">
        <v>24174</v>
      </c>
      <c r="E279" s="47">
        <v>44668</v>
      </c>
      <c r="F279" s="46" t="s">
        <v>2599</v>
      </c>
      <c r="G279" s="46">
        <v>70501</v>
      </c>
      <c r="H279" s="46" t="s">
        <v>2615</v>
      </c>
      <c r="I279" s="46" t="s">
        <v>2616</v>
      </c>
      <c r="J279" s="46" t="s">
        <v>2850</v>
      </c>
      <c r="K279" s="46" t="s">
        <v>3307</v>
      </c>
      <c r="L279" s="46">
        <v>3</v>
      </c>
    </row>
    <row r="280" spans="1:12" x14ac:dyDescent="0.3">
      <c r="A280" s="46" t="s">
        <v>289</v>
      </c>
      <c r="B280" s="46">
        <f>LEN(Table2[[#This Row],[Employee ID]])</f>
        <v>7</v>
      </c>
      <c r="C280" s="46" t="s">
        <v>1586</v>
      </c>
      <c r="D280" s="47">
        <v>26422</v>
      </c>
      <c r="E280" s="47">
        <v>26448</v>
      </c>
      <c r="F280" s="46" t="s">
        <v>2599</v>
      </c>
      <c r="G280" s="46">
        <v>62227</v>
      </c>
      <c r="H280" s="46" t="s">
        <v>2613</v>
      </c>
      <c r="I280" s="46" t="s">
        <v>2616</v>
      </c>
      <c r="J280" s="46" t="s">
        <v>2851</v>
      </c>
      <c r="K280" s="46" t="s">
        <v>3310</v>
      </c>
      <c r="L280" s="46">
        <v>53</v>
      </c>
    </row>
    <row r="281" spans="1:12" x14ac:dyDescent="0.3">
      <c r="A281" s="46" t="s">
        <v>290</v>
      </c>
      <c r="B281" s="46">
        <f>LEN(Table2[[#This Row],[Employee ID]])</f>
        <v>7</v>
      </c>
      <c r="C281" s="46" t="s">
        <v>1587</v>
      </c>
      <c r="D281" s="47">
        <v>37406</v>
      </c>
      <c r="E281" s="47">
        <v>43748</v>
      </c>
      <c r="F281" s="46" t="s">
        <v>2602</v>
      </c>
      <c r="G281" s="46">
        <v>193315</v>
      </c>
      <c r="H281" s="46" t="s">
        <v>2610</v>
      </c>
      <c r="I281" s="46" t="s">
        <v>2616</v>
      </c>
      <c r="J281" s="46" t="s">
        <v>2630</v>
      </c>
      <c r="K281" s="46" t="s">
        <v>3305</v>
      </c>
      <c r="L281" s="46">
        <v>6</v>
      </c>
    </row>
    <row r="282" spans="1:12" x14ac:dyDescent="0.3">
      <c r="A282" s="46" t="s">
        <v>291</v>
      </c>
      <c r="B282" s="46">
        <f>LEN(Table2[[#This Row],[Employee ID]])</f>
        <v>7</v>
      </c>
      <c r="C282" s="46" t="s">
        <v>1588</v>
      </c>
      <c r="D282" s="47">
        <v>25501</v>
      </c>
      <c r="E282" s="47">
        <v>30522</v>
      </c>
      <c r="F282" s="46" t="s">
        <v>2599</v>
      </c>
      <c r="G282" s="46">
        <v>25610</v>
      </c>
      <c r="H282" s="46" t="s">
        <v>2609</v>
      </c>
      <c r="I282" s="46" t="s">
        <v>2617</v>
      </c>
      <c r="J282" s="46" t="s">
        <v>2852</v>
      </c>
      <c r="K282" s="46" t="s">
        <v>3306</v>
      </c>
      <c r="L282" s="46">
        <v>42</v>
      </c>
    </row>
    <row r="283" spans="1:12" x14ac:dyDescent="0.3">
      <c r="A283" s="46" t="s">
        <v>292</v>
      </c>
      <c r="B283" s="46">
        <f>LEN(Table2[[#This Row],[Employee ID]])</f>
        <v>7</v>
      </c>
      <c r="C283" s="46" t="s">
        <v>1589</v>
      </c>
      <c r="D283" s="47">
        <v>37342</v>
      </c>
      <c r="E283" s="47">
        <v>40435</v>
      </c>
      <c r="F283" s="46" t="s">
        <v>2604</v>
      </c>
      <c r="G283" s="46">
        <v>165386</v>
      </c>
      <c r="H283" s="46" t="s">
        <v>2608</v>
      </c>
      <c r="I283" s="46" t="s">
        <v>2617</v>
      </c>
      <c r="J283" s="46" t="s">
        <v>2853</v>
      </c>
      <c r="K283" s="46" t="s">
        <v>3306</v>
      </c>
      <c r="L283" s="46">
        <v>15</v>
      </c>
    </row>
    <row r="284" spans="1:12" x14ac:dyDescent="0.3">
      <c r="A284" s="46" t="s">
        <v>293</v>
      </c>
      <c r="B284" s="46">
        <f>LEN(Table2[[#This Row],[Employee ID]])</f>
        <v>7</v>
      </c>
      <c r="C284" s="46" t="s">
        <v>1590</v>
      </c>
      <c r="D284" s="47">
        <v>32942</v>
      </c>
      <c r="E284" s="47">
        <v>35002</v>
      </c>
      <c r="F284" s="46" t="s">
        <v>2605</v>
      </c>
      <c r="G284" s="46">
        <v>148533</v>
      </c>
      <c r="H284" s="46" t="s">
        <v>2608</v>
      </c>
      <c r="I284" s="46" t="s">
        <v>2617</v>
      </c>
      <c r="J284" s="46" t="s">
        <v>2854</v>
      </c>
      <c r="K284" s="46" t="s">
        <v>3308</v>
      </c>
      <c r="L284" s="46">
        <v>30</v>
      </c>
    </row>
    <row r="285" spans="1:12" x14ac:dyDescent="0.3">
      <c r="A285" s="46" t="s">
        <v>294</v>
      </c>
      <c r="B285" s="46">
        <f>LEN(Table2[[#This Row],[Employee ID]])</f>
        <v>7</v>
      </c>
      <c r="C285" s="46" t="s">
        <v>1591</v>
      </c>
      <c r="D285" s="47">
        <v>27220</v>
      </c>
      <c r="E285" s="47">
        <v>25806</v>
      </c>
      <c r="F285" s="46" t="s">
        <v>2602</v>
      </c>
      <c r="G285" s="46">
        <v>115556</v>
      </c>
      <c r="H285" s="46" t="s">
        <v>2607</v>
      </c>
      <c r="I285" s="46" t="s">
        <v>2616</v>
      </c>
      <c r="J285" s="46" t="s">
        <v>2816</v>
      </c>
      <c r="K285" s="46" t="s">
        <v>3309</v>
      </c>
      <c r="L285" s="46">
        <v>55</v>
      </c>
    </row>
    <row r="286" spans="1:12" x14ac:dyDescent="0.3">
      <c r="A286" s="46" t="s">
        <v>295</v>
      </c>
      <c r="B286" s="46">
        <f>LEN(Table2[[#This Row],[Employee ID]])</f>
        <v>7</v>
      </c>
      <c r="C286" s="46" t="s">
        <v>1592</v>
      </c>
      <c r="D286" s="47">
        <v>37126</v>
      </c>
      <c r="E286" s="47">
        <v>35969</v>
      </c>
      <c r="F286" s="46" t="s">
        <v>2602</v>
      </c>
      <c r="G286" s="46">
        <v>153593</v>
      </c>
      <c r="H286" s="46" t="s">
        <v>2610</v>
      </c>
      <c r="I286" s="46" t="s">
        <v>2616</v>
      </c>
      <c r="J286" s="46" t="s">
        <v>2855</v>
      </c>
      <c r="K286" s="46" t="s">
        <v>3310</v>
      </c>
      <c r="L286" s="46">
        <v>27</v>
      </c>
    </row>
    <row r="287" spans="1:12" x14ac:dyDescent="0.3">
      <c r="A287" s="46" t="s">
        <v>296</v>
      </c>
      <c r="B287" s="46">
        <f>LEN(Table2[[#This Row],[Employee ID]])</f>
        <v>7</v>
      </c>
      <c r="C287" s="46" t="s">
        <v>1593</v>
      </c>
      <c r="D287" s="47">
        <v>24142</v>
      </c>
      <c r="E287" s="47">
        <v>29318</v>
      </c>
      <c r="F287" s="46" t="s">
        <v>2599</v>
      </c>
      <c r="G287" s="46">
        <v>107881</v>
      </c>
      <c r="H287" s="46" t="s">
        <v>2607</v>
      </c>
      <c r="I287" s="46" t="s">
        <v>2616</v>
      </c>
      <c r="J287" s="46" t="s">
        <v>2856</v>
      </c>
      <c r="K287" s="46" t="s">
        <v>3306</v>
      </c>
      <c r="L287" s="46">
        <v>45</v>
      </c>
    </row>
    <row r="288" spans="1:12" x14ac:dyDescent="0.3">
      <c r="A288" s="46" t="s">
        <v>297</v>
      </c>
      <c r="B288" s="46">
        <f>LEN(Table2[[#This Row],[Employee ID]])</f>
        <v>7</v>
      </c>
      <c r="C288" s="46" t="s">
        <v>1594</v>
      </c>
      <c r="D288" s="47">
        <v>25773</v>
      </c>
      <c r="E288" s="47">
        <v>25761</v>
      </c>
      <c r="F288" s="46" t="s">
        <v>2599</v>
      </c>
      <c r="G288" s="46">
        <v>187758</v>
      </c>
      <c r="H288" s="46" t="s">
        <v>2614</v>
      </c>
      <c r="I288" s="46" t="s">
        <v>2617</v>
      </c>
      <c r="J288" s="46" t="s">
        <v>2620</v>
      </c>
      <c r="K288" s="46" t="s">
        <v>3310</v>
      </c>
      <c r="L288" s="46">
        <v>55</v>
      </c>
    </row>
    <row r="289" spans="1:12" x14ac:dyDescent="0.3">
      <c r="A289" s="46" t="s">
        <v>298</v>
      </c>
      <c r="B289" s="46">
        <f>LEN(Table2[[#This Row],[Employee ID]])</f>
        <v>7</v>
      </c>
      <c r="C289" s="46" t="s">
        <v>1595</v>
      </c>
      <c r="D289" s="47">
        <v>26348</v>
      </c>
      <c r="E289" s="47">
        <v>43942</v>
      </c>
      <c r="F289" s="46" t="s">
        <v>2603</v>
      </c>
      <c r="G289" s="46">
        <v>51849</v>
      </c>
      <c r="H289" s="46" t="s">
        <v>2611</v>
      </c>
      <c r="I289" s="46" t="s">
        <v>2617</v>
      </c>
      <c r="J289" s="46" t="s">
        <v>2857</v>
      </c>
      <c r="K289" s="46" t="s">
        <v>3307</v>
      </c>
      <c r="L289" s="46">
        <v>5</v>
      </c>
    </row>
    <row r="290" spans="1:12" x14ac:dyDescent="0.3">
      <c r="A290" s="46" t="s">
        <v>299</v>
      </c>
      <c r="B290" s="46">
        <f>LEN(Table2[[#This Row],[Employee ID]])</f>
        <v>7</v>
      </c>
      <c r="C290" s="46" t="s">
        <v>1596</v>
      </c>
      <c r="D290" s="47">
        <v>23144</v>
      </c>
      <c r="E290" s="47">
        <v>28446</v>
      </c>
      <c r="F290" s="46" t="s">
        <v>2600</v>
      </c>
      <c r="G290" s="46">
        <v>157660</v>
      </c>
      <c r="H290" s="46" t="s">
        <v>2607</v>
      </c>
      <c r="I290" s="46" t="s">
        <v>2616</v>
      </c>
      <c r="J290" s="46" t="s">
        <v>2858</v>
      </c>
      <c r="K290" s="46" t="s">
        <v>3307</v>
      </c>
      <c r="L290" s="46">
        <v>48</v>
      </c>
    </row>
    <row r="291" spans="1:12" x14ac:dyDescent="0.3">
      <c r="A291" s="46" t="s">
        <v>300</v>
      </c>
      <c r="B291" s="46">
        <f>LEN(Table2[[#This Row],[Employee ID]])</f>
        <v>7</v>
      </c>
      <c r="C291" s="46" t="s">
        <v>1597</v>
      </c>
      <c r="D291" s="47">
        <v>29454</v>
      </c>
      <c r="E291" s="47">
        <v>28437</v>
      </c>
      <c r="F291" s="46" t="s">
        <v>2601</v>
      </c>
      <c r="G291" s="46">
        <v>66566</v>
      </c>
      <c r="H291" s="46" t="s">
        <v>2611</v>
      </c>
      <c r="I291" s="46" t="s">
        <v>2617</v>
      </c>
      <c r="J291" s="46" t="s">
        <v>2859</v>
      </c>
      <c r="K291" s="46" t="s">
        <v>3307</v>
      </c>
      <c r="L291" s="46">
        <v>48</v>
      </c>
    </row>
    <row r="292" spans="1:12" x14ac:dyDescent="0.3">
      <c r="A292" s="46" t="s">
        <v>301</v>
      </c>
      <c r="B292" s="46">
        <f>LEN(Table2[[#This Row],[Employee ID]])</f>
        <v>7</v>
      </c>
      <c r="C292" s="46" t="s">
        <v>1598</v>
      </c>
      <c r="D292" s="47">
        <v>23864</v>
      </c>
      <c r="E292" s="47">
        <v>32937</v>
      </c>
      <c r="F292" s="46" t="s">
        <v>2601</v>
      </c>
      <c r="G292" s="46">
        <v>138018</v>
      </c>
      <c r="H292" s="46" t="s">
        <v>2614</v>
      </c>
      <c r="I292" s="46" t="s">
        <v>2616</v>
      </c>
      <c r="J292" s="46" t="s">
        <v>2860</v>
      </c>
      <c r="K292" s="46" t="s">
        <v>3305</v>
      </c>
      <c r="L292" s="46">
        <v>35</v>
      </c>
    </row>
    <row r="293" spans="1:12" x14ac:dyDescent="0.3">
      <c r="A293" s="46" t="s">
        <v>302</v>
      </c>
      <c r="B293" s="46">
        <f>LEN(Table2[[#This Row],[Employee ID]])</f>
        <v>7</v>
      </c>
      <c r="C293" s="46" t="s">
        <v>1599</v>
      </c>
      <c r="D293" s="47">
        <v>33553</v>
      </c>
      <c r="E293" s="47">
        <v>43388</v>
      </c>
      <c r="F293" s="46" t="s">
        <v>2601</v>
      </c>
      <c r="G293" s="46">
        <v>64304</v>
      </c>
      <c r="H293" s="46" t="s">
        <v>2608</v>
      </c>
      <c r="I293" s="46" t="s">
        <v>2617</v>
      </c>
      <c r="J293" s="46" t="s">
        <v>2812</v>
      </c>
      <c r="K293" s="46" t="s">
        <v>3305</v>
      </c>
      <c r="L293" s="46">
        <v>7</v>
      </c>
    </row>
    <row r="294" spans="1:12" x14ac:dyDescent="0.3">
      <c r="A294" s="46" t="s">
        <v>303</v>
      </c>
      <c r="B294" s="46">
        <f>LEN(Table2[[#This Row],[Employee ID]])</f>
        <v>7</v>
      </c>
      <c r="C294" s="46" t="s">
        <v>1600</v>
      </c>
      <c r="D294" s="47">
        <v>36527</v>
      </c>
      <c r="E294" s="47">
        <v>25624</v>
      </c>
      <c r="F294" s="46" t="s">
        <v>2603</v>
      </c>
      <c r="G294" s="46">
        <v>120709</v>
      </c>
      <c r="H294" s="46" t="s">
        <v>2609</v>
      </c>
      <c r="I294" s="46" t="s">
        <v>2617</v>
      </c>
      <c r="J294" s="46" t="s">
        <v>2861</v>
      </c>
      <c r="K294" s="46" t="s">
        <v>3310</v>
      </c>
      <c r="L294" s="46">
        <v>55</v>
      </c>
    </row>
    <row r="295" spans="1:12" x14ac:dyDescent="0.3">
      <c r="A295" s="46" t="s">
        <v>304</v>
      </c>
      <c r="B295" s="46">
        <f>LEN(Table2[[#This Row],[Employee ID]])</f>
        <v>7</v>
      </c>
      <c r="C295" s="46" t="s">
        <v>1601</v>
      </c>
      <c r="D295" s="47">
        <v>23086</v>
      </c>
      <c r="E295" s="47">
        <v>33671</v>
      </c>
      <c r="F295" s="46" t="s">
        <v>2605</v>
      </c>
      <c r="G295" s="46">
        <v>195743</v>
      </c>
      <c r="H295" s="46" t="s">
        <v>2612</v>
      </c>
      <c r="I295" s="46" t="s">
        <v>2617</v>
      </c>
      <c r="J295" s="46" t="s">
        <v>2862</v>
      </c>
      <c r="K295" s="46" t="s">
        <v>3309</v>
      </c>
      <c r="L295" s="46">
        <v>33</v>
      </c>
    </row>
    <row r="296" spans="1:12" x14ac:dyDescent="0.3">
      <c r="A296" s="46" t="s">
        <v>305</v>
      </c>
      <c r="B296" s="46">
        <f>LEN(Table2[[#This Row],[Employee ID]])</f>
        <v>7</v>
      </c>
      <c r="C296" s="46" t="s">
        <v>1602</v>
      </c>
      <c r="D296" s="47">
        <v>30178</v>
      </c>
      <c r="E296" s="47">
        <v>33199</v>
      </c>
      <c r="F296" s="46" t="s">
        <v>2603</v>
      </c>
      <c r="G296" s="46">
        <v>174715</v>
      </c>
      <c r="H296" s="46" t="s">
        <v>2608</v>
      </c>
      <c r="I296" s="46" t="s">
        <v>2617</v>
      </c>
      <c r="J296" s="46" t="s">
        <v>2863</v>
      </c>
      <c r="K296" s="46" t="s">
        <v>3304</v>
      </c>
      <c r="L296" s="46">
        <v>35</v>
      </c>
    </row>
    <row r="297" spans="1:12" x14ac:dyDescent="0.3">
      <c r="A297" s="46" t="s">
        <v>306</v>
      </c>
      <c r="B297" s="46">
        <f>LEN(Table2[[#This Row],[Employee ID]])</f>
        <v>7</v>
      </c>
      <c r="C297" s="46" t="s">
        <v>1603</v>
      </c>
      <c r="D297" s="47">
        <v>25430</v>
      </c>
      <c r="E297" s="47">
        <v>35531</v>
      </c>
      <c r="F297" s="46" t="s">
        <v>2602</v>
      </c>
      <c r="G297" s="46">
        <v>90394</v>
      </c>
      <c r="H297" s="46" t="s">
        <v>2614</v>
      </c>
      <c r="I297" s="46" t="s">
        <v>2616</v>
      </c>
      <c r="J297" s="46" t="s">
        <v>2803</v>
      </c>
      <c r="K297" s="46" t="s">
        <v>3308</v>
      </c>
      <c r="L297" s="46">
        <v>28</v>
      </c>
    </row>
    <row r="298" spans="1:12" x14ac:dyDescent="0.3">
      <c r="A298" s="46" t="s">
        <v>307</v>
      </c>
      <c r="B298" s="46">
        <f>LEN(Table2[[#This Row],[Employee ID]])</f>
        <v>7</v>
      </c>
      <c r="C298" s="46" t="s">
        <v>1604</v>
      </c>
      <c r="D298" s="47">
        <v>33730</v>
      </c>
      <c r="E298" s="47">
        <v>38930</v>
      </c>
      <c r="F298" s="46" t="s">
        <v>2603</v>
      </c>
      <c r="G298" s="46">
        <v>116482</v>
      </c>
      <c r="H298" s="46" t="s">
        <v>2615</v>
      </c>
      <c r="I298" s="46" t="s">
        <v>2617</v>
      </c>
      <c r="J298" s="46" t="s">
        <v>2864</v>
      </c>
      <c r="K298" s="46" t="s">
        <v>3305</v>
      </c>
      <c r="L298" s="46">
        <v>19</v>
      </c>
    </row>
    <row r="299" spans="1:12" x14ac:dyDescent="0.3">
      <c r="A299" s="46" t="s">
        <v>308</v>
      </c>
      <c r="B299" s="46">
        <f>LEN(Table2[[#This Row],[Employee ID]])</f>
        <v>7</v>
      </c>
      <c r="C299" s="46" t="s">
        <v>1605</v>
      </c>
      <c r="D299" s="47">
        <v>30662</v>
      </c>
      <c r="E299" s="47">
        <v>43806</v>
      </c>
      <c r="F299" s="46" t="s">
        <v>2603</v>
      </c>
      <c r="G299" s="46">
        <v>186056</v>
      </c>
      <c r="H299" s="46" t="s">
        <v>2614</v>
      </c>
      <c r="I299" s="46" t="s">
        <v>2617</v>
      </c>
      <c r="J299" s="46" t="s">
        <v>2865</v>
      </c>
      <c r="K299" s="46" t="s">
        <v>3310</v>
      </c>
      <c r="L299" s="46">
        <v>6</v>
      </c>
    </row>
    <row r="300" spans="1:12" x14ac:dyDescent="0.3">
      <c r="A300" s="46" t="s">
        <v>309</v>
      </c>
      <c r="B300" s="46">
        <f>LEN(Table2[[#This Row],[Employee ID]])</f>
        <v>7</v>
      </c>
      <c r="C300" s="46" t="s">
        <v>1606</v>
      </c>
      <c r="D300" s="47">
        <v>27446</v>
      </c>
      <c r="E300" s="47">
        <v>30159</v>
      </c>
      <c r="F300" s="46" t="s">
        <v>2604</v>
      </c>
      <c r="G300" s="46">
        <v>114431</v>
      </c>
      <c r="H300" s="46" t="s">
        <v>2613</v>
      </c>
      <c r="I300" s="46" t="s">
        <v>2617</v>
      </c>
      <c r="J300" s="46" t="s">
        <v>2781</v>
      </c>
      <c r="K300" s="46" t="s">
        <v>3308</v>
      </c>
      <c r="L300" s="46">
        <v>43</v>
      </c>
    </row>
    <row r="301" spans="1:12" x14ac:dyDescent="0.3">
      <c r="A301" s="46" t="s">
        <v>310</v>
      </c>
      <c r="B301" s="46">
        <f>LEN(Table2[[#This Row],[Employee ID]])</f>
        <v>7</v>
      </c>
      <c r="C301" s="46" t="s">
        <v>1607</v>
      </c>
      <c r="D301" s="47">
        <v>21605</v>
      </c>
      <c r="E301" s="47">
        <v>41798</v>
      </c>
      <c r="F301" s="46" t="s">
        <v>2602</v>
      </c>
      <c r="G301" s="46">
        <v>42872</v>
      </c>
      <c r="H301" s="46" t="s">
        <v>2609</v>
      </c>
      <c r="I301" s="46" t="s">
        <v>2616</v>
      </c>
      <c r="J301" s="46" t="s">
        <v>2866</v>
      </c>
      <c r="K301" s="46" t="s">
        <v>3309</v>
      </c>
      <c r="L301" s="46">
        <v>11</v>
      </c>
    </row>
    <row r="302" spans="1:12" x14ac:dyDescent="0.3">
      <c r="A302" s="46" t="s">
        <v>311</v>
      </c>
      <c r="B302" s="46">
        <f>LEN(Table2[[#This Row],[Employee ID]])</f>
        <v>7</v>
      </c>
      <c r="C302" s="46" t="s">
        <v>1608</v>
      </c>
      <c r="D302" s="47">
        <v>28763</v>
      </c>
      <c r="E302" s="47">
        <v>34848</v>
      </c>
      <c r="F302" s="46" t="s">
        <v>2601</v>
      </c>
      <c r="G302" s="46">
        <v>155254</v>
      </c>
      <c r="H302" s="46" t="s">
        <v>2612</v>
      </c>
      <c r="I302" s="46" t="s">
        <v>2617</v>
      </c>
      <c r="J302" s="46" t="s">
        <v>2867</v>
      </c>
      <c r="K302" s="46" t="s">
        <v>3307</v>
      </c>
      <c r="L302" s="46">
        <v>30</v>
      </c>
    </row>
    <row r="303" spans="1:12" x14ac:dyDescent="0.3">
      <c r="A303" s="46" t="s">
        <v>312</v>
      </c>
      <c r="B303" s="46">
        <f>LEN(Table2[[#This Row],[Employee ID]])</f>
        <v>7</v>
      </c>
      <c r="C303" s="46" t="s">
        <v>1609</v>
      </c>
      <c r="D303" s="47">
        <v>30322</v>
      </c>
      <c r="E303" s="47">
        <v>27200</v>
      </c>
      <c r="F303" s="46" t="s">
        <v>2605</v>
      </c>
      <c r="G303" s="46">
        <v>154922</v>
      </c>
      <c r="H303" s="46" t="s">
        <v>2611</v>
      </c>
      <c r="I303" s="46" t="s">
        <v>2616</v>
      </c>
      <c r="J303" s="46" t="s">
        <v>2868</v>
      </c>
      <c r="K303" s="46" t="s">
        <v>3307</v>
      </c>
      <c r="L303" s="46">
        <v>51</v>
      </c>
    </row>
    <row r="304" spans="1:12" x14ac:dyDescent="0.3">
      <c r="A304" s="46" t="s">
        <v>313</v>
      </c>
      <c r="B304" s="46">
        <f>LEN(Table2[[#This Row],[Employee ID]])</f>
        <v>7</v>
      </c>
      <c r="C304" s="46" t="s">
        <v>1610</v>
      </c>
      <c r="D304" s="47">
        <v>31161</v>
      </c>
      <c r="E304" s="47">
        <v>38290</v>
      </c>
      <c r="F304" s="46" t="s">
        <v>2605</v>
      </c>
      <c r="G304" s="46">
        <v>154982</v>
      </c>
      <c r="H304" s="46" t="s">
        <v>2610</v>
      </c>
      <c r="I304" s="46" t="s">
        <v>2616</v>
      </c>
      <c r="J304" s="46" t="s">
        <v>2869</v>
      </c>
      <c r="K304" s="46" t="s">
        <v>3304</v>
      </c>
      <c r="L304" s="46">
        <v>21</v>
      </c>
    </row>
    <row r="305" spans="1:12" x14ac:dyDescent="0.3">
      <c r="A305" s="46" t="s">
        <v>314</v>
      </c>
      <c r="B305" s="46">
        <f>LEN(Table2[[#This Row],[Employee ID]])</f>
        <v>7</v>
      </c>
      <c r="C305" s="46" t="s">
        <v>1611</v>
      </c>
      <c r="D305" s="47">
        <v>32696</v>
      </c>
      <c r="E305" s="47">
        <v>28504</v>
      </c>
      <c r="F305" s="46" t="s">
        <v>2603</v>
      </c>
      <c r="G305" s="46">
        <v>69130</v>
      </c>
      <c r="H305" s="46" t="s">
        <v>2614</v>
      </c>
      <c r="I305" s="46" t="s">
        <v>2616</v>
      </c>
      <c r="J305" s="46" t="s">
        <v>2870</v>
      </c>
      <c r="K305" s="46" t="s">
        <v>3306</v>
      </c>
      <c r="L305" s="46">
        <v>47</v>
      </c>
    </row>
    <row r="306" spans="1:12" x14ac:dyDescent="0.3">
      <c r="A306" s="46" t="s">
        <v>315</v>
      </c>
      <c r="B306" s="46">
        <f>LEN(Table2[[#This Row],[Employee ID]])</f>
        <v>7</v>
      </c>
      <c r="C306" s="46" t="s">
        <v>1612</v>
      </c>
      <c r="D306" s="47">
        <v>28468</v>
      </c>
      <c r="E306" s="47">
        <v>37261</v>
      </c>
      <c r="F306" s="46" t="s">
        <v>2604</v>
      </c>
      <c r="G306" s="46">
        <v>66065</v>
      </c>
      <c r="H306" s="46" t="s">
        <v>2606</v>
      </c>
      <c r="I306" s="46" t="s">
        <v>2617</v>
      </c>
      <c r="J306" s="46" t="s">
        <v>2843</v>
      </c>
      <c r="K306" s="46" t="s">
        <v>3305</v>
      </c>
      <c r="L306" s="46">
        <v>23</v>
      </c>
    </row>
    <row r="307" spans="1:12" x14ac:dyDescent="0.3">
      <c r="A307" s="46" t="s">
        <v>316</v>
      </c>
      <c r="B307" s="46">
        <f>LEN(Table2[[#This Row],[Employee ID]])</f>
        <v>7</v>
      </c>
      <c r="C307" s="46" t="s">
        <v>1613</v>
      </c>
      <c r="D307" s="47">
        <v>29651</v>
      </c>
      <c r="E307" s="47">
        <v>41092</v>
      </c>
      <c r="F307" s="46" t="s">
        <v>2599</v>
      </c>
      <c r="G307" s="46">
        <v>27287</v>
      </c>
      <c r="H307" s="46" t="s">
        <v>2613</v>
      </c>
      <c r="I307" s="46" t="s">
        <v>2616</v>
      </c>
      <c r="J307" s="46" t="s">
        <v>2843</v>
      </c>
      <c r="K307" s="46" t="s">
        <v>3304</v>
      </c>
      <c r="L307" s="46">
        <v>13</v>
      </c>
    </row>
    <row r="308" spans="1:12" x14ac:dyDescent="0.3">
      <c r="A308" s="46" t="s">
        <v>317</v>
      </c>
      <c r="B308" s="46">
        <f>LEN(Table2[[#This Row],[Employee ID]])</f>
        <v>7</v>
      </c>
      <c r="C308" s="46" t="s">
        <v>1614</v>
      </c>
      <c r="D308" s="47">
        <v>27006</v>
      </c>
      <c r="E308" s="47">
        <v>37515</v>
      </c>
      <c r="F308" s="46" t="s">
        <v>2602</v>
      </c>
      <c r="G308" s="46">
        <v>100859</v>
      </c>
      <c r="H308" s="46" t="s">
        <v>2612</v>
      </c>
      <c r="I308" s="46" t="s">
        <v>2617</v>
      </c>
      <c r="J308" s="46" t="s">
        <v>2871</v>
      </c>
      <c r="K308" s="46" t="s">
        <v>3309</v>
      </c>
      <c r="L308" s="46">
        <v>23</v>
      </c>
    </row>
    <row r="309" spans="1:12" x14ac:dyDescent="0.3">
      <c r="A309" s="46" t="s">
        <v>318</v>
      </c>
      <c r="B309" s="46">
        <f>LEN(Table2[[#This Row],[Employee ID]])</f>
        <v>7</v>
      </c>
      <c r="C309" s="46" t="s">
        <v>1615</v>
      </c>
      <c r="D309" s="47">
        <v>26966</v>
      </c>
      <c r="E309" s="47">
        <v>39681</v>
      </c>
      <c r="F309" s="46" t="s">
        <v>2602</v>
      </c>
      <c r="G309" s="46">
        <v>106730</v>
      </c>
      <c r="H309" s="46" t="s">
        <v>2606</v>
      </c>
      <c r="I309" s="46" t="s">
        <v>2616</v>
      </c>
      <c r="J309" s="46" t="s">
        <v>2765</v>
      </c>
      <c r="K309" s="46" t="s">
        <v>3308</v>
      </c>
      <c r="L309" s="46">
        <v>17</v>
      </c>
    </row>
    <row r="310" spans="1:12" x14ac:dyDescent="0.3">
      <c r="A310" s="46" t="s">
        <v>319</v>
      </c>
      <c r="B310" s="46">
        <f>LEN(Table2[[#This Row],[Employee ID]])</f>
        <v>7</v>
      </c>
      <c r="C310" s="46" t="s">
        <v>1616</v>
      </c>
      <c r="D310" s="47">
        <v>34132</v>
      </c>
      <c r="E310" s="47">
        <v>30565</v>
      </c>
      <c r="F310" s="46" t="s">
        <v>2600</v>
      </c>
      <c r="G310" s="46">
        <v>160389</v>
      </c>
      <c r="H310" s="46" t="s">
        <v>2607</v>
      </c>
      <c r="I310" s="46" t="s">
        <v>2616</v>
      </c>
      <c r="J310" s="46" t="s">
        <v>2872</v>
      </c>
      <c r="K310" s="46" t="s">
        <v>3308</v>
      </c>
      <c r="L310" s="46">
        <v>42</v>
      </c>
    </row>
    <row r="311" spans="1:12" x14ac:dyDescent="0.3">
      <c r="A311" s="46" t="s">
        <v>320</v>
      </c>
      <c r="B311" s="46">
        <f>LEN(Table2[[#This Row],[Employee ID]])</f>
        <v>7</v>
      </c>
      <c r="C311" s="46" t="s">
        <v>1617</v>
      </c>
      <c r="D311" s="47">
        <v>37418</v>
      </c>
      <c r="E311" s="47">
        <v>28651</v>
      </c>
      <c r="F311" s="46" t="s">
        <v>2604</v>
      </c>
      <c r="G311" s="46">
        <v>116981</v>
      </c>
      <c r="H311" s="46" t="s">
        <v>2613</v>
      </c>
      <c r="I311" s="46" t="s">
        <v>2617</v>
      </c>
      <c r="J311" s="46" t="s">
        <v>2873</v>
      </c>
      <c r="K311" s="46" t="s">
        <v>3309</v>
      </c>
      <c r="L311" s="46">
        <v>47</v>
      </c>
    </row>
    <row r="312" spans="1:12" x14ac:dyDescent="0.3">
      <c r="A312" s="46" t="s">
        <v>321</v>
      </c>
      <c r="B312" s="46">
        <f>LEN(Table2[[#This Row],[Employee ID]])</f>
        <v>7</v>
      </c>
      <c r="C312" s="46" t="s">
        <v>1618</v>
      </c>
      <c r="D312" s="47">
        <v>28101</v>
      </c>
      <c r="E312" s="47">
        <v>37792</v>
      </c>
      <c r="F312" s="46" t="s">
        <v>2603</v>
      </c>
      <c r="G312" s="46">
        <v>32827</v>
      </c>
      <c r="H312" s="46" t="s">
        <v>2610</v>
      </c>
      <c r="I312" s="46" t="s">
        <v>2617</v>
      </c>
      <c r="J312" s="46" t="s">
        <v>2874</v>
      </c>
      <c r="K312" s="46" t="s">
        <v>3310</v>
      </c>
      <c r="L312" s="46">
        <v>22</v>
      </c>
    </row>
    <row r="313" spans="1:12" x14ac:dyDescent="0.3">
      <c r="A313" s="46" t="s">
        <v>322</v>
      </c>
      <c r="B313" s="46">
        <f>LEN(Table2[[#This Row],[Employee ID]])</f>
        <v>7</v>
      </c>
      <c r="C313" s="46" t="s">
        <v>1619</v>
      </c>
      <c r="D313" s="47">
        <v>26389</v>
      </c>
      <c r="E313" s="47">
        <v>31008</v>
      </c>
      <c r="F313" s="46" t="s">
        <v>2602</v>
      </c>
      <c r="G313" s="46">
        <v>29991</v>
      </c>
      <c r="H313" s="46" t="s">
        <v>2608</v>
      </c>
      <c r="I313" s="46" t="s">
        <v>2616</v>
      </c>
      <c r="J313" s="46" t="s">
        <v>2875</v>
      </c>
      <c r="K313" s="46" t="s">
        <v>3307</v>
      </c>
      <c r="L313" s="46">
        <v>41</v>
      </c>
    </row>
    <row r="314" spans="1:12" x14ac:dyDescent="0.3">
      <c r="A314" s="46" t="s">
        <v>323</v>
      </c>
      <c r="B314" s="46">
        <f>LEN(Table2[[#This Row],[Employee ID]])</f>
        <v>7</v>
      </c>
      <c r="C314" s="46" t="s">
        <v>1620</v>
      </c>
      <c r="D314" s="47">
        <v>36043</v>
      </c>
      <c r="E314" s="47">
        <v>40547</v>
      </c>
      <c r="F314" s="46" t="s">
        <v>2603</v>
      </c>
      <c r="G314" s="46">
        <v>129233</v>
      </c>
      <c r="H314" s="46" t="s">
        <v>2612</v>
      </c>
      <c r="I314" s="46" t="s">
        <v>2616</v>
      </c>
      <c r="J314" s="46" t="s">
        <v>2876</v>
      </c>
      <c r="K314" s="46" t="s">
        <v>3305</v>
      </c>
      <c r="L314" s="46">
        <v>14</v>
      </c>
    </row>
    <row r="315" spans="1:12" x14ac:dyDescent="0.3">
      <c r="A315" s="46" t="s">
        <v>324</v>
      </c>
      <c r="B315" s="46">
        <f>LEN(Table2[[#This Row],[Employee ID]])</f>
        <v>7</v>
      </c>
      <c r="C315" s="46" t="s">
        <v>1621</v>
      </c>
      <c r="D315" s="47">
        <v>27615</v>
      </c>
      <c r="E315" s="47">
        <v>25781</v>
      </c>
      <c r="F315" s="46" t="s">
        <v>2599</v>
      </c>
      <c r="G315" s="46">
        <v>79263</v>
      </c>
      <c r="H315" s="46" t="s">
        <v>2612</v>
      </c>
      <c r="I315" s="46" t="s">
        <v>2617</v>
      </c>
      <c r="J315" s="46" t="s">
        <v>2877</v>
      </c>
      <c r="K315" s="46" t="s">
        <v>3307</v>
      </c>
      <c r="L315" s="46">
        <v>55</v>
      </c>
    </row>
    <row r="316" spans="1:12" x14ac:dyDescent="0.3">
      <c r="A316" s="46" t="s">
        <v>325</v>
      </c>
      <c r="B316" s="46">
        <f>LEN(Table2[[#This Row],[Employee ID]])</f>
        <v>7</v>
      </c>
      <c r="C316" s="46" t="s">
        <v>1622</v>
      </c>
      <c r="D316" s="47">
        <v>37460</v>
      </c>
      <c r="E316" s="47">
        <v>31638</v>
      </c>
      <c r="F316" s="46" t="s">
        <v>2599</v>
      </c>
      <c r="G316" s="46">
        <v>71594</v>
      </c>
      <c r="H316" s="46" t="s">
        <v>2612</v>
      </c>
      <c r="I316" s="46" t="s">
        <v>2616</v>
      </c>
      <c r="J316" s="46" t="s">
        <v>2878</v>
      </c>
      <c r="K316" s="46" t="s">
        <v>3308</v>
      </c>
      <c r="L316" s="46">
        <v>39</v>
      </c>
    </row>
    <row r="317" spans="1:12" x14ac:dyDescent="0.3">
      <c r="A317" s="46" t="s">
        <v>326</v>
      </c>
      <c r="B317" s="46">
        <f>LEN(Table2[[#This Row],[Employee ID]])</f>
        <v>7</v>
      </c>
      <c r="C317" s="46" t="s">
        <v>1623</v>
      </c>
      <c r="D317" s="47">
        <v>32881</v>
      </c>
      <c r="E317" s="47">
        <v>41896</v>
      </c>
      <c r="F317" s="46" t="s">
        <v>2601</v>
      </c>
      <c r="G317" s="46">
        <v>141327</v>
      </c>
      <c r="H317" s="46" t="s">
        <v>2606</v>
      </c>
      <c r="I317" s="46" t="s">
        <v>2616</v>
      </c>
      <c r="J317" s="46" t="s">
        <v>2676</v>
      </c>
      <c r="K317" s="46" t="s">
        <v>3308</v>
      </c>
      <c r="L317" s="46">
        <v>11</v>
      </c>
    </row>
    <row r="318" spans="1:12" x14ac:dyDescent="0.3">
      <c r="A318" s="46" t="s">
        <v>327</v>
      </c>
      <c r="B318" s="46">
        <f>LEN(Table2[[#This Row],[Employee ID]])</f>
        <v>7</v>
      </c>
      <c r="C318" s="46" t="s">
        <v>1624</v>
      </c>
      <c r="D318" s="47">
        <v>25137</v>
      </c>
      <c r="E318" s="47">
        <v>26491</v>
      </c>
      <c r="F318" s="46" t="s">
        <v>2604</v>
      </c>
      <c r="G318" s="46">
        <v>131728</v>
      </c>
      <c r="H318" s="46" t="s">
        <v>2615</v>
      </c>
      <c r="I318" s="46" t="s">
        <v>2616</v>
      </c>
      <c r="J318" s="46" t="s">
        <v>2879</v>
      </c>
      <c r="K318" s="46" t="s">
        <v>3304</v>
      </c>
      <c r="L318" s="46">
        <v>53</v>
      </c>
    </row>
    <row r="319" spans="1:12" x14ac:dyDescent="0.3">
      <c r="A319" s="46" t="s">
        <v>328</v>
      </c>
      <c r="B319" s="46">
        <f>LEN(Table2[[#This Row],[Employee ID]])</f>
        <v>7</v>
      </c>
      <c r="C319" s="46" t="s">
        <v>1625</v>
      </c>
      <c r="D319" s="47">
        <v>35380</v>
      </c>
      <c r="E319" s="47">
        <v>25712</v>
      </c>
      <c r="F319" s="46" t="s">
        <v>2600</v>
      </c>
      <c r="G319" s="46">
        <v>194554</v>
      </c>
      <c r="H319" s="46" t="s">
        <v>2606</v>
      </c>
      <c r="I319" s="46" t="s">
        <v>2616</v>
      </c>
      <c r="J319" s="46" t="s">
        <v>2677</v>
      </c>
      <c r="K319" s="46" t="s">
        <v>3305</v>
      </c>
      <c r="L319" s="46">
        <v>55</v>
      </c>
    </row>
    <row r="320" spans="1:12" x14ac:dyDescent="0.3">
      <c r="A320" s="46" t="s">
        <v>329</v>
      </c>
      <c r="B320" s="46">
        <f>LEN(Table2[[#This Row],[Employee ID]])</f>
        <v>7</v>
      </c>
      <c r="C320" s="46" t="s">
        <v>1626</v>
      </c>
      <c r="D320" s="47">
        <v>36480</v>
      </c>
      <c r="E320" s="47">
        <v>25583</v>
      </c>
      <c r="F320" s="46" t="s">
        <v>2601</v>
      </c>
      <c r="G320" s="46">
        <v>87363</v>
      </c>
      <c r="H320" s="46" t="s">
        <v>2611</v>
      </c>
      <c r="I320" s="46" t="s">
        <v>2617</v>
      </c>
      <c r="J320" s="46" t="s">
        <v>2880</v>
      </c>
      <c r="K320" s="46" t="s">
        <v>3304</v>
      </c>
      <c r="L320" s="46">
        <v>55</v>
      </c>
    </row>
    <row r="321" spans="1:12" x14ac:dyDescent="0.3">
      <c r="A321" s="46" t="s">
        <v>330</v>
      </c>
      <c r="B321" s="46">
        <f>LEN(Table2[[#This Row],[Employee ID]])</f>
        <v>7</v>
      </c>
      <c r="C321" s="46" t="s">
        <v>1627</v>
      </c>
      <c r="D321" s="47">
        <v>34773</v>
      </c>
      <c r="E321" s="47">
        <v>34620</v>
      </c>
      <c r="F321" s="46" t="s">
        <v>2605</v>
      </c>
      <c r="G321" s="46">
        <v>146944</v>
      </c>
      <c r="H321" s="46" t="s">
        <v>2609</v>
      </c>
      <c r="I321" s="46" t="s">
        <v>2617</v>
      </c>
      <c r="J321" s="46" t="s">
        <v>2667</v>
      </c>
      <c r="K321" s="46" t="s">
        <v>3309</v>
      </c>
      <c r="L321" s="46">
        <v>31</v>
      </c>
    </row>
    <row r="322" spans="1:12" x14ac:dyDescent="0.3">
      <c r="A322" s="46" t="s">
        <v>331</v>
      </c>
      <c r="B322" s="46">
        <f>LEN(Table2[[#This Row],[Employee ID]])</f>
        <v>7</v>
      </c>
      <c r="C322" s="46" t="s">
        <v>1628</v>
      </c>
      <c r="D322" s="47">
        <v>31362</v>
      </c>
      <c r="E322" s="47">
        <v>31061</v>
      </c>
      <c r="F322" s="46" t="s">
        <v>2602</v>
      </c>
      <c r="G322" s="46">
        <v>166630</v>
      </c>
      <c r="H322" s="46" t="s">
        <v>2614</v>
      </c>
      <c r="I322" s="46" t="s">
        <v>2617</v>
      </c>
      <c r="J322" s="46" t="s">
        <v>2881</v>
      </c>
      <c r="K322" s="46" t="s">
        <v>3309</v>
      </c>
      <c r="L322" s="46">
        <v>40</v>
      </c>
    </row>
    <row r="323" spans="1:12" x14ac:dyDescent="0.3">
      <c r="A323" s="46" t="s">
        <v>332</v>
      </c>
      <c r="B323" s="46">
        <f>LEN(Table2[[#This Row],[Employee ID]])</f>
        <v>7</v>
      </c>
      <c r="C323" s="46" t="s">
        <v>1629</v>
      </c>
      <c r="D323" s="47">
        <v>33894</v>
      </c>
      <c r="E323" s="47">
        <v>34269</v>
      </c>
      <c r="F323" s="46" t="s">
        <v>2602</v>
      </c>
      <c r="G323" s="46">
        <v>115248</v>
      </c>
      <c r="H323" s="46" t="s">
        <v>2613</v>
      </c>
      <c r="I323" s="46" t="s">
        <v>2616</v>
      </c>
      <c r="J323" s="46" t="s">
        <v>2882</v>
      </c>
      <c r="K323" s="46" t="s">
        <v>3304</v>
      </c>
      <c r="L323" s="46">
        <v>32</v>
      </c>
    </row>
    <row r="324" spans="1:12" x14ac:dyDescent="0.3">
      <c r="A324" s="46" t="s">
        <v>333</v>
      </c>
      <c r="B324" s="46">
        <f>LEN(Table2[[#This Row],[Employee ID]])</f>
        <v>7</v>
      </c>
      <c r="C324" s="46" t="s">
        <v>1630</v>
      </c>
      <c r="D324" s="47">
        <v>25362</v>
      </c>
      <c r="E324" s="47">
        <v>37966</v>
      </c>
      <c r="F324" s="46" t="s">
        <v>2602</v>
      </c>
      <c r="G324" s="46">
        <v>115783</v>
      </c>
      <c r="H324" s="46" t="s">
        <v>2615</v>
      </c>
      <c r="I324" s="46" t="s">
        <v>2617</v>
      </c>
      <c r="J324" s="46" t="s">
        <v>2883</v>
      </c>
      <c r="K324" s="46" t="s">
        <v>3305</v>
      </c>
      <c r="L324" s="46">
        <v>22</v>
      </c>
    </row>
    <row r="325" spans="1:12" x14ac:dyDescent="0.3">
      <c r="A325" s="46" t="s">
        <v>334</v>
      </c>
      <c r="B325" s="46">
        <f>LEN(Table2[[#This Row],[Employee ID]])</f>
        <v>7</v>
      </c>
      <c r="C325" s="46" t="s">
        <v>1631</v>
      </c>
      <c r="D325" s="47">
        <v>26948</v>
      </c>
      <c r="E325" s="47">
        <v>38276</v>
      </c>
      <c r="F325" s="46" t="s">
        <v>2605</v>
      </c>
      <c r="G325" s="46">
        <v>184270</v>
      </c>
      <c r="H325" s="46" t="s">
        <v>2612</v>
      </c>
      <c r="I325" s="46" t="s">
        <v>2617</v>
      </c>
      <c r="J325" s="46" t="s">
        <v>2884</v>
      </c>
      <c r="K325" s="46" t="s">
        <v>3310</v>
      </c>
      <c r="L325" s="46">
        <v>21</v>
      </c>
    </row>
    <row r="326" spans="1:12" x14ac:dyDescent="0.3">
      <c r="A326" s="46" t="s">
        <v>335</v>
      </c>
      <c r="B326" s="46">
        <f>LEN(Table2[[#This Row],[Employee ID]])</f>
        <v>7</v>
      </c>
      <c r="C326" s="46" t="s">
        <v>1632</v>
      </c>
      <c r="D326" s="47">
        <v>28076</v>
      </c>
      <c r="E326" s="47">
        <v>29856</v>
      </c>
      <c r="F326" s="46" t="s">
        <v>2602</v>
      </c>
      <c r="G326" s="46">
        <v>44021</v>
      </c>
      <c r="H326" s="46" t="s">
        <v>2611</v>
      </c>
      <c r="I326" s="46" t="s">
        <v>2616</v>
      </c>
      <c r="J326" s="46" t="s">
        <v>2885</v>
      </c>
      <c r="K326" s="46" t="s">
        <v>3306</v>
      </c>
      <c r="L326" s="46">
        <v>44</v>
      </c>
    </row>
    <row r="327" spans="1:12" x14ac:dyDescent="0.3">
      <c r="A327" s="46" t="s">
        <v>336</v>
      </c>
      <c r="B327" s="46">
        <f>LEN(Table2[[#This Row],[Employee ID]])</f>
        <v>7</v>
      </c>
      <c r="C327" s="46" t="s">
        <v>1633</v>
      </c>
      <c r="D327" s="47">
        <v>31199</v>
      </c>
      <c r="E327" s="47">
        <v>41792</v>
      </c>
      <c r="F327" s="46" t="s">
        <v>2605</v>
      </c>
      <c r="G327" s="46">
        <v>57728</v>
      </c>
      <c r="H327" s="46" t="s">
        <v>2612</v>
      </c>
      <c r="I327" s="46" t="s">
        <v>2616</v>
      </c>
      <c r="J327" s="46" t="s">
        <v>2886</v>
      </c>
      <c r="K327" s="46" t="s">
        <v>3305</v>
      </c>
      <c r="L327" s="46">
        <v>11</v>
      </c>
    </row>
    <row r="328" spans="1:12" x14ac:dyDescent="0.3">
      <c r="A328" s="46" t="s">
        <v>337</v>
      </c>
      <c r="B328" s="46">
        <f>LEN(Table2[[#This Row],[Employee ID]])</f>
        <v>7</v>
      </c>
      <c r="C328" s="46" t="s">
        <v>1634</v>
      </c>
      <c r="D328" s="47">
        <v>28859</v>
      </c>
      <c r="E328" s="47">
        <v>27509</v>
      </c>
      <c r="F328" s="46" t="s">
        <v>2605</v>
      </c>
      <c r="G328" s="46">
        <v>73569</v>
      </c>
      <c r="H328" s="46" t="s">
        <v>2609</v>
      </c>
      <c r="I328" s="46" t="s">
        <v>2616</v>
      </c>
      <c r="J328" s="46" t="s">
        <v>2887</v>
      </c>
      <c r="K328" s="46" t="s">
        <v>3310</v>
      </c>
      <c r="L328" s="46">
        <v>50</v>
      </c>
    </row>
    <row r="329" spans="1:12" x14ac:dyDescent="0.3">
      <c r="A329" s="46" t="s">
        <v>338</v>
      </c>
      <c r="B329" s="46">
        <f>LEN(Table2[[#This Row],[Employee ID]])</f>
        <v>7</v>
      </c>
      <c r="C329" s="46" t="s">
        <v>1635</v>
      </c>
      <c r="D329" s="47">
        <v>32555</v>
      </c>
      <c r="E329" s="47">
        <v>37376</v>
      </c>
      <c r="F329" s="46" t="s">
        <v>2599</v>
      </c>
      <c r="G329" s="46">
        <v>125220</v>
      </c>
      <c r="H329" s="46" t="s">
        <v>2607</v>
      </c>
      <c r="I329" s="46" t="s">
        <v>2616</v>
      </c>
      <c r="J329" s="46" t="s">
        <v>2758</v>
      </c>
      <c r="K329" s="46" t="s">
        <v>3304</v>
      </c>
      <c r="L329" s="46">
        <v>23</v>
      </c>
    </row>
    <row r="330" spans="1:12" x14ac:dyDescent="0.3">
      <c r="A330" s="46" t="s">
        <v>339</v>
      </c>
      <c r="B330" s="46">
        <f>LEN(Table2[[#This Row],[Employee ID]])</f>
        <v>7</v>
      </c>
      <c r="C330" s="46" t="s">
        <v>1636</v>
      </c>
      <c r="D330" s="47">
        <v>25321</v>
      </c>
      <c r="E330" s="47">
        <v>42544</v>
      </c>
      <c r="F330" s="46" t="s">
        <v>2601</v>
      </c>
      <c r="G330" s="46">
        <v>101632</v>
      </c>
      <c r="H330" s="46" t="s">
        <v>2611</v>
      </c>
      <c r="I330" s="46" t="s">
        <v>2616</v>
      </c>
      <c r="J330" s="46" t="s">
        <v>2706</v>
      </c>
      <c r="K330" s="46" t="s">
        <v>3310</v>
      </c>
      <c r="L330" s="46">
        <v>9</v>
      </c>
    </row>
    <row r="331" spans="1:12" x14ac:dyDescent="0.3">
      <c r="A331" s="46" t="s">
        <v>340</v>
      </c>
      <c r="B331" s="46">
        <f>LEN(Table2[[#This Row],[Employee ID]])</f>
        <v>7</v>
      </c>
      <c r="C331" s="46" t="s">
        <v>1637</v>
      </c>
      <c r="D331" s="47">
        <v>23498</v>
      </c>
      <c r="E331" s="47">
        <v>29597</v>
      </c>
      <c r="F331" s="46" t="s">
        <v>2603</v>
      </c>
      <c r="G331" s="46">
        <v>165616</v>
      </c>
      <c r="H331" s="46" t="s">
        <v>2612</v>
      </c>
      <c r="I331" s="46" t="s">
        <v>2616</v>
      </c>
      <c r="J331" s="46" t="s">
        <v>2888</v>
      </c>
      <c r="K331" s="46" t="s">
        <v>3309</v>
      </c>
      <c r="L331" s="46">
        <v>44</v>
      </c>
    </row>
    <row r="332" spans="1:12" x14ac:dyDescent="0.3">
      <c r="A332" s="46" t="s">
        <v>341</v>
      </c>
      <c r="B332" s="46">
        <f>LEN(Table2[[#This Row],[Employee ID]])</f>
        <v>7</v>
      </c>
      <c r="C332" s="46" t="s">
        <v>1638</v>
      </c>
      <c r="D332" s="47">
        <v>22351</v>
      </c>
      <c r="E332" s="47">
        <v>26370</v>
      </c>
      <c r="F332" s="46" t="s">
        <v>2602</v>
      </c>
      <c r="G332" s="46">
        <v>86889</v>
      </c>
      <c r="H332" s="46" t="s">
        <v>2607</v>
      </c>
      <c r="I332" s="46" t="s">
        <v>2617</v>
      </c>
      <c r="J332" s="46" t="s">
        <v>2682</v>
      </c>
      <c r="K332" s="46" t="s">
        <v>3309</v>
      </c>
      <c r="L332" s="46">
        <v>53</v>
      </c>
    </row>
    <row r="333" spans="1:12" x14ac:dyDescent="0.3">
      <c r="A333" s="46" t="s">
        <v>342</v>
      </c>
      <c r="B333" s="46">
        <f>LEN(Table2[[#This Row],[Employee ID]])</f>
        <v>7</v>
      </c>
      <c r="C333" s="46" t="s">
        <v>1639</v>
      </c>
      <c r="D333" s="47">
        <v>25300</v>
      </c>
      <c r="E333" s="47">
        <v>31832</v>
      </c>
      <c r="F333" s="46" t="s">
        <v>2600</v>
      </c>
      <c r="G333" s="46">
        <v>135799</v>
      </c>
      <c r="H333" s="46" t="s">
        <v>2613</v>
      </c>
      <c r="I333" s="46" t="s">
        <v>2617</v>
      </c>
      <c r="J333" s="46" t="s">
        <v>2889</v>
      </c>
      <c r="K333" s="46" t="s">
        <v>3309</v>
      </c>
      <c r="L333" s="46">
        <v>38</v>
      </c>
    </row>
    <row r="334" spans="1:12" x14ac:dyDescent="0.3">
      <c r="A334" s="46" t="s">
        <v>343</v>
      </c>
      <c r="B334" s="46">
        <f>LEN(Table2[[#This Row],[Employee ID]])</f>
        <v>7</v>
      </c>
      <c r="C334" s="46" t="s">
        <v>1640</v>
      </c>
      <c r="D334" s="47">
        <v>23295</v>
      </c>
      <c r="E334" s="47">
        <v>43361</v>
      </c>
      <c r="F334" s="46" t="s">
        <v>2602</v>
      </c>
      <c r="G334" s="46">
        <v>24208</v>
      </c>
      <c r="H334" s="46" t="s">
        <v>2607</v>
      </c>
      <c r="I334" s="46" t="s">
        <v>2616</v>
      </c>
      <c r="J334" s="46" t="s">
        <v>2890</v>
      </c>
      <c r="K334" s="46" t="s">
        <v>3308</v>
      </c>
      <c r="L334" s="46">
        <v>7</v>
      </c>
    </row>
    <row r="335" spans="1:12" x14ac:dyDescent="0.3">
      <c r="A335" s="46" t="s">
        <v>344</v>
      </c>
      <c r="B335" s="46">
        <f>LEN(Table2[[#This Row],[Employee ID]])</f>
        <v>7</v>
      </c>
      <c r="C335" s="46" t="s">
        <v>1641</v>
      </c>
      <c r="D335" s="47">
        <v>31878</v>
      </c>
      <c r="E335" s="47">
        <v>30943</v>
      </c>
      <c r="F335" s="46" t="s">
        <v>2604</v>
      </c>
      <c r="G335" s="46">
        <v>135150</v>
      </c>
      <c r="H335" s="46" t="s">
        <v>2615</v>
      </c>
      <c r="I335" s="46" t="s">
        <v>2617</v>
      </c>
      <c r="J335" s="46" t="s">
        <v>2736</v>
      </c>
      <c r="K335" s="46" t="s">
        <v>3308</v>
      </c>
      <c r="L335" s="46">
        <v>41</v>
      </c>
    </row>
    <row r="336" spans="1:12" x14ac:dyDescent="0.3">
      <c r="A336" s="46" t="s">
        <v>345</v>
      </c>
      <c r="B336" s="46">
        <f>LEN(Table2[[#This Row],[Employee ID]])</f>
        <v>7</v>
      </c>
      <c r="C336" s="46" t="s">
        <v>1642</v>
      </c>
      <c r="D336" s="47">
        <v>31353</v>
      </c>
      <c r="E336" s="47">
        <v>40819</v>
      </c>
      <c r="F336" s="46" t="s">
        <v>2603</v>
      </c>
      <c r="G336" s="46">
        <v>105776</v>
      </c>
      <c r="H336" s="46" t="s">
        <v>2611</v>
      </c>
      <c r="I336" s="46" t="s">
        <v>2617</v>
      </c>
      <c r="J336" s="46" t="s">
        <v>2891</v>
      </c>
      <c r="K336" s="46" t="s">
        <v>3309</v>
      </c>
      <c r="L336" s="46">
        <v>14</v>
      </c>
    </row>
    <row r="337" spans="1:12" x14ac:dyDescent="0.3">
      <c r="A337" s="46" t="s">
        <v>346</v>
      </c>
      <c r="B337" s="46">
        <f>LEN(Table2[[#This Row],[Employee ID]])</f>
        <v>7</v>
      </c>
      <c r="C337" s="46" t="s">
        <v>1643</v>
      </c>
      <c r="D337" s="47">
        <v>30581</v>
      </c>
      <c r="E337" s="47">
        <v>38050</v>
      </c>
      <c r="F337" s="46" t="s">
        <v>2603</v>
      </c>
      <c r="G337" s="46">
        <v>157884</v>
      </c>
      <c r="H337" s="46" t="s">
        <v>2615</v>
      </c>
      <c r="I337" s="46" t="s">
        <v>2617</v>
      </c>
      <c r="J337" s="46" t="s">
        <v>2892</v>
      </c>
      <c r="K337" s="46" t="s">
        <v>3307</v>
      </c>
      <c r="L337" s="46">
        <v>21</v>
      </c>
    </row>
    <row r="338" spans="1:12" x14ac:dyDescent="0.3">
      <c r="A338" s="46" t="s">
        <v>347</v>
      </c>
      <c r="B338" s="46">
        <f>LEN(Table2[[#This Row],[Employee ID]])</f>
        <v>7</v>
      </c>
      <c r="C338" s="46" t="s">
        <v>1644</v>
      </c>
      <c r="D338" s="47">
        <v>32325</v>
      </c>
      <c r="E338" s="47">
        <v>30897</v>
      </c>
      <c r="F338" s="46" t="s">
        <v>2602</v>
      </c>
      <c r="G338" s="46">
        <v>169702</v>
      </c>
      <c r="H338" s="46" t="s">
        <v>2610</v>
      </c>
      <c r="I338" s="46" t="s">
        <v>2616</v>
      </c>
      <c r="J338" s="46" t="s">
        <v>2893</v>
      </c>
      <c r="K338" s="46" t="s">
        <v>3308</v>
      </c>
      <c r="L338" s="46">
        <v>41</v>
      </c>
    </row>
    <row r="339" spans="1:12" x14ac:dyDescent="0.3">
      <c r="A339" s="46" t="s">
        <v>348</v>
      </c>
      <c r="B339" s="46">
        <f>LEN(Table2[[#This Row],[Employee ID]])</f>
        <v>7</v>
      </c>
      <c r="C339" s="46" t="s">
        <v>1645</v>
      </c>
      <c r="D339" s="47">
        <v>32386</v>
      </c>
      <c r="E339" s="47">
        <v>42530</v>
      </c>
      <c r="F339" s="46" t="s">
        <v>2602</v>
      </c>
      <c r="G339" s="46">
        <v>111801</v>
      </c>
      <c r="H339" s="46" t="s">
        <v>2615</v>
      </c>
      <c r="I339" s="46" t="s">
        <v>2617</v>
      </c>
      <c r="J339" s="46" t="s">
        <v>2894</v>
      </c>
      <c r="K339" s="46" t="s">
        <v>3304</v>
      </c>
      <c r="L339" s="46">
        <v>9</v>
      </c>
    </row>
    <row r="340" spans="1:12" x14ac:dyDescent="0.3">
      <c r="A340" s="46" t="s">
        <v>349</v>
      </c>
      <c r="B340" s="46">
        <f>LEN(Table2[[#This Row],[Employee ID]])</f>
        <v>7</v>
      </c>
      <c r="C340" s="46" t="s">
        <v>1646</v>
      </c>
      <c r="D340" s="47">
        <v>28465</v>
      </c>
      <c r="E340" s="47">
        <v>26382</v>
      </c>
      <c r="F340" s="46" t="s">
        <v>2603</v>
      </c>
      <c r="G340" s="46">
        <v>48841</v>
      </c>
      <c r="H340" s="46" t="s">
        <v>2606</v>
      </c>
      <c r="I340" s="46" t="s">
        <v>2617</v>
      </c>
      <c r="J340" s="46" t="s">
        <v>2895</v>
      </c>
      <c r="K340" s="46" t="s">
        <v>3308</v>
      </c>
      <c r="L340" s="46">
        <v>53</v>
      </c>
    </row>
    <row r="341" spans="1:12" x14ac:dyDescent="0.3">
      <c r="A341" s="46" t="s">
        <v>350</v>
      </c>
      <c r="B341" s="46">
        <f>LEN(Table2[[#This Row],[Employee ID]])</f>
        <v>7</v>
      </c>
      <c r="C341" s="46" t="s">
        <v>1647</v>
      </c>
      <c r="D341" s="47">
        <v>32872</v>
      </c>
      <c r="E341" s="47">
        <v>42452</v>
      </c>
      <c r="F341" s="46" t="s">
        <v>2599</v>
      </c>
      <c r="G341" s="46">
        <v>117145</v>
      </c>
      <c r="H341" s="46" t="s">
        <v>2615</v>
      </c>
      <c r="I341" s="46" t="s">
        <v>2617</v>
      </c>
      <c r="J341" s="46" t="s">
        <v>2896</v>
      </c>
      <c r="K341" s="46" t="s">
        <v>3309</v>
      </c>
      <c r="L341" s="46">
        <v>9</v>
      </c>
    </row>
    <row r="342" spans="1:12" x14ac:dyDescent="0.3">
      <c r="A342" s="46" t="s">
        <v>351</v>
      </c>
      <c r="B342" s="46">
        <f>LEN(Table2[[#This Row],[Employee ID]])</f>
        <v>7</v>
      </c>
      <c r="C342" s="46" t="s">
        <v>1648</v>
      </c>
      <c r="D342" s="47">
        <v>30800</v>
      </c>
      <c r="E342" s="47">
        <v>35335</v>
      </c>
      <c r="F342" s="46" t="s">
        <v>2603</v>
      </c>
      <c r="G342" s="46">
        <v>113671</v>
      </c>
      <c r="H342" s="46" t="s">
        <v>2613</v>
      </c>
      <c r="I342" s="46" t="s">
        <v>2617</v>
      </c>
      <c r="J342" s="46" t="s">
        <v>2897</v>
      </c>
      <c r="K342" s="46" t="s">
        <v>3308</v>
      </c>
      <c r="L342" s="46">
        <v>29</v>
      </c>
    </row>
    <row r="343" spans="1:12" x14ac:dyDescent="0.3">
      <c r="A343" s="46" t="s">
        <v>352</v>
      </c>
      <c r="B343" s="46">
        <f>LEN(Table2[[#This Row],[Employee ID]])</f>
        <v>7</v>
      </c>
      <c r="C343" s="46" t="s">
        <v>1649</v>
      </c>
      <c r="D343" s="47">
        <v>35463</v>
      </c>
      <c r="E343" s="47">
        <v>37947</v>
      </c>
      <c r="F343" s="46" t="s">
        <v>2604</v>
      </c>
      <c r="G343" s="46">
        <v>27157</v>
      </c>
      <c r="H343" s="46" t="s">
        <v>2611</v>
      </c>
      <c r="I343" s="46" t="s">
        <v>2617</v>
      </c>
      <c r="J343" s="46" t="s">
        <v>2898</v>
      </c>
      <c r="K343" s="46" t="s">
        <v>3308</v>
      </c>
      <c r="L343" s="46">
        <v>22</v>
      </c>
    </row>
    <row r="344" spans="1:12" x14ac:dyDescent="0.3">
      <c r="A344" s="46" t="s">
        <v>353</v>
      </c>
      <c r="B344" s="46">
        <f>LEN(Table2[[#This Row],[Employee ID]])</f>
        <v>7</v>
      </c>
      <c r="C344" s="46" t="s">
        <v>1650</v>
      </c>
      <c r="D344" s="47">
        <v>33553</v>
      </c>
      <c r="E344" s="47">
        <v>29264</v>
      </c>
      <c r="F344" s="46" t="s">
        <v>2600</v>
      </c>
      <c r="G344" s="46">
        <v>70751</v>
      </c>
      <c r="H344" s="46" t="s">
        <v>2610</v>
      </c>
      <c r="I344" s="46" t="s">
        <v>2616</v>
      </c>
      <c r="J344" s="46" t="s">
        <v>2831</v>
      </c>
      <c r="K344" s="46" t="s">
        <v>3309</v>
      </c>
      <c r="L344" s="46">
        <v>45</v>
      </c>
    </row>
    <row r="345" spans="1:12" x14ac:dyDescent="0.3">
      <c r="A345" s="46" t="s">
        <v>354</v>
      </c>
      <c r="B345" s="46">
        <f>LEN(Table2[[#This Row],[Employee ID]])</f>
        <v>7</v>
      </c>
      <c r="C345" s="46" t="s">
        <v>1651</v>
      </c>
      <c r="D345" s="47">
        <v>35012</v>
      </c>
      <c r="E345" s="47">
        <v>36816</v>
      </c>
      <c r="F345" s="46" t="s">
        <v>2599</v>
      </c>
      <c r="G345" s="46">
        <v>169961</v>
      </c>
      <c r="H345" s="46" t="s">
        <v>2606</v>
      </c>
      <c r="I345" s="46" t="s">
        <v>2616</v>
      </c>
      <c r="J345" s="46" t="s">
        <v>2899</v>
      </c>
      <c r="K345" s="46" t="s">
        <v>3308</v>
      </c>
      <c r="L345" s="46">
        <v>25</v>
      </c>
    </row>
    <row r="346" spans="1:12" x14ac:dyDescent="0.3">
      <c r="A346" s="46" t="s">
        <v>355</v>
      </c>
      <c r="B346" s="46">
        <f>LEN(Table2[[#This Row],[Employee ID]])</f>
        <v>7</v>
      </c>
      <c r="C346" s="46" t="s">
        <v>1652</v>
      </c>
      <c r="D346" s="47">
        <v>32405</v>
      </c>
      <c r="E346" s="47">
        <v>40100</v>
      </c>
      <c r="F346" s="46" t="s">
        <v>2599</v>
      </c>
      <c r="G346" s="46">
        <v>55690</v>
      </c>
      <c r="H346" s="46" t="s">
        <v>2612</v>
      </c>
      <c r="I346" s="46" t="s">
        <v>2616</v>
      </c>
      <c r="J346" s="46" t="s">
        <v>2900</v>
      </c>
      <c r="K346" s="46" t="s">
        <v>3306</v>
      </c>
      <c r="L346" s="46">
        <v>16</v>
      </c>
    </row>
    <row r="347" spans="1:12" x14ac:dyDescent="0.3">
      <c r="A347" s="46" t="s">
        <v>356</v>
      </c>
      <c r="B347" s="46">
        <f>LEN(Table2[[#This Row],[Employee ID]])</f>
        <v>7</v>
      </c>
      <c r="C347" s="46" t="s">
        <v>1653</v>
      </c>
      <c r="D347" s="47">
        <v>21894</v>
      </c>
      <c r="E347" s="47">
        <v>26788</v>
      </c>
      <c r="F347" s="46" t="s">
        <v>2602</v>
      </c>
      <c r="G347" s="46">
        <v>176147</v>
      </c>
      <c r="H347" s="46" t="s">
        <v>2614</v>
      </c>
      <c r="I347" s="46" t="s">
        <v>2616</v>
      </c>
      <c r="J347" s="46" t="s">
        <v>2901</v>
      </c>
      <c r="K347" s="46" t="s">
        <v>3307</v>
      </c>
      <c r="L347" s="46">
        <v>52</v>
      </c>
    </row>
    <row r="348" spans="1:12" x14ac:dyDescent="0.3">
      <c r="A348" s="46" t="s">
        <v>357</v>
      </c>
      <c r="B348" s="46">
        <f>LEN(Table2[[#This Row],[Employee ID]])</f>
        <v>7</v>
      </c>
      <c r="C348" s="46" t="s">
        <v>1654</v>
      </c>
      <c r="D348" s="47">
        <v>35544</v>
      </c>
      <c r="E348" s="47">
        <v>39485</v>
      </c>
      <c r="F348" s="46" t="s">
        <v>2601</v>
      </c>
      <c r="G348" s="46">
        <v>115424</v>
      </c>
      <c r="H348" s="46" t="s">
        <v>2610</v>
      </c>
      <c r="I348" s="46" t="s">
        <v>2616</v>
      </c>
      <c r="J348" s="46" t="s">
        <v>2667</v>
      </c>
      <c r="K348" s="46" t="s">
        <v>3306</v>
      </c>
      <c r="L348" s="46">
        <v>17</v>
      </c>
    </row>
    <row r="349" spans="1:12" x14ac:dyDescent="0.3">
      <c r="A349" s="46" t="s">
        <v>358</v>
      </c>
      <c r="B349" s="46">
        <f>LEN(Table2[[#This Row],[Employee ID]])</f>
        <v>7</v>
      </c>
      <c r="C349" s="46" t="s">
        <v>1655</v>
      </c>
      <c r="D349" s="47">
        <v>22066</v>
      </c>
      <c r="E349" s="47">
        <v>25706</v>
      </c>
      <c r="F349" s="46" t="s">
        <v>2599</v>
      </c>
      <c r="G349" s="46">
        <v>50506</v>
      </c>
      <c r="H349" s="46" t="s">
        <v>2614</v>
      </c>
      <c r="I349" s="46" t="s">
        <v>2616</v>
      </c>
      <c r="J349" s="46" t="s">
        <v>2668</v>
      </c>
      <c r="K349" s="46" t="s">
        <v>3307</v>
      </c>
      <c r="L349" s="46">
        <v>55</v>
      </c>
    </row>
    <row r="350" spans="1:12" x14ac:dyDescent="0.3">
      <c r="A350" s="46" t="s">
        <v>359</v>
      </c>
      <c r="B350" s="46">
        <f>LEN(Table2[[#This Row],[Employee ID]])</f>
        <v>7</v>
      </c>
      <c r="C350" s="46" t="s">
        <v>1656</v>
      </c>
      <c r="D350" s="47">
        <v>34875</v>
      </c>
      <c r="E350" s="47">
        <v>41906</v>
      </c>
      <c r="F350" s="46" t="s">
        <v>2600</v>
      </c>
      <c r="G350" s="46">
        <v>168863</v>
      </c>
      <c r="H350" s="46" t="s">
        <v>2607</v>
      </c>
      <c r="I350" s="46" t="s">
        <v>2616</v>
      </c>
      <c r="J350" s="46" t="s">
        <v>2902</v>
      </c>
      <c r="K350" s="46" t="s">
        <v>3309</v>
      </c>
      <c r="L350" s="46">
        <v>11</v>
      </c>
    </row>
    <row r="351" spans="1:12" x14ac:dyDescent="0.3">
      <c r="A351" s="46" t="s">
        <v>360</v>
      </c>
      <c r="B351" s="46">
        <f>LEN(Table2[[#This Row],[Employee ID]])</f>
        <v>7</v>
      </c>
      <c r="C351" s="46" t="s">
        <v>1657</v>
      </c>
      <c r="D351" s="47">
        <v>27942</v>
      </c>
      <c r="E351" s="47">
        <v>42535</v>
      </c>
      <c r="F351" s="46" t="s">
        <v>2599</v>
      </c>
      <c r="G351" s="46">
        <v>177790</v>
      </c>
      <c r="H351" s="46" t="s">
        <v>2611</v>
      </c>
      <c r="I351" s="46" t="s">
        <v>2616</v>
      </c>
      <c r="J351" s="46" t="s">
        <v>2903</v>
      </c>
      <c r="K351" s="46" t="s">
        <v>3306</v>
      </c>
      <c r="L351" s="46">
        <v>9</v>
      </c>
    </row>
    <row r="352" spans="1:12" x14ac:dyDescent="0.3">
      <c r="A352" s="46" t="s">
        <v>361</v>
      </c>
      <c r="B352" s="46">
        <f>LEN(Table2[[#This Row],[Employee ID]])</f>
        <v>7</v>
      </c>
      <c r="C352" s="46" t="s">
        <v>1658</v>
      </c>
      <c r="D352" s="47">
        <v>24996</v>
      </c>
      <c r="E352" s="47">
        <v>29318</v>
      </c>
      <c r="F352" s="46" t="s">
        <v>2599</v>
      </c>
      <c r="G352" s="46">
        <v>130953</v>
      </c>
      <c r="H352" s="46" t="s">
        <v>2608</v>
      </c>
      <c r="I352" s="46" t="s">
        <v>2616</v>
      </c>
      <c r="J352" s="46" t="s">
        <v>2904</v>
      </c>
      <c r="K352" s="46" t="s">
        <v>3307</v>
      </c>
      <c r="L352" s="46">
        <v>45</v>
      </c>
    </row>
    <row r="353" spans="1:12" x14ac:dyDescent="0.3">
      <c r="A353" s="46" t="s">
        <v>362</v>
      </c>
      <c r="B353" s="46">
        <f>LEN(Table2[[#This Row],[Employee ID]])</f>
        <v>7</v>
      </c>
      <c r="C353" s="46" t="s">
        <v>1659</v>
      </c>
      <c r="D353" s="47">
        <v>21863</v>
      </c>
      <c r="E353" s="47">
        <v>43942</v>
      </c>
      <c r="F353" s="46" t="s">
        <v>2602</v>
      </c>
      <c r="G353" s="46">
        <v>104324</v>
      </c>
      <c r="H353" s="46" t="s">
        <v>2606</v>
      </c>
      <c r="I353" s="46" t="s">
        <v>2617</v>
      </c>
      <c r="J353" s="46" t="s">
        <v>2905</v>
      </c>
      <c r="K353" s="46" t="s">
        <v>3308</v>
      </c>
      <c r="L353" s="46">
        <v>5</v>
      </c>
    </row>
    <row r="354" spans="1:12" x14ac:dyDescent="0.3">
      <c r="A354" s="46" t="s">
        <v>363</v>
      </c>
      <c r="B354" s="46">
        <f>LEN(Table2[[#This Row],[Employee ID]])</f>
        <v>7</v>
      </c>
      <c r="C354" s="46" t="s">
        <v>1660</v>
      </c>
      <c r="D354" s="47">
        <v>28135</v>
      </c>
      <c r="E354" s="47">
        <v>39081</v>
      </c>
      <c r="F354" s="46" t="s">
        <v>2604</v>
      </c>
      <c r="G354" s="46">
        <v>87017</v>
      </c>
      <c r="H354" s="46" t="s">
        <v>2610</v>
      </c>
      <c r="I354" s="46" t="s">
        <v>2616</v>
      </c>
      <c r="J354" s="46" t="s">
        <v>2906</v>
      </c>
      <c r="K354" s="46" t="s">
        <v>3304</v>
      </c>
      <c r="L354" s="46">
        <v>19</v>
      </c>
    </row>
    <row r="355" spans="1:12" x14ac:dyDescent="0.3">
      <c r="A355" s="46" t="s">
        <v>364</v>
      </c>
      <c r="B355" s="46">
        <f>LEN(Table2[[#This Row],[Employee ID]])</f>
        <v>7</v>
      </c>
      <c r="C355" s="46" t="s">
        <v>1661</v>
      </c>
      <c r="D355" s="47">
        <v>31209</v>
      </c>
      <c r="E355" s="47">
        <v>31751</v>
      </c>
      <c r="F355" s="46" t="s">
        <v>2599</v>
      </c>
      <c r="G355" s="46">
        <v>23244</v>
      </c>
      <c r="H355" s="46" t="s">
        <v>2615</v>
      </c>
      <c r="I355" s="46" t="s">
        <v>2617</v>
      </c>
      <c r="J355" s="46" t="s">
        <v>2907</v>
      </c>
      <c r="K355" s="46" t="s">
        <v>3309</v>
      </c>
      <c r="L355" s="46">
        <v>39</v>
      </c>
    </row>
    <row r="356" spans="1:12" x14ac:dyDescent="0.3">
      <c r="A356" s="46" t="s">
        <v>365</v>
      </c>
      <c r="B356" s="46">
        <f>LEN(Table2[[#This Row],[Employee ID]])</f>
        <v>7</v>
      </c>
      <c r="C356" s="46" t="s">
        <v>1662</v>
      </c>
      <c r="D356" s="47">
        <v>23797</v>
      </c>
      <c r="E356" s="47">
        <v>40670</v>
      </c>
      <c r="F356" s="46" t="s">
        <v>2605</v>
      </c>
      <c r="G356" s="46">
        <v>78154</v>
      </c>
      <c r="H356" s="46" t="s">
        <v>2615</v>
      </c>
      <c r="I356" s="46" t="s">
        <v>2617</v>
      </c>
      <c r="J356" s="46" t="s">
        <v>2801</v>
      </c>
      <c r="K356" s="46" t="s">
        <v>3308</v>
      </c>
      <c r="L356" s="46">
        <v>14</v>
      </c>
    </row>
    <row r="357" spans="1:12" x14ac:dyDescent="0.3">
      <c r="A357" s="46" t="s">
        <v>366</v>
      </c>
      <c r="B357" s="46">
        <f>LEN(Table2[[#This Row],[Employee ID]])</f>
        <v>7</v>
      </c>
      <c r="C357" s="46" t="s">
        <v>1663</v>
      </c>
      <c r="D357" s="47">
        <v>26275</v>
      </c>
      <c r="E357" s="47">
        <v>26081</v>
      </c>
      <c r="F357" s="46" t="s">
        <v>2602</v>
      </c>
      <c r="G357" s="46">
        <v>144217</v>
      </c>
      <c r="H357" s="46" t="s">
        <v>2611</v>
      </c>
      <c r="I357" s="46" t="s">
        <v>2616</v>
      </c>
      <c r="J357" s="46" t="s">
        <v>2899</v>
      </c>
      <c r="K357" s="46" t="s">
        <v>3307</v>
      </c>
      <c r="L357" s="46">
        <v>54</v>
      </c>
    </row>
    <row r="358" spans="1:12" x14ac:dyDescent="0.3">
      <c r="A358" s="46" t="s">
        <v>367</v>
      </c>
      <c r="B358" s="46">
        <f>LEN(Table2[[#This Row],[Employee ID]])</f>
        <v>7</v>
      </c>
      <c r="C358" s="46" t="s">
        <v>1664</v>
      </c>
      <c r="D358" s="47">
        <v>27118</v>
      </c>
      <c r="E358" s="47">
        <v>41147</v>
      </c>
      <c r="F358" s="46" t="s">
        <v>2602</v>
      </c>
      <c r="G358" s="46">
        <v>116759</v>
      </c>
      <c r="H358" s="46" t="s">
        <v>2606</v>
      </c>
      <c r="I358" s="46" t="s">
        <v>2616</v>
      </c>
      <c r="J358" s="46" t="s">
        <v>2908</v>
      </c>
      <c r="K358" s="46" t="s">
        <v>3306</v>
      </c>
      <c r="L358" s="46">
        <v>13</v>
      </c>
    </row>
    <row r="359" spans="1:12" x14ac:dyDescent="0.3">
      <c r="A359" s="46" t="s">
        <v>368</v>
      </c>
      <c r="B359" s="46">
        <f>LEN(Table2[[#This Row],[Employee ID]])</f>
        <v>7</v>
      </c>
      <c r="C359" s="46" t="s">
        <v>1665</v>
      </c>
      <c r="D359" s="47">
        <v>30402</v>
      </c>
      <c r="E359" s="47">
        <v>37504</v>
      </c>
      <c r="F359" s="46" t="s">
        <v>2603</v>
      </c>
      <c r="G359" s="46">
        <v>65750</v>
      </c>
      <c r="H359" s="46" t="s">
        <v>2612</v>
      </c>
      <c r="I359" s="46" t="s">
        <v>2617</v>
      </c>
      <c r="J359" s="46" t="s">
        <v>2909</v>
      </c>
      <c r="K359" s="46" t="s">
        <v>3306</v>
      </c>
      <c r="L359" s="46">
        <v>23</v>
      </c>
    </row>
    <row r="360" spans="1:12" x14ac:dyDescent="0.3">
      <c r="A360" s="46" t="s">
        <v>369</v>
      </c>
      <c r="B360" s="46">
        <f>LEN(Table2[[#This Row],[Employee ID]])</f>
        <v>7</v>
      </c>
      <c r="C360" s="46" t="s">
        <v>1666</v>
      </c>
      <c r="D360" s="47">
        <v>25108</v>
      </c>
      <c r="E360" s="47">
        <v>33461</v>
      </c>
      <c r="F360" s="46" t="s">
        <v>2601</v>
      </c>
      <c r="G360" s="46">
        <v>39850</v>
      </c>
      <c r="H360" s="46" t="s">
        <v>2612</v>
      </c>
      <c r="I360" s="46" t="s">
        <v>2617</v>
      </c>
      <c r="J360" s="46" t="s">
        <v>2910</v>
      </c>
      <c r="K360" s="46" t="s">
        <v>3305</v>
      </c>
      <c r="L360" s="46">
        <v>34</v>
      </c>
    </row>
    <row r="361" spans="1:12" x14ac:dyDescent="0.3">
      <c r="A361" s="46" t="s">
        <v>370</v>
      </c>
      <c r="B361" s="46">
        <f>LEN(Table2[[#This Row],[Employee ID]])</f>
        <v>7</v>
      </c>
      <c r="C361" s="46" t="s">
        <v>1667</v>
      </c>
      <c r="D361" s="47">
        <v>32143</v>
      </c>
      <c r="E361" s="47">
        <v>38160</v>
      </c>
      <c r="F361" s="46" t="s">
        <v>2603</v>
      </c>
      <c r="G361" s="46">
        <v>148289</v>
      </c>
      <c r="H361" s="46" t="s">
        <v>2615</v>
      </c>
      <c r="I361" s="46" t="s">
        <v>2616</v>
      </c>
      <c r="J361" s="46" t="s">
        <v>2911</v>
      </c>
      <c r="K361" s="46" t="s">
        <v>3307</v>
      </c>
      <c r="L361" s="46">
        <v>21</v>
      </c>
    </row>
    <row r="362" spans="1:12" x14ac:dyDescent="0.3">
      <c r="A362" s="46" t="s">
        <v>371</v>
      </c>
      <c r="B362" s="46">
        <f>LEN(Table2[[#This Row],[Employee ID]])</f>
        <v>7</v>
      </c>
      <c r="C362" s="46" t="s">
        <v>1668</v>
      </c>
      <c r="D362" s="47">
        <v>34723</v>
      </c>
      <c r="E362" s="47">
        <v>29270</v>
      </c>
      <c r="F362" s="46" t="s">
        <v>2602</v>
      </c>
      <c r="G362" s="46">
        <v>144471</v>
      </c>
      <c r="H362" s="46" t="s">
        <v>2612</v>
      </c>
      <c r="I362" s="46" t="s">
        <v>2616</v>
      </c>
      <c r="J362" s="46" t="s">
        <v>2912</v>
      </c>
      <c r="K362" s="46" t="s">
        <v>3304</v>
      </c>
      <c r="L362" s="46">
        <v>45</v>
      </c>
    </row>
    <row r="363" spans="1:12" x14ac:dyDescent="0.3">
      <c r="A363" s="46" t="s">
        <v>372</v>
      </c>
      <c r="B363" s="46">
        <f>LEN(Table2[[#This Row],[Employee ID]])</f>
        <v>7</v>
      </c>
      <c r="C363" s="46" t="s">
        <v>1669</v>
      </c>
      <c r="D363" s="47">
        <v>31339</v>
      </c>
      <c r="E363" s="47">
        <v>26461</v>
      </c>
      <c r="F363" s="46" t="s">
        <v>2604</v>
      </c>
      <c r="G363" s="46">
        <v>162943</v>
      </c>
      <c r="H363" s="46" t="s">
        <v>2609</v>
      </c>
      <c r="I363" s="46" t="s">
        <v>2617</v>
      </c>
      <c r="J363" s="46" t="s">
        <v>2771</v>
      </c>
      <c r="K363" s="46" t="s">
        <v>3304</v>
      </c>
      <c r="L363" s="46">
        <v>53</v>
      </c>
    </row>
    <row r="364" spans="1:12" x14ac:dyDescent="0.3">
      <c r="A364" s="46" t="s">
        <v>373</v>
      </c>
      <c r="B364" s="46">
        <f>LEN(Table2[[#This Row],[Employee ID]])</f>
        <v>7</v>
      </c>
      <c r="C364" s="46" t="s">
        <v>1670</v>
      </c>
      <c r="D364" s="47">
        <v>33539</v>
      </c>
      <c r="E364" s="47">
        <v>39648</v>
      </c>
      <c r="F364" s="46" t="s">
        <v>2599</v>
      </c>
      <c r="G364" s="46">
        <v>77602</v>
      </c>
      <c r="H364" s="46" t="s">
        <v>2607</v>
      </c>
      <c r="I364" s="46" t="s">
        <v>2616</v>
      </c>
      <c r="J364" s="46" t="s">
        <v>2913</v>
      </c>
      <c r="K364" s="46" t="s">
        <v>3307</v>
      </c>
      <c r="L364" s="46">
        <v>17</v>
      </c>
    </row>
    <row r="365" spans="1:12" x14ac:dyDescent="0.3">
      <c r="A365" s="46" t="s">
        <v>374</v>
      </c>
      <c r="B365" s="46">
        <f>LEN(Table2[[#This Row],[Employee ID]])</f>
        <v>7</v>
      </c>
      <c r="C365" s="46" t="s">
        <v>1671</v>
      </c>
      <c r="D365" s="47">
        <v>24682</v>
      </c>
      <c r="E365" s="47">
        <v>40583</v>
      </c>
      <c r="F365" s="46" t="s">
        <v>2605</v>
      </c>
      <c r="G365" s="46">
        <v>97690</v>
      </c>
      <c r="H365" s="46" t="s">
        <v>2608</v>
      </c>
      <c r="I365" s="46" t="s">
        <v>2616</v>
      </c>
      <c r="J365" s="46" t="s">
        <v>2842</v>
      </c>
      <c r="K365" s="46" t="s">
        <v>3306</v>
      </c>
      <c r="L365" s="46">
        <v>14</v>
      </c>
    </row>
    <row r="366" spans="1:12" x14ac:dyDescent="0.3">
      <c r="A366" s="46" t="s">
        <v>375</v>
      </c>
      <c r="B366" s="46">
        <f>LEN(Table2[[#This Row],[Employee ID]])</f>
        <v>7</v>
      </c>
      <c r="C366" s="46" t="s">
        <v>1672</v>
      </c>
      <c r="D366" s="47">
        <v>36706</v>
      </c>
      <c r="E366" s="47">
        <v>26615</v>
      </c>
      <c r="F366" s="46" t="s">
        <v>2600</v>
      </c>
      <c r="G366" s="46">
        <v>107583</v>
      </c>
      <c r="H366" s="46" t="s">
        <v>2615</v>
      </c>
      <c r="I366" s="46" t="s">
        <v>2617</v>
      </c>
      <c r="J366" s="46" t="s">
        <v>2914</v>
      </c>
      <c r="K366" s="46" t="s">
        <v>3305</v>
      </c>
      <c r="L366" s="46">
        <v>53</v>
      </c>
    </row>
    <row r="367" spans="1:12" x14ac:dyDescent="0.3">
      <c r="A367" s="46" t="s">
        <v>376</v>
      </c>
      <c r="B367" s="46">
        <f>LEN(Table2[[#This Row],[Employee ID]])</f>
        <v>7</v>
      </c>
      <c r="C367" s="46" t="s">
        <v>1673</v>
      </c>
      <c r="D367" s="47">
        <v>28418</v>
      </c>
      <c r="E367" s="47">
        <v>42138</v>
      </c>
      <c r="F367" s="46" t="s">
        <v>2599</v>
      </c>
      <c r="G367" s="46">
        <v>63383</v>
      </c>
      <c r="H367" s="46" t="s">
        <v>2609</v>
      </c>
      <c r="I367" s="46" t="s">
        <v>2616</v>
      </c>
      <c r="J367" s="46" t="s">
        <v>2915</v>
      </c>
      <c r="K367" s="46" t="s">
        <v>3307</v>
      </c>
      <c r="L367" s="46">
        <v>10</v>
      </c>
    </row>
    <row r="368" spans="1:12" x14ac:dyDescent="0.3">
      <c r="A368" s="46" t="s">
        <v>377</v>
      </c>
      <c r="B368" s="46">
        <f>LEN(Table2[[#This Row],[Employee ID]])</f>
        <v>7</v>
      </c>
      <c r="C368" s="46" t="s">
        <v>1674</v>
      </c>
      <c r="D368" s="47">
        <v>21834</v>
      </c>
      <c r="E368" s="47">
        <v>29597</v>
      </c>
      <c r="F368" s="46" t="s">
        <v>2599</v>
      </c>
      <c r="G368" s="46">
        <v>191140</v>
      </c>
      <c r="H368" s="46" t="s">
        <v>2609</v>
      </c>
      <c r="I368" s="46" t="s">
        <v>2617</v>
      </c>
      <c r="J368" s="46" t="s">
        <v>2916</v>
      </c>
      <c r="K368" s="46" t="s">
        <v>3307</v>
      </c>
      <c r="L368" s="46">
        <v>44</v>
      </c>
    </row>
    <row r="369" spans="1:12" x14ac:dyDescent="0.3">
      <c r="A369" s="46" t="s">
        <v>378</v>
      </c>
      <c r="B369" s="46">
        <f>LEN(Table2[[#This Row],[Employee ID]])</f>
        <v>7</v>
      </c>
      <c r="C369" s="46" t="s">
        <v>1675</v>
      </c>
      <c r="D369" s="47">
        <v>25168</v>
      </c>
      <c r="E369" s="47">
        <v>36453</v>
      </c>
      <c r="F369" s="46" t="s">
        <v>2599</v>
      </c>
      <c r="G369" s="46">
        <v>54186</v>
      </c>
      <c r="H369" s="46" t="s">
        <v>2606</v>
      </c>
      <c r="I369" s="46" t="s">
        <v>2617</v>
      </c>
      <c r="J369" s="46" t="s">
        <v>2733</v>
      </c>
      <c r="K369" s="46" t="s">
        <v>3308</v>
      </c>
      <c r="L369" s="46">
        <v>26</v>
      </c>
    </row>
    <row r="370" spans="1:12" x14ac:dyDescent="0.3">
      <c r="A370" s="46" t="s">
        <v>379</v>
      </c>
      <c r="B370" s="46">
        <f>LEN(Table2[[#This Row],[Employee ID]])</f>
        <v>7</v>
      </c>
      <c r="C370" s="46" t="s">
        <v>1676</v>
      </c>
      <c r="D370" s="47">
        <v>32390</v>
      </c>
      <c r="E370" s="47">
        <v>35760</v>
      </c>
      <c r="F370" s="46" t="s">
        <v>2601</v>
      </c>
      <c r="G370" s="46">
        <v>30626</v>
      </c>
      <c r="H370" s="46" t="s">
        <v>2609</v>
      </c>
      <c r="I370" s="46" t="s">
        <v>2617</v>
      </c>
      <c r="J370" s="46" t="s">
        <v>2917</v>
      </c>
      <c r="K370" s="46" t="s">
        <v>3304</v>
      </c>
      <c r="L370" s="46">
        <v>28</v>
      </c>
    </row>
    <row r="371" spans="1:12" x14ac:dyDescent="0.3">
      <c r="A371" s="46" t="s">
        <v>380</v>
      </c>
      <c r="B371" s="46">
        <f>LEN(Table2[[#This Row],[Employee ID]])</f>
        <v>7</v>
      </c>
      <c r="C371" s="46" t="s">
        <v>1677</v>
      </c>
      <c r="D371" s="47">
        <v>36266</v>
      </c>
      <c r="E371" s="47">
        <v>35778</v>
      </c>
      <c r="F371" s="46" t="s">
        <v>2599</v>
      </c>
      <c r="G371" s="46">
        <v>53574</v>
      </c>
      <c r="H371" s="46" t="s">
        <v>2607</v>
      </c>
      <c r="I371" s="46" t="s">
        <v>2616</v>
      </c>
      <c r="J371" s="46" t="s">
        <v>2918</v>
      </c>
      <c r="K371" s="46" t="s">
        <v>3310</v>
      </c>
      <c r="L371" s="46">
        <v>28</v>
      </c>
    </row>
    <row r="372" spans="1:12" x14ac:dyDescent="0.3">
      <c r="A372" s="46" t="s">
        <v>381</v>
      </c>
      <c r="B372" s="46">
        <f>LEN(Table2[[#This Row],[Employee ID]])</f>
        <v>7</v>
      </c>
      <c r="C372" s="46" t="s">
        <v>1678</v>
      </c>
      <c r="D372" s="47">
        <v>24872</v>
      </c>
      <c r="E372" s="47">
        <v>28786</v>
      </c>
      <c r="F372" s="46" t="s">
        <v>2604</v>
      </c>
      <c r="G372" s="46">
        <v>99779</v>
      </c>
      <c r="H372" s="46" t="s">
        <v>2607</v>
      </c>
      <c r="I372" s="46" t="s">
        <v>2617</v>
      </c>
      <c r="J372" s="46" t="s">
        <v>2919</v>
      </c>
      <c r="K372" s="46" t="s">
        <v>3310</v>
      </c>
      <c r="L372" s="46">
        <v>47</v>
      </c>
    </row>
    <row r="373" spans="1:12" x14ac:dyDescent="0.3">
      <c r="A373" s="46" t="s">
        <v>382</v>
      </c>
      <c r="B373" s="46">
        <f>LEN(Table2[[#This Row],[Employee ID]])</f>
        <v>7</v>
      </c>
      <c r="C373" s="46" t="s">
        <v>1679</v>
      </c>
      <c r="D373" s="47">
        <v>27993</v>
      </c>
      <c r="E373" s="47">
        <v>27332</v>
      </c>
      <c r="F373" s="46" t="s">
        <v>2603</v>
      </c>
      <c r="G373" s="46">
        <v>151434</v>
      </c>
      <c r="H373" s="46" t="s">
        <v>2612</v>
      </c>
      <c r="I373" s="46" t="s">
        <v>2617</v>
      </c>
      <c r="J373" s="46" t="s">
        <v>2920</v>
      </c>
      <c r="K373" s="46" t="s">
        <v>3305</v>
      </c>
      <c r="L373" s="46">
        <v>51</v>
      </c>
    </row>
    <row r="374" spans="1:12" x14ac:dyDescent="0.3">
      <c r="A374" s="46" t="s">
        <v>383</v>
      </c>
      <c r="B374" s="46">
        <f>LEN(Table2[[#This Row],[Employee ID]])</f>
        <v>7</v>
      </c>
      <c r="C374" s="46" t="s">
        <v>1680</v>
      </c>
      <c r="D374" s="47">
        <v>27821</v>
      </c>
      <c r="E374" s="47">
        <v>33124</v>
      </c>
      <c r="F374" s="46" t="s">
        <v>2601</v>
      </c>
      <c r="G374" s="46">
        <v>180871</v>
      </c>
      <c r="H374" s="46" t="s">
        <v>2610</v>
      </c>
      <c r="I374" s="46" t="s">
        <v>2616</v>
      </c>
      <c r="J374" s="46" t="s">
        <v>2662</v>
      </c>
      <c r="K374" s="46" t="s">
        <v>3308</v>
      </c>
      <c r="L374" s="46">
        <v>35</v>
      </c>
    </row>
    <row r="375" spans="1:12" x14ac:dyDescent="0.3">
      <c r="A375" s="46" t="s">
        <v>384</v>
      </c>
      <c r="B375" s="46">
        <f>LEN(Table2[[#This Row],[Employee ID]])</f>
        <v>7</v>
      </c>
      <c r="C375" s="46" t="s">
        <v>1681</v>
      </c>
      <c r="D375" s="47">
        <v>22187</v>
      </c>
      <c r="E375" s="47">
        <v>40806</v>
      </c>
      <c r="F375" s="46" t="s">
        <v>2605</v>
      </c>
      <c r="G375" s="46">
        <v>59465</v>
      </c>
      <c r="H375" s="46" t="s">
        <v>2609</v>
      </c>
      <c r="I375" s="46" t="s">
        <v>2616</v>
      </c>
      <c r="J375" s="46" t="s">
        <v>2921</v>
      </c>
      <c r="K375" s="46" t="s">
        <v>3307</v>
      </c>
      <c r="L375" s="46">
        <v>14</v>
      </c>
    </row>
    <row r="376" spans="1:12" x14ac:dyDescent="0.3">
      <c r="A376" s="46" t="s">
        <v>385</v>
      </c>
      <c r="B376" s="46">
        <f>LEN(Table2[[#This Row],[Employee ID]])</f>
        <v>7</v>
      </c>
      <c r="C376" s="46" t="s">
        <v>1682</v>
      </c>
      <c r="D376" s="47">
        <v>22729</v>
      </c>
      <c r="E376" s="47">
        <v>41524</v>
      </c>
      <c r="F376" s="46" t="s">
        <v>2600</v>
      </c>
      <c r="G376" s="46">
        <v>118030</v>
      </c>
      <c r="H376" s="46" t="s">
        <v>2612</v>
      </c>
      <c r="I376" s="46" t="s">
        <v>2616</v>
      </c>
      <c r="J376" s="46" t="s">
        <v>2703</v>
      </c>
      <c r="K376" s="46" t="s">
        <v>3304</v>
      </c>
      <c r="L376" s="46">
        <v>12</v>
      </c>
    </row>
    <row r="377" spans="1:12" x14ac:dyDescent="0.3">
      <c r="A377" s="46" t="s">
        <v>386</v>
      </c>
      <c r="B377" s="46">
        <f>LEN(Table2[[#This Row],[Employee ID]])</f>
        <v>7</v>
      </c>
      <c r="C377" s="46" t="s">
        <v>1683</v>
      </c>
      <c r="D377" s="47">
        <v>22375</v>
      </c>
      <c r="E377" s="47">
        <v>44109</v>
      </c>
      <c r="F377" s="46" t="s">
        <v>2599</v>
      </c>
      <c r="G377" s="46">
        <v>158919</v>
      </c>
      <c r="H377" s="46" t="s">
        <v>2608</v>
      </c>
      <c r="I377" s="46" t="s">
        <v>2616</v>
      </c>
      <c r="J377" s="46" t="s">
        <v>2763</v>
      </c>
      <c r="K377" s="46" t="s">
        <v>3309</v>
      </c>
      <c r="L377" s="46">
        <v>5</v>
      </c>
    </row>
    <row r="378" spans="1:12" x14ac:dyDescent="0.3">
      <c r="A378" s="46" t="s">
        <v>387</v>
      </c>
      <c r="B378" s="46">
        <f>LEN(Table2[[#This Row],[Employee ID]])</f>
        <v>7</v>
      </c>
      <c r="C378" s="46" t="s">
        <v>1684</v>
      </c>
      <c r="D378" s="47">
        <v>35359</v>
      </c>
      <c r="E378" s="47">
        <v>35934</v>
      </c>
      <c r="F378" s="46" t="s">
        <v>2601</v>
      </c>
      <c r="G378" s="46">
        <v>160153</v>
      </c>
      <c r="H378" s="46" t="s">
        <v>2607</v>
      </c>
      <c r="I378" s="46" t="s">
        <v>2616</v>
      </c>
      <c r="J378" s="46" t="s">
        <v>2836</v>
      </c>
      <c r="K378" s="46" t="s">
        <v>3305</v>
      </c>
      <c r="L378" s="46">
        <v>27</v>
      </c>
    </row>
    <row r="379" spans="1:12" x14ac:dyDescent="0.3">
      <c r="A379" s="46" t="s">
        <v>388</v>
      </c>
      <c r="B379" s="46">
        <f>LEN(Table2[[#This Row],[Employee ID]])</f>
        <v>7</v>
      </c>
      <c r="C379" s="46" t="s">
        <v>1685</v>
      </c>
      <c r="D379" s="47">
        <v>36724</v>
      </c>
      <c r="E379" s="47">
        <v>33533</v>
      </c>
      <c r="F379" s="46" t="s">
        <v>2602</v>
      </c>
      <c r="G379" s="46">
        <v>26854</v>
      </c>
      <c r="H379" s="46" t="s">
        <v>2611</v>
      </c>
      <c r="I379" s="46" t="s">
        <v>2617</v>
      </c>
      <c r="J379" s="46" t="s">
        <v>2922</v>
      </c>
      <c r="K379" s="46" t="s">
        <v>3307</v>
      </c>
      <c r="L379" s="46">
        <v>34</v>
      </c>
    </row>
    <row r="380" spans="1:12" x14ac:dyDescent="0.3">
      <c r="A380" s="46" t="s">
        <v>389</v>
      </c>
      <c r="B380" s="46">
        <f>LEN(Table2[[#This Row],[Employee ID]])</f>
        <v>7</v>
      </c>
      <c r="C380" s="46" t="s">
        <v>1686</v>
      </c>
      <c r="D380" s="47">
        <v>23716</v>
      </c>
      <c r="E380" s="47">
        <v>30574</v>
      </c>
      <c r="F380" s="46" t="s">
        <v>2604</v>
      </c>
      <c r="G380" s="46">
        <v>175496</v>
      </c>
      <c r="H380" s="46" t="s">
        <v>2613</v>
      </c>
      <c r="I380" s="46" t="s">
        <v>2617</v>
      </c>
      <c r="J380" s="46" t="s">
        <v>2708</v>
      </c>
      <c r="K380" s="46" t="s">
        <v>3306</v>
      </c>
      <c r="L380" s="46">
        <v>42</v>
      </c>
    </row>
    <row r="381" spans="1:12" x14ac:dyDescent="0.3">
      <c r="A381" s="46" t="s">
        <v>390</v>
      </c>
      <c r="B381" s="46">
        <f>LEN(Table2[[#This Row],[Employee ID]])</f>
        <v>7</v>
      </c>
      <c r="C381" s="46" t="s">
        <v>1687</v>
      </c>
      <c r="D381" s="47">
        <v>34692</v>
      </c>
      <c r="E381" s="47">
        <v>32927</v>
      </c>
      <c r="F381" s="46" t="s">
        <v>2605</v>
      </c>
      <c r="G381" s="46">
        <v>145385</v>
      </c>
      <c r="H381" s="46" t="s">
        <v>2613</v>
      </c>
      <c r="I381" s="46" t="s">
        <v>2616</v>
      </c>
      <c r="J381" s="46" t="s">
        <v>2923</v>
      </c>
      <c r="K381" s="46" t="s">
        <v>3305</v>
      </c>
      <c r="L381" s="46">
        <v>35</v>
      </c>
    </row>
    <row r="382" spans="1:12" x14ac:dyDescent="0.3">
      <c r="A382" s="46" t="s">
        <v>391</v>
      </c>
      <c r="B382" s="46">
        <f>LEN(Table2[[#This Row],[Employee ID]])</f>
        <v>7</v>
      </c>
      <c r="C382" s="46" t="s">
        <v>1688</v>
      </c>
      <c r="D382" s="47">
        <v>30822</v>
      </c>
      <c r="E382" s="47">
        <v>33278</v>
      </c>
      <c r="F382" s="46" t="s">
        <v>2601</v>
      </c>
      <c r="G382" s="46">
        <v>65404</v>
      </c>
      <c r="H382" s="46" t="s">
        <v>2609</v>
      </c>
      <c r="I382" s="46" t="s">
        <v>2616</v>
      </c>
      <c r="J382" s="46" t="s">
        <v>2924</v>
      </c>
      <c r="K382" s="46" t="s">
        <v>3305</v>
      </c>
      <c r="L382" s="46">
        <v>34</v>
      </c>
    </row>
    <row r="383" spans="1:12" x14ac:dyDescent="0.3">
      <c r="A383" s="46" t="s">
        <v>392</v>
      </c>
      <c r="B383" s="46">
        <f>LEN(Table2[[#This Row],[Employee ID]])</f>
        <v>7</v>
      </c>
      <c r="C383" s="46" t="s">
        <v>1689</v>
      </c>
      <c r="D383" s="47">
        <v>33979</v>
      </c>
      <c r="E383" s="47">
        <v>32987</v>
      </c>
      <c r="F383" s="46" t="s">
        <v>2602</v>
      </c>
      <c r="G383" s="46">
        <v>154818</v>
      </c>
      <c r="H383" s="46" t="s">
        <v>2608</v>
      </c>
      <c r="I383" s="46" t="s">
        <v>2616</v>
      </c>
      <c r="J383" s="46" t="s">
        <v>2691</v>
      </c>
      <c r="K383" s="46" t="s">
        <v>3308</v>
      </c>
      <c r="L383" s="46">
        <v>35</v>
      </c>
    </row>
    <row r="384" spans="1:12" x14ac:dyDescent="0.3">
      <c r="A384" s="46" t="s">
        <v>393</v>
      </c>
      <c r="B384" s="46">
        <f>LEN(Table2[[#This Row],[Employee ID]])</f>
        <v>7</v>
      </c>
      <c r="C384" s="46" t="s">
        <v>1690</v>
      </c>
      <c r="D384" s="47">
        <v>30006</v>
      </c>
      <c r="E384" s="47">
        <v>25578</v>
      </c>
      <c r="F384" s="46" t="s">
        <v>2602</v>
      </c>
      <c r="G384" s="46">
        <v>137627</v>
      </c>
      <c r="H384" s="46" t="s">
        <v>2612</v>
      </c>
      <c r="I384" s="46" t="s">
        <v>2616</v>
      </c>
      <c r="J384" s="46" t="s">
        <v>2925</v>
      </c>
      <c r="K384" s="46" t="s">
        <v>3310</v>
      </c>
      <c r="L384" s="46">
        <v>55</v>
      </c>
    </row>
    <row r="385" spans="1:12" x14ac:dyDescent="0.3">
      <c r="A385" s="46" t="s">
        <v>394</v>
      </c>
      <c r="B385" s="46">
        <f>LEN(Table2[[#This Row],[Employee ID]])</f>
        <v>7</v>
      </c>
      <c r="C385" s="46" t="s">
        <v>1691</v>
      </c>
      <c r="D385" s="47">
        <v>29563</v>
      </c>
      <c r="E385" s="47">
        <v>27523</v>
      </c>
      <c r="F385" s="46" t="s">
        <v>2604</v>
      </c>
      <c r="G385" s="46">
        <v>101022</v>
      </c>
      <c r="H385" s="46" t="s">
        <v>2606</v>
      </c>
      <c r="I385" s="46" t="s">
        <v>2616</v>
      </c>
      <c r="J385" s="46" t="s">
        <v>2926</v>
      </c>
      <c r="K385" s="46" t="s">
        <v>3306</v>
      </c>
      <c r="L385" s="46">
        <v>50</v>
      </c>
    </row>
    <row r="386" spans="1:12" x14ac:dyDescent="0.3">
      <c r="A386" s="46" t="s">
        <v>395</v>
      </c>
      <c r="B386" s="46">
        <f>LEN(Table2[[#This Row],[Employee ID]])</f>
        <v>7</v>
      </c>
      <c r="C386" s="46" t="s">
        <v>1692</v>
      </c>
      <c r="D386" s="47">
        <v>23255</v>
      </c>
      <c r="E386" s="47">
        <v>27819</v>
      </c>
      <c r="F386" s="46" t="s">
        <v>2603</v>
      </c>
      <c r="G386" s="46">
        <v>27436</v>
      </c>
      <c r="H386" s="46" t="s">
        <v>2608</v>
      </c>
      <c r="I386" s="46" t="s">
        <v>2617</v>
      </c>
      <c r="J386" s="46" t="s">
        <v>2927</v>
      </c>
      <c r="K386" s="46" t="s">
        <v>3308</v>
      </c>
      <c r="L386" s="46">
        <v>49</v>
      </c>
    </row>
    <row r="387" spans="1:12" x14ac:dyDescent="0.3">
      <c r="A387" s="46" t="s">
        <v>396</v>
      </c>
      <c r="B387" s="46">
        <f>LEN(Table2[[#This Row],[Employee ID]])</f>
        <v>7</v>
      </c>
      <c r="C387" s="46" t="s">
        <v>1693</v>
      </c>
      <c r="D387" s="47">
        <v>21691</v>
      </c>
      <c r="E387" s="47">
        <v>29393</v>
      </c>
      <c r="F387" s="46" t="s">
        <v>2605</v>
      </c>
      <c r="G387" s="46">
        <v>181936</v>
      </c>
      <c r="H387" s="46" t="s">
        <v>2609</v>
      </c>
      <c r="I387" s="46" t="s">
        <v>2617</v>
      </c>
      <c r="J387" s="46" t="s">
        <v>2925</v>
      </c>
      <c r="K387" s="46" t="s">
        <v>3309</v>
      </c>
      <c r="L387" s="46">
        <v>45</v>
      </c>
    </row>
    <row r="388" spans="1:12" x14ac:dyDescent="0.3">
      <c r="A388" s="46" t="s">
        <v>397</v>
      </c>
      <c r="B388" s="46">
        <f>LEN(Table2[[#This Row],[Employee ID]])</f>
        <v>7</v>
      </c>
      <c r="C388" s="46" t="s">
        <v>1694</v>
      </c>
      <c r="D388" s="47">
        <v>33326</v>
      </c>
      <c r="E388" s="47">
        <v>28894</v>
      </c>
      <c r="F388" s="46" t="s">
        <v>2605</v>
      </c>
      <c r="G388" s="46">
        <v>47361</v>
      </c>
      <c r="H388" s="46" t="s">
        <v>2613</v>
      </c>
      <c r="I388" s="46" t="s">
        <v>2616</v>
      </c>
      <c r="J388" s="46" t="s">
        <v>2928</v>
      </c>
      <c r="K388" s="46" t="s">
        <v>3309</v>
      </c>
      <c r="L388" s="46">
        <v>46</v>
      </c>
    </row>
    <row r="389" spans="1:12" x14ac:dyDescent="0.3">
      <c r="A389" s="46" t="s">
        <v>398</v>
      </c>
      <c r="B389" s="46">
        <f>LEN(Table2[[#This Row],[Employee ID]])</f>
        <v>7</v>
      </c>
      <c r="C389" s="46" t="s">
        <v>1695</v>
      </c>
      <c r="D389" s="47">
        <v>32251</v>
      </c>
      <c r="E389" s="47">
        <v>28971</v>
      </c>
      <c r="F389" s="46" t="s">
        <v>2599</v>
      </c>
      <c r="G389" s="46">
        <v>120657</v>
      </c>
      <c r="H389" s="46" t="s">
        <v>2609</v>
      </c>
      <c r="I389" s="46" t="s">
        <v>2617</v>
      </c>
      <c r="J389" s="46" t="s">
        <v>2929</v>
      </c>
      <c r="K389" s="46" t="s">
        <v>3307</v>
      </c>
      <c r="L389" s="46">
        <v>46</v>
      </c>
    </row>
    <row r="390" spans="1:12" x14ac:dyDescent="0.3">
      <c r="A390" s="46" t="s">
        <v>399</v>
      </c>
      <c r="B390" s="46">
        <f>LEN(Table2[[#This Row],[Employee ID]])</f>
        <v>7</v>
      </c>
      <c r="C390" s="46" t="s">
        <v>1696</v>
      </c>
      <c r="D390" s="47">
        <v>25194</v>
      </c>
      <c r="E390" s="47">
        <v>38705</v>
      </c>
      <c r="F390" s="46" t="s">
        <v>2600</v>
      </c>
      <c r="G390" s="46">
        <v>81513</v>
      </c>
      <c r="H390" s="46" t="s">
        <v>2608</v>
      </c>
      <c r="I390" s="46" t="s">
        <v>2616</v>
      </c>
      <c r="J390" s="46" t="s">
        <v>2930</v>
      </c>
      <c r="K390" s="46" t="s">
        <v>3304</v>
      </c>
      <c r="L390" s="46">
        <v>20</v>
      </c>
    </row>
    <row r="391" spans="1:12" x14ac:dyDescent="0.3">
      <c r="A391" s="46" t="s">
        <v>400</v>
      </c>
      <c r="B391" s="46">
        <f>LEN(Table2[[#This Row],[Employee ID]])</f>
        <v>7</v>
      </c>
      <c r="C391" s="46" t="s">
        <v>1697</v>
      </c>
      <c r="D391" s="47">
        <v>29487</v>
      </c>
      <c r="E391" s="47">
        <v>35336</v>
      </c>
      <c r="F391" s="46" t="s">
        <v>2604</v>
      </c>
      <c r="G391" s="46">
        <v>28195</v>
      </c>
      <c r="H391" s="46" t="s">
        <v>2613</v>
      </c>
      <c r="I391" s="46" t="s">
        <v>2617</v>
      </c>
      <c r="J391" s="46" t="s">
        <v>2921</v>
      </c>
      <c r="K391" s="46" t="s">
        <v>3307</v>
      </c>
      <c r="L391" s="46">
        <v>29</v>
      </c>
    </row>
    <row r="392" spans="1:12" x14ac:dyDescent="0.3">
      <c r="A392" s="46" t="s">
        <v>401</v>
      </c>
      <c r="B392" s="46">
        <f>LEN(Table2[[#This Row],[Employee ID]])</f>
        <v>7</v>
      </c>
      <c r="C392" s="46" t="s">
        <v>1698</v>
      </c>
      <c r="D392" s="47">
        <v>35697</v>
      </c>
      <c r="E392" s="47">
        <v>26299</v>
      </c>
      <c r="F392" s="46" t="s">
        <v>2605</v>
      </c>
      <c r="G392" s="46">
        <v>56101</v>
      </c>
      <c r="H392" s="46" t="s">
        <v>2606</v>
      </c>
      <c r="I392" s="46" t="s">
        <v>2617</v>
      </c>
      <c r="J392" s="46" t="s">
        <v>2638</v>
      </c>
      <c r="K392" s="46" t="s">
        <v>3309</v>
      </c>
      <c r="L392" s="46">
        <v>53</v>
      </c>
    </row>
    <row r="393" spans="1:12" x14ac:dyDescent="0.3">
      <c r="A393" s="46" t="s">
        <v>402</v>
      </c>
      <c r="B393" s="46">
        <f>LEN(Table2[[#This Row],[Employee ID]])</f>
        <v>7</v>
      </c>
      <c r="C393" s="46" t="s">
        <v>1699</v>
      </c>
      <c r="D393" s="47">
        <v>31325</v>
      </c>
      <c r="E393" s="47">
        <v>36040</v>
      </c>
      <c r="F393" s="46" t="s">
        <v>2604</v>
      </c>
      <c r="G393" s="46">
        <v>105241</v>
      </c>
      <c r="H393" s="46" t="s">
        <v>2613</v>
      </c>
      <c r="I393" s="46" t="s">
        <v>2617</v>
      </c>
      <c r="J393" s="46" t="s">
        <v>2931</v>
      </c>
      <c r="K393" s="46" t="s">
        <v>3304</v>
      </c>
      <c r="L393" s="46">
        <v>27</v>
      </c>
    </row>
    <row r="394" spans="1:12" x14ac:dyDescent="0.3">
      <c r="A394" s="46" t="s">
        <v>403</v>
      </c>
      <c r="B394" s="46">
        <f>LEN(Table2[[#This Row],[Employee ID]])</f>
        <v>7</v>
      </c>
      <c r="C394" s="46" t="s">
        <v>1700</v>
      </c>
      <c r="D394" s="47">
        <v>28902</v>
      </c>
      <c r="E394" s="47">
        <v>44111</v>
      </c>
      <c r="F394" s="46" t="s">
        <v>2599</v>
      </c>
      <c r="G394" s="46">
        <v>107990</v>
      </c>
      <c r="H394" s="46" t="s">
        <v>2612</v>
      </c>
      <c r="I394" s="46" t="s">
        <v>2616</v>
      </c>
      <c r="J394" s="46" t="s">
        <v>2848</v>
      </c>
      <c r="K394" s="46" t="s">
        <v>3310</v>
      </c>
      <c r="L394" s="46">
        <v>5</v>
      </c>
    </row>
    <row r="395" spans="1:12" x14ac:dyDescent="0.3">
      <c r="A395" s="46" t="s">
        <v>404</v>
      </c>
      <c r="B395" s="46">
        <f>LEN(Table2[[#This Row],[Employee ID]])</f>
        <v>7</v>
      </c>
      <c r="C395" s="46" t="s">
        <v>1701</v>
      </c>
      <c r="D395" s="47">
        <v>32677</v>
      </c>
      <c r="E395" s="47">
        <v>40926</v>
      </c>
      <c r="F395" s="46" t="s">
        <v>2600</v>
      </c>
      <c r="G395" s="46">
        <v>75785</v>
      </c>
      <c r="H395" s="46" t="s">
        <v>2608</v>
      </c>
      <c r="I395" s="46" t="s">
        <v>2616</v>
      </c>
      <c r="J395" s="46" t="s">
        <v>2932</v>
      </c>
      <c r="K395" s="46" t="s">
        <v>3304</v>
      </c>
      <c r="L395" s="46">
        <v>13</v>
      </c>
    </row>
    <row r="396" spans="1:12" x14ac:dyDescent="0.3">
      <c r="A396" s="46" t="s">
        <v>405</v>
      </c>
      <c r="B396" s="46">
        <f>LEN(Table2[[#This Row],[Employee ID]])</f>
        <v>7</v>
      </c>
      <c r="C396" s="46" t="s">
        <v>1702</v>
      </c>
      <c r="D396" s="47">
        <v>22031</v>
      </c>
      <c r="E396" s="47">
        <v>29496</v>
      </c>
      <c r="F396" s="46" t="s">
        <v>2601</v>
      </c>
      <c r="G396" s="46">
        <v>135756</v>
      </c>
      <c r="H396" s="46" t="s">
        <v>2607</v>
      </c>
      <c r="I396" s="46" t="s">
        <v>2617</v>
      </c>
      <c r="J396" s="46" t="s">
        <v>2687</v>
      </c>
      <c r="K396" s="46" t="s">
        <v>3310</v>
      </c>
      <c r="L396" s="46">
        <v>45</v>
      </c>
    </row>
    <row r="397" spans="1:12" x14ac:dyDescent="0.3">
      <c r="A397" s="46" t="s">
        <v>406</v>
      </c>
      <c r="B397" s="46">
        <f>LEN(Table2[[#This Row],[Employee ID]])</f>
        <v>7</v>
      </c>
      <c r="C397" s="46" t="s">
        <v>1703</v>
      </c>
      <c r="D397" s="47">
        <v>27991</v>
      </c>
      <c r="E397" s="47">
        <v>30080</v>
      </c>
      <c r="F397" s="46" t="s">
        <v>2603</v>
      </c>
      <c r="G397" s="46">
        <v>31839</v>
      </c>
      <c r="H397" s="46" t="s">
        <v>2606</v>
      </c>
      <c r="I397" s="46" t="s">
        <v>2617</v>
      </c>
      <c r="J397" s="46" t="s">
        <v>2933</v>
      </c>
      <c r="K397" s="46" t="s">
        <v>3306</v>
      </c>
      <c r="L397" s="46">
        <v>43</v>
      </c>
    </row>
    <row r="398" spans="1:12" x14ac:dyDescent="0.3">
      <c r="A398" s="46" t="s">
        <v>407</v>
      </c>
      <c r="B398" s="46">
        <f>LEN(Table2[[#This Row],[Employee ID]])</f>
        <v>7</v>
      </c>
      <c r="C398" s="46" t="s">
        <v>1704</v>
      </c>
      <c r="D398" s="47">
        <v>29338</v>
      </c>
      <c r="E398" s="47">
        <v>30350</v>
      </c>
      <c r="F398" s="46" t="s">
        <v>2604</v>
      </c>
      <c r="G398" s="46">
        <v>170085</v>
      </c>
      <c r="H398" s="46" t="s">
        <v>2609</v>
      </c>
      <c r="I398" s="46" t="s">
        <v>2617</v>
      </c>
      <c r="J398" s="46" t="s">
        <v>2853</v>
      </c>
      <c r="K398" s="46" t="s">
        <v>3307</v>
      </c>
      <c r="L398" s="46">
        <v>42</v>
      </c>
    </row>
    <row r="399" spans="1:12" x14ac:dyDescent="0.3">
      <c r="A399" s="46" t="s">
        <v>408</v>
      </c>
      <c r="B399" s="46">
        <f>LEN(Table2[[#This Row],[Employee ID]])</f>
        <v>7</v>
      </c>
      <c r="C399" s="46" t="s">
        <v>1705</v>
      </c>
      <c r="D399" s="47">
        <v>24746</v>
      </c>
      <c r="E399" s="47">
        <v>32773</v>
      </c>
      <c r="F399" s="46" t="s">
        <v>2603</v>
      </c>
      <c r="G399" s="46">
        <v>178693</v>
      </c>
      <c r="H399" s="46" t="s">
        <v>2615</v>
      </c>
      <c r="I399" s="46" t="s">
        <v>2616</v>
      </c>
      <c r="J399" s="46" t="s">
        <v>2934</v>
      </c>
      <c r="K399" s="46" t="s">
        <v>3309</v>
      </c>
      <c r="L399" s="46">
        <v>36</v>
      </c>
    </row>
    <row r="400" spans="1:12" x14ac:dyDescent="0.3">
      <c r="A400" s="46" t="s">
        <v>409</v>
      </c>
      <c r="B400" s="46">
        <f>LEN(Table2[[#This Row],[Employee ID]])</f>
        <v>7</v>
      </c>
      <c r="C400" s="46" t="s">
        <v>1706</v>
      </c>
      <c r="D400" s="47">
        <v>22623</v>
      </c>
      <c r="E400" s="47">
        <v>27847</v>
      </c>
      <c r="F400" s="46" t="s">
        <v>2599</v>
      </c>
      <c r="G400" s="46">
        <v>187631</v>
      </c>
      <c r="H400" s="46" t="s">
        <v>2612</v>
      </c>
      <c r="I400" s="46" t="s">
        <v>2617</v>
      </c>
      <c r="J400" s="46" t="s">
        <v>2817</v>
      </c>
      <c r="K400" s="46" t="s">
        <v>3304</v>
      </c>
      <c r="L400" s="46">
        <v>49</v>
      </c>
    </row>
    <row r="401" spans="1:12" x14ac:dyDescent="0.3">
      <c r="A401" s="46" t="s">
        <v>410</v>
      </c>
      <c r="B401" s="46">
        <f>LEN(Table2[[#This Row],[Employee ID]])</f>
        <v>7</v>
      </c>
      <c r="C401" s="46" t="s">
        <v>1707</v>
      </c>
      <c r="D401" s="47">
        <v>33421</v>
      </c>
      <c r="E401" s="47">
        <v>39464</v>
      </c>
      <c r="F401" s="46" t="s">
        <v>2601</v>
      </c>
      <c r="G401" s="46">
        <v>22185</v>
      </c>
      <c r="H401" s="46" t="s">
        <v>2609</v>
      </c>
      <c r="I401" s="46" t="s">
        <v>2617</v>
      </c>
      <c r="J401" s="46" t="s">
        <v>2935</v>
      </c>
      <c r="K401" s="46" t="s">
        <v>3309</v>
      </c>
      <c r="L401" s="46">
        <v>17</v>
      </c>
    </row>
    <row r="402" spans="1:12" x14ac:dyDescent="0.3">
      <c r="A402" s="46" t="s">
        <v>411</v>
      </c>
      <c r="B402" s="46">
        <f>LEN(Table2[[#This Row],[Employee ID]])</f>
        <v>7</v>
      </c>
      <c r="C402" s="46" t="s">
        <v>1708</v>
      </c>
      <c r="D402" s="47">
        <v>23422</v>
      </c>
      <c r="E402" s="47">
        <v>38040</v>
      </c>
      <c r="F402" s="46" t="s">
        <v>2599</v>
      </c>
      <c r="G402" s="46">
        <v>186669</v>
      </c>
      <c r="H402" s="46" t="s">
        <v>2615</v>
      </c>
      <c r="I402" s="46" t="s">
        <v>2617</v>
      </c>
      <c r="J402" s="46" t="s">
        <v>2936</v>
      </c>
      <c r="K402" s="46" t="s">
        <v>3305</v>
      </c>
      <c r="L402" s="46">
        <v>21</v>
      </c>
    </row>
    <row r="403" spans="1:12" x14ac:dyDescent="0.3">
      <c r="A403" s="46" t="s">
        <v>412</v>
      </c>
      <c r="B403" s="46">
        <f>LEN(Table2[[#This Row],[Employee ID]])</f>
        <v>7</v>
      </c>
      <c r="C403" s="46" t="s">
        <v>1709</v>
      </c>
      <c r="D403" s="47">
        <v>35863</v>
      </c>
      <c r="E403" s="47">
        <v>43504</v>
      </c>
      <c r="F403" s="46" t="s">
        <v>2605</v>
      </c>
      <c r="G403" s="46">
        <v>108079</v>
      </c>
      <c r="H403" s="46" t="s">
        <v>2607</v>
      </c>
      <c r="I403" s="46" t="s">
        <v>2617</v>
      </c>
      <c r="J403" s="46" t="s">
        <v>2765</v>
      </c>
      <c r="K403" s="46" t="s">
        <v>3306</v>
      </c>
      <c r="L403" s="46">
        <v>6</v>
      </c>
    </row>
    <row r="404" spans="1:12" x14ac:dyDescent="0.3">
      <c r="A404" s="46" t="s">
        <v>413</v>
      </c>
      <c r="B404" s="46">
        <f>LEN(Table2[[#This Row],[Employee ID]])</f>
        <v>7</v>
      </c>
      <c r="C404" s="46" t="s">
        <v>1710</v>
      </c>
      <c r="D404" s="47">
        <v>32226</v>
      </c>
      <c r="E404" s="47">
        <v>37768</v>
      </c>
      <c r="F404" s="46" t="s">
        <v>2600</v>
      </c>
      <c r="G404" s="46">
        <v>185255</v>
      </c>
      <c r="H404" s="46" t="s">
        <v>2615</v>
      </c>
      <c r="I404" s="46" t="s">
        <v>2616</v>
      </c>
      <c r="J404" s="46" t="s">
        <v>2937</v>
      </c>
      <c r="K404" s="46" t="s">
        <v>3309</v>
      </c>
      <c r="L404" s="46">
        <v>22</v>
      </c>
    </row>
    <row r="405" spans="1:12" x14ac:dyDescent="0.3">
      <c r="A405" s="46" t="s">
        <v>414</v>
      </c>
      <c r="B405" s="46">
        <f>LEN(Table2[[#This Row],[Employee ID]])</f>
        <v>7</v>
      </c>
      <c r="C405" s="46" t="s">
        <v>1711</v>
      </c>
      <c r="D405" s="47">
        <v>30110</v>
      </c>
      <c r="E405" s="47">
        <v>44727</v>
      </c>
      <c r="F405" s="46" t="s">
        <v>2600</v>
      </c>
      <c r="G405" s="46">
        <v>96642</v>
      </c>
      <c r="H405" s="46" t="s">
        <v>2613</v>
      </c>
      <c r="I405" s="46" t="s">
        <v>2617</v>
      </c>
      <c r="J405" s="46" t="s">
        <v>2635</v>
      </c>
      <c r="K405" s="46" t="s">
        <v>3304</v>
      </c>
      <c r="L405" s="46">
        <v>3</v>
      </c>
    </row>
    <row r="406" spans="1:12" x14ac:dyDescent="0.3">
      <c r="A406" s="46" t="s">
        <v>415</v>
      </c>
      <c r="B406" s="46">
        <f>LEN(Table2[[#This Row],[Employee ID]])</f>
        <v>7</v>
      </c>
      <c r="C406" s="46" t="s">
        <v>1712</v>
      </c>
      <c r="D406" s="47">
        <v>33118</v>
      </c>
      <c r="E406" s="47">
        <v>33568</v>
      </c>
      <c r="F406" s="46" t="s">
        <v>2604</v>
      </c>
      <c r="G406" s="46">
        <v>72999</v>
      </c>
      <c r="H406" s="46" t="s">
        <v>2614</v>
      </c>
      <c r="I406" s="46" t="s">
        <v>2617</v>
      </c>
      <c r="J406" s="46" t="s">
        <v>2938</v>
      </c>
      <c r="K406" s="46" t="s">
        <v>3304</v>
      </c>
      <c r="L406" s="46">
        <v>34</v>
      </c>
    </row>
    <row r="407" spans="1:12" x14ac:dyDescent="0.3">
      <c r="A407" s="46" t="s">
        <v>416</v>
      </c>
      <c r="B407" s="46">
        <f>LEN(Table2[[#This Row],[Employee ID]])</f>
        <v>7</v>
      </c>
      <c r="C407" s="46" t="s">
        <v>1713</v>
      </c>
      <c r="D407" s="47">
        <v>34289</v>
      </c>
      <c r="E407" s="47">
        <v>44231</v>
      </c>
      <c r="F407" s="46" t="s">
        <v>2602</v>
      </c>
      <c r="G407" s="46">
        <v>199590</v>
      </c>
      <c r="H407" s="46" t="s">
        <v>2614</v>
      </c>
      <c r="I407" s="46" t="s">
        <v>2617</v>
      </c>
      <c r="J407" s="46" t="s">
        <v>2939</v>
      </c>
      <c r="K407" s="46" t="s">
        <v>3309</v>
      </c>
      <c r="L407" s="46">
        <v>4</v>
      </c>
    </row>
    <row r="408" spans="1:12" x14ac:dyDescent="0.3">
      <c r="A408" s="46" t="s">
        <v>417</v>
      </c>
      <c r="B408" s="46">
        <f>LEN(Table2[[#This Row],[Employee ID]])</f>
        <v>7</v>
      </c>
      <c r="C408" s="46" t="s">
        <v>1714</v>
      </c>
      <c r="D408" s="47">
        <v>24894</v>
      </c>
      <c r="E408" s="47">
        <v>39636</v>
      </c>
      <c r="F408" s="46" t="s">
        <v>2605</v>
      </c>
      <c r="G408" s="46">
        <v>78238</v>
      </c>
      <c r="H408" s="46" t="s">
        <v>2614</v>
      </c>
      <c r="I408" s="46" t="s">
        <v>2617</v>
      </c>
      <c r="J408" s="46" t="s">
        <v>2836</v>
      </c>
      <c r="K408" s="46" t="s">
        <v>3304</v>
      </c>
      <c r="L408" s="46">
        <v>17</v>
      </c>
    </row>
    <row r="409" spans="1:12" x14ac:dyDescent="0.3">
      <c r="A409" s="46" t="s">
        <v>418</v>
      </c>
      <c r="B409" s="46">
        <f>LEN(Table2[[#This Row],[Employee ID]])</f>
        <v>7</v>
      </c>
      <c r="C409" s="46" t="s">
        <v>1715</v>
      </c>
      <c r="D409" s="47">
        <v>27264</v>
      </c>
      <c r="E409" s="47">
        <v>30209</v>
      </c>
      <c r="F409" s="46" t="s">
        <v>2600</v>
      </c>
      <c r="G409" s="46">
        <v>35486</v>
      </c>
      <c r="H409" s="46" t="s">
        <v>2615</v>
      </c>
      <c r="I409" s="46" t="s">
        <v>2617</v>
      </c>
      <c r="J409" s="46" t="s">
        <v>2940</v>
      </c>
      <c r="K409" s="46" t="s">
        <v>3307</v>
      </c>
      <c r="L409" s="46">
        <v>43</v>
      </c>
    </row>
    <row r="410" spans="1:12" x14ac:dyDescent="0.3">
      <c r="A410" s="46" t="s">
        <v>419</v>
      </c>
      <c r="B410" s="46">
        <f>LEN(Table2[[#This Row],[Employee ID]])</f>
        <v>7</v>
      </c>
      <c r="C410" s="46" t="s">
        <v>1716</v>
      </c>
      <c r="D410" s="47">
        <v>22520</v>
      </c>
      <c r="E410" s="47">
        <v>43805</v>
      </c>
      <c r="F410" s="46" t="s">
        <v>2603</v>
      </c>
      <c r="G410" s="46">
        <v>87397</v>
      </c>
      <c r="H410" s="46" t="s">
        <v>2610</v>
      </c>
      <c r="I410" s="46" t="s">
        <v>2617</v>
      </c>
      <c r="J410" s="46" t="s">
        <v>2941</v>
      </c>
      <c r="K410" s="46" t="s">
        <v>3304</v>
      </c>
      <c r="L410" s="46">
        <v>6</v>
      </c>
    </row>
    <row r="411" spans="1:12" x14ac:dyDescent="0.3">
      <c r="A411" s="46" t="s">
        <v>420</v>
      </c>
      <c r="B411" s="46">
        <f>LEN(Table2[[#This Row],[Employee ID]])</f>
        <v>7</v>
      </c>
      <c r="C411" s="46" t="s">
        <v>1717</v>
      </c>
      <c r="D411" s="47">
        <v>34692</v>
      </c>
      <c r="E411" s="47">
        <v>37944</v>
      </c>
      <c r="F411" s="46" t="s">
        <v>2604</v>
      </c>
      <c r="G411" s="46">
        <v>165387</v>
      </c>
      <c r="H411" s="46" t="s">
        <v>2613</v>
      </c>
      <c r="I411" s="46" t="s">
        <v>2617</v>
      </c>
      <c r="J411" s="46" t="s">
        <v>2914</v>
      </c>
      <c r="K411" s="46" t="s">
        <v>3305</v>
      </c>
      <c r="L411" s="46">
        <v>22</v>
      </c>
    </row>
    <row r="412" spans="1:12" x14ac:dyDescent="0.3">
      <c r="A412" s="46" t="s">
        <v>421</v>
      </c>
      <c r="B412" s="46">
        <f>LEN(Table2[[#This Row],[Employee ID]])</f>
        <v>7</v>
      </c>
      <c r="C412" s="46" t="s">
        <v>1718</v>
      </c>
      <c r="D412" s="47">
        <v>23585</v>
      </c>
      <c r="E412" s="47">
        <v>37920</v>
      </c>
      <c r="F412" s="46" t="s">
        <v>2601</v>
      </c>
      <c r="G412" s="46">
        <v>28958</v>
      </c>
      <c r="H412" s="46" t="s">
        <v>2609</v>
      </c>
      <c r="I412" s="46" t="s">
        <v>2616</v>
      </c>
      <c r="J412" s="46" t="s">
        <v>2809</v>
      </c>
      <c r="K412" s="46" t="s">
        <v>3308</v>
      </c>
      <c r="L412" s="46">
        <v>22</v>
      </c>
    </row>
    <row r="413" spans="1:12" x14ac:dyDescent="0.3">
      <c r="A413" s="46" t="s">
        <v>422</v>
      </c>
      <c r="B413" s="46">
        <f>LEN(Table2[[#This Row],[Employee ID]])</f>
        <v>7</v>
      </c>
      <c r="C413" s="46" t="s">
        <v>1719</v>
      </c>
      <c r="D413" s="47">
        <v>36770</v>
      </c>
      <c r="E413" s="47">
        <v>37441</v>
      </c>
      <c r="F413" s="46" t="s">
        <v>2603</v>
      </c>
      <c r="G413" s="46">
        <v>103846</v>
      </c>
      <c r="H413" s="46" t="s">
        <v>2606</v>
      </c>
      <c r="I413" s="46" t="s">
        <v>2617</v>
      </c>
      <c r="J413" s="46" t="s">
        <v>2877</v>
      </c>
      <c r="K413" s="46" t="s">
        <v>3310</v>
      </c>
      <c r="L413" s="46">
        <v>23</v>
      </c>
    </row>
    <row r="414" spans="1:12" x14ac:dyDescent="0.3">
      <c r="A414" s="46" t="s">
        <v>423</v>
      </c>
      <c r="B414" s="46">
        <f>LEN(Table2[[#This Row],[Employee ID]])</f>
        <v>7</v>
      </c>
      <c r="C414" s="46" t="s">
        <v>1720</v>
      </c>
      <c r="D414" s="47">
        <v>26547</v>
      </c>
      <c r="E414" s="47">
        <v>38665</v>
      </c>
      <c r="F414" s="46" t="s">
        <v>2601</v>
      </c>
      <c r="G414" s="46">
        <v>39492</v>
      </c>
      <c r="H414" s="46" t="s">
        <v>2614</v>
      </c>
      <c r="I414" s="46" t="s">
        <v>2617</v>
      </c>
      <c r="J414" s="46" t="s">
        <v>2783</v>
      </c>
      <c r="K414" s="46" t="s">
        <v>3306</v>
      </c>
      <c r="L414" s="46">
        <v>20</v>
      </c>
    </row>
    <row r="415" spans="1:12" x14ac:dyDescent="0.3">
      <c r="A415" s="46" t="s">
        <v>424</v>
      </c>
      <c r="B415" s="46">
        <f>LEN(Table2[[#This Row],[Employee ID]])</f>
        <v>7</v>
      </c>
      <c r="C415" s="46" t="s">
        <v>1721</v>
      </c>
      <c r="D415" s="47">
        <v>35912</v>
      </c>
      <c r="E415" s="47">
        <v>35591</v>
      </c>
      <c r="F415" s="46" t="s">
        <v>2604</v>
      </c>
      <c r="G415" s="46">
        <v>37522</v>
      </c>
      <c r="H415" s="46" t="s">
        <v>2615</v>
      </c>
      <c r="I415" s="46" t="s">
        <v>2616</v>
      </c>
      <c r="J415" s="46" t="s">
        <v>2773</v>
      </c>
      <c r="K415" s="46" t="s">
        <v>3306</v>
      </c>
      <c r="L415" s="46">
        <v>28</v>
      </c>
    </row>
    <row r="416" spans="1:12" x14ac:dyDescent="0.3">
      <c r="A416" s="46" t="s">
        <v>425</v>
      </c>
      <c r="B416" s="46">
        <f>LEN(Table2[[#This Row],[Employee ID]])</f>
        <v>7</v>
      </c>
      <c r="C416" s="46" t="s">
        <v>1722</v>
      </c>
      <c r="D416" s="47">
        <v>31327</v>
      </c>
      <c r="E416" s="47">
        <v>34421</v>
      </c>
      <c r="F416" s="46" t="s">
        <v>2601</v>
      </c>
      <c r="G416" s="46">
        <v>52782</v>
      </c>
      <c r="H416" s="46" t="s">
        <v>2606</v>
      </c>
      <c r="I416" s="46" t="s">
        <v>2616</v>
      </c>
      <c r="J416" s="46" t="s">
        <v>2937</v>
      </c>
      <c r="K416" s="46" t="s">
        <v>3304</v>
      </c>
      <c r="L416" s="46">
        <v>31</v>
      </c>
    </row>
    <row r="417" spans="1:12" x14ac:dyDescent="0.3">
      <c r="A417" s="46" t="s">
        <v>426</v>
      </c>
      <c r="B417" s="46">
        <f>LEN(Table2[[#This Row],[Employee ID]])</f>
        <v>7</v>
      </c>
      <c r="C417" s="46" t="s">
        <v>1723</v>
      </c>
      <c r="D417" s="47">
        <v>35162</v>
      </c>
      <c r="E417" s="47">
        <v>30267</v>
      </c>
      <c r="F417" s="46" t="s">
        <v>2601</v>
      </c>
      <c r="G417" s="46">
        <v>86594</v>
      </c>
      <c r="H417" s="46" t="s">
        <v>2608</v>
      </c>
      <c r="I417" s="46" t="s">
        <v>2616</v>
      </c>
      <c r="J417" s="46" t="s">
        <v>2942</v>
      </c>
      <c r="K417" s="46" t="s">
        <v>3306</v>
      </c>
      <c r="L417" s="46">
        <v>43</v>
      </c>
    </row>
    <row r="418" spans="1:12" x14ac:dyDescent="0.3">
      <c r="A418" s="46" t="s">
        <v>427</v>
      </c>
      <c r="B418" s="46">
        <f>LEN(Table2[[#This Row],[Employee ID]])</f>
        <v>7</v>
      </c>
      <c r="C418" s="46" t="s">
        <v>1724</v>
      </c>
      <c r="D418" s="47">
        <v>24016</v>
      </c>
      <c r="E418" s="47">
        <v>30361</v>
      </c>
      <c r="F418" s="46" t="s">
        <v>2599</v>
      </c>
      <c r="G418" s="46">
        <v>188209</v>
      </c>
      <c r="H418" s="46" t="s">
        <v>2614</v>
      </c>
      <c r="I418" s="46" t="s">
        <v>2617</v>
      </c>
      <c r="J418" s="46" t="s">
        <v>2661</v>
      </c>
      <c r="K418" s="46" t="s">
        <v>3307</v>
      </c>
      <c r="L418" s="46">
        <v>42</v>
      </c>
    </row>
    <row r="419" spans="1:12" x14ac:dyDescent="0.3">
      <c r="A419" s="46" t="s">
        <v>428</v>
      </c>
      <c r="B419" s="46">
        <f>LEN(Table2[[#This Row],[Employee ID]])</f>
        <v>7</v>
      </c>
      <c r="C419" s="46" t="s">
        <v>1725</v>
      </c>
      <c r="D419" s="47">
        <v>30742</v>
      </c>
      <c r="E419" s="47">
        <v>37649</v>
      </c>
      <c r="F419" s="46" t="s">
        <v>2600</v>
      </c>
      <c r="G419" s="46">
        <v>54085</v>
      </c>
      <c r="H419" s="46" t="s">
        <v>2613</v>
      </c>
      <c r="I419" s="46" t="s">
        <v>2616</v>
      </c>
      <c r="J419" s="46" t="s">
        <v>2744</v>
      </c>
      <c r="K419" s="46" t="s">
        <v>3310</v>
      </c>
      <c r="L419" s="46">
        <v>22</v>
      </c>
    </row>
    <row r="420" spans="1:12" x14ac:dyDescent="0.3">
      <c r="A420" s="46" t="s">
        <v>429</v>
      </c>
      <c r="B420" s="46">
        <f>LEN(Table2[[#This Row],[Employee ID]])</f>
        <v>7</v>
      </c>
      <c r="C420" s="46" t="s">
        <v>1726</v>
      </c>
      <c r="D420" s="47">
        <v>31129</v>
      </c>
      <c r="E420" s="47">
        <v>40453</v>
      </c>
      <c r="F420" s="46" t="s">
        <v>2599</v>
      </c>
      <c r="G420" s="46">
        <v>91853</v>
      </c>
      <c r="H420" s="46" t="s">
        <v>2606</v>
      </c>
      <c r="I420" s="46" t="s">
        <v>2616</v>
      </c>
      <c r="J420" s="46" t="s">
        <v>2693</v>
      </c>
      <c r="K420" s="46" t="s">
        <v>3304</v>
      </c>
      <c r="L420" s="46">
        <v>15</v>
      </c>
    </row>
    <row r="421" spans="1:12" x14ac:dyDescent="0.3">
      <c r="A421" s="46" t="s">
        <v>430</v>
      </c>
      <c r="B421" s="46">
        <f>LEN(Table2[[#This Row],[Employee ID]])</f>
        <v>7</v>
      </c>
      <c r="C421" s="46" t="s">
        <v>1727</v>
      </c>
      <c r="D421" s="47">
        <v>36175</v>
      </c>
      <c r="E421" s="47">
        <v>37772</v>
      </c>
      <c r="F421" s="46" t="s">
        <v>2603</v>
      </c>
      <c r="G421" s="46">
        <v>104791</v>
      </c>
      <c r="H421" s="46" t="s">
        <v>2611</v>
      </c>
      <c r="I421" s="46" t="s">
        <v>2617</v>
      </c>
      <c r="J421" s="46" t="s">
        <v>2796</v>
      </c>
      <c r="K421" s="46" t="s">
        <v>3305</v>
      </c>
      <c r="L421" s="46">
        <v>22</v>
      </c>
    </row>
    <row r="422" spans="1:12" x14ac:dyDescent="0.3">
      <c r="A422" s="46" t="s">
        <v>431</v>
      </c>
      <c r="B422" s="46">
        <f>LEN(Table2[[#This Row],[Employee ID]])</f>
        <v>7</v>
      </c>
      <c r="C422" s="46" t="s">
        <v>1728</v>
      </c>
      <c r="D422" s="47">
        <v>23677</v>
      </c>
      <c r="E422" s="47">
        <v>29349</v>
      </c>
      <c r="F422" s="46" t="s">
        <v>2601</v>
      </c>
      <c r="G422" s="46">
        <v>84596</v>
      </c>
      <c r="H422" s="46" t="s">
        <v>2615</v>
      </c>
      <c r="I422" s="46" t="s">
        <v>2616</v>
      </c>
      <c r="J422" s="46" t="s">
        <v>2796</v>
      </c>
      <c r="K422" s="46" t="s">
        <v>3305</v>
      </c>
      <c r="L422" s="46">
        <v>45</v>
      </c>
    </row>
    <row r="423" spans="1:12" x14ac:dyDescent="0.3">
      <c r="A423" s="46" t="s">
        <v>432</v>
      </c>
      <c r="B423" s="46">
        <f>LEN(Table2[[#This Row],[Employee ID]])</f>
        <v>7</v>
      </c>
      <c r="C423" s="46" t="s">
        <v>1729</v>
      </c>
      <c r="D423" s="47">
        <v>33996</v>
      </c>
      <c r="E423" s="47">
        <v>40857</v>
      </c>
      <c r="F423" s="46" t="s">
        <v>2602</v>
      </c>
      <c r="G423" s="46">
        <v>166075</v>
      </c>
      <c r="H423" s="46" t="s">
        <v>2613</v>
      </c>
      <c r="I423" s="46" t="s">
        <v>2616</v>
      </c>
      <c r="J423" s="46" t="s">
        <v>2943</v>
      </c>
      <c r="K423" s="46" t="s">
        <v>3310</v>
      </c>
      <c r="L423" s="46">
        <v>14</v>
      </c>
    </row>
    <row r="424" spans="1:12" x14ac:dyDescent="0.3">
      <c r="A424" s="46" t="s">
        <v>433</v>
      </c>
      <c r="B424" s="46">
        <f>LEN(Table2[[#This Row],[Employee ID]])</f>
        <v>7</v>
      </c>
      <c r="C424" s="46" t="s">
        <v>1730</v>
      </c>
      <c r="D424" s="47">
        <v>29813</v>
      </c>
      <c r="E424" s="47">
        <v>38141</v>
      </c>
      <c r="F424" s="46" t="s">
        <v>2600</v>
      </c>
      <c r="G424" s="46">
        <v>52270</v>
      </c>
      <c r="H424" s="46" t="s">
        <v>2612</v>
      </c>
      <c r="I424" s="46" t="s">
        <v>2616</v>
      </c>
      <c r="J424" s="46" t="s">
        <v>2622</v>
      </c>
      <c r="K424" s="46" t="s">
        <v>3307</v>
      </c>
      <c r="L424" s="46">
        <v>21</v>
      </c>
    </row>
    <row r="425" spans="1:12" x14ac:dyDescent="0.3">
      <c r="A425" s="46" t="s">
        <v>434</v>
      </c>
      <c r="B425" s="46">
        <f>LEN(Table2[[#This Row],[Employee ID]])</f>
        <v>7</v>
      </c>
      <c r="C425" s="46" t="s">
        <v>1731</v>
      </c>
      <c r="D425" s="47">
        <v>28147</v>
      </c>
      <c r="E425" s="47">
        <v>34805</v>
      </c>
      <c r="F425" s="46" t="s">
        <v>2604</v>
      </c>
      <c r="G425" s="46">
        <v>69564</v>
      </c>
      <c r="H425" s="46" t="s">
        <v>2607</v>
      </c>
      <c r="I425" s="46" t="s">
        <v>2616</v>
      </c>
      <c r="J425" s="46" t="s">
        <v>2944</v>
      </c>
      <c r="K425" s="46" t="s">
        <v>3310</v>
      </c>
      <c r="L425" s="46">
        <v>30</v>
      </c>
    </row>
    <row r="426" spans="1:12" x14ac:dyDescent="0.3">
      <c r="A426" s="46" t="s">
        <v>435</v>
      </c>
      <c r="B426" s="46">
        <f>LEN(Table2[[#This Row],[Employee ID]])</f>
        <v>7</v>
      </c>
      <c r="C426" s="46" t="s">
        <v>1732</v>
      </c>
      <c r="D426" s="47">
        <v>28855</v>
      </c>
      <c r="E426" s="47">
        <v>35570</v>
      </c>
      <c r="F426" s="46" t="s">
        <v>2603</v>
      </c>
      <c r="G426" s="46">
        <v>45930</v>
      </c>
      <c r="H426" s="46" t="s">
        <v>2611</v>
      </c>
      <c r="I426" s="46" t="s">
        <v>2616</v>
      </c>
      <c r="J426" s="46" t="s">
        <v>2749</v>
      </c>
      <c r="K426" s="46" t="s">
        <v>3306</v>
      </c>
      <c r="L426" s="46">
        <v>28</v>
      </c>
    </row>
    <row r="427" spans="1:12" x14ac:dyDescent="0.3">
      <c r="A427" s="46" t="s">
        <v>436</v>
      </c>
      <c r="B427" s="46">
        <f>LEN(Table2[[#This Row],[Employee ID]])</f>
        <v>7</v>
      </c>
      <c r="C427" s="46" t="s">
        <v>1733</v>
      </c>
      <c r="D427" s="47">
        <v>36658</v>
      </c>
      <c r="E427" s="47">
        <v>26324</v>
      </c>
      <c r="F427" s="46" t="s">
        <v>2602</v>
      </c>
      <c r="G427" s="46">
        <v>48226</v>
      </c>
      <c r="H427" s="46" t="s">
        <v>2608</v>
      </c>
      <c r="I427" s="46" t="s">
        <v>2616</v>
      </c>
      <c r="J427" s="46" t="s">
        <v>2945</v>
      </c>
      <c r="K427" s="46" t="s">
        <v>3306</v>
      </c>
      <c r="L427" s="46">
        <v>53</v>
      </c>
    </row>
    <row r="428" spans="1:12" x14ac:dyDescent="0.3">
      <c r="A428" s="46" t="s">
        <v>437</v>
      </c>
      <c r="B428" s="46">
        <f>LEN(Table2[[#This Row],[Employee ID]])</f>
        <v>7</v>
      </c>
      <c r="C428" s="46" t="s">
        <v>1734</v>
      </c>
      <c r="D428" s="47">
        <v>23971</v>
      </c>
      <c r="E428" s="47">
        <v>40699</v>
      </c>
      <c r="F428" s="46" t="s">
        <v>2602</v>
      </c>
      <c r="G428" s="46">
        <v>44604</v>
      </c>
      <c r="H428" s="46" t="s">
        <v>2611</v>
      </c>
      <c r="I428" s="46" t="s">
        <v>2616</v>
      </c>
      <c r="J428" s="46" t="s">
        <v>2889</v>
      </c>
      <c r="K428" s="46" t="s">
        <v>3305</v>
      </c>
      <c r="L428" s="46">
        <v>14</v>
      </c>
    </row>
    <row r="429" spans="1:12" x14ac:dyDescent="0.3">
      <c r="A429" s="46" t="s">
        <v>438</v>
      </c>
      <c r="B429" s="46">
        <f>LEN(Table2[[#This Row],[Employee ID]])</f>
        <v>7</v>
      </c>
      <c r="C429" s="46" t="s">
        <v>1735</v>
      </c>
      <c r="D429" s="47">
        <v>25672</v>
      </c>
      <c r="E429" s="47">
        <v>30476</v>
      </c>
      <c r="F429" s="46" t="s">
        <v>2601</v>
      </c>
      <c r="G429" s="46">
        <v>163758</v>
      </c>
      <c r="H429" s="46" t="s">
        <v>2608</v>
      </c>
      <c r="I429" s="46" t="s">
        <v>2617</v>
      </c>
      <c r="J429" s="46" t="s">
        <v>2946</v>
      </c>
      <c r="K429" s="46" t="s">
        <v>3304</v>
      </c>
      <c r="L429" s="46">
        <v>42</v>
      </c>
    </row>
    <row r="430" spans="1:12" x14ac:dyDescent="0.3">
      <c r="A430" s="46" t="s">
        <v>439</v>
      </c>
      <c r="B430" s="46">
        <f>LEN(Table2[[#This Row],[Employee ID]])</f>
        <v>7</v>
      </c>
      <c r="C430" s="46" t="s">
        <v>1736</v>
      </c>
      <c r="D430" s="47">
        <v>22976</v>
      </c>
      <c r="E430" s="47">
        <v>39400</v>
      </c>
      <c r="F430" s="46" t="s">
        <v>2599</v>
      </c>
      <c r="G430" s="46">
        <v>124907</v>
      </c>
      <c r="H430" s="46" t="s">
        <v>2606</v>
      </c>
      <c r="I430" s="46" t="s">
        <v>2617</v>
      </c>
      <c r="J430" s="46" t="s">
        <v>2947</v>
      </c>
      <c r="K430" s="46" t="s">
        <v>3308</v>
      </c>
      <c r="L430" s="46">
        <v>18</v>
      </c>
    </row>
    <row r="431" spans="1:12" x14ac:dyDescent="0.3">
      <c r="A431" s="46" t="s">
        <v>440</v>
      </c>
      <c r="B431" s="46">
        <f>LEN(Table2[[#This Row],[Employee ID]])</f>
        <v>7</v>
      </c>
      <c r="C431" s="46" t="s">
        <v>1737</v>
      </c>
      <c r="D431" s="47">
        <v>33015</v>
      </c>
      <c r="E431" s="47">
        <v>29057</v>
      </c>
      <c r="F431" s="46" t="s">
        <v>2604</v>
      </c>
      <c r="G431" s="46">
        <v>32520</v>
      </c>
      <c r="H431" s="46" t="s">
        <v>2609</v>
      </c>
      <c r="I431" s="46" t="s">
        <v>2616</v>
      </c>
      <c r="J431" s="46" t="s">
        <v>2948</v>
      </c>
      <c r="K431" s="46" t="s">
        <v>3305</v>
      </c>
      <c r="L431" s="46">
        <v>46</v>
      </c>
    </row>
    <row r="432" spans="1:12" x14ac:dyDescent="0.3">
      <c r="A432" s="46" t="s">
        <v>441</v>
      </c>
      <c r="B432" s="46">
        <f>LEN(Table2[[#This Row],[Employee ID]])</f>
        <v>7</v>
      </c>
      <c r="C432" s="46" t="s">
        <v>1738</v>
      </c>
      <c r="D432" s="47">
        <v>22286</v>
      </c>
      <c r="E432" s="47">
        <v>32652</v>
      </c>
      <c r="F432" s="46" t="s">
        <v>2603</v>
      </c>
      <c r="G432" s="46">
        <v>105193</v>
      </c>
      <c r="H432" s="46" t="s">
        <v>2610</v>
      </c>
      <c r="I432" s="46" t="s">
        <v>2617</v>
      </c>
      <c r="J432" s="46" t="s">
        <v>2949</v>
      </c>
      <c r="K432" s="46" t="s">
        <v>3307</v>
      </c>
      <c r="L432" s="46">
        <v>36</v>
      </c>
    </row>
    <row r="433" spans="1:12" x14ac:dyDescent="0.3">
      <c r="A433" s="46" t="s">
        <v>442</v>
      </c>
      <c r="B433" s="46">
        <f>LEN(Table2[[#This Row],[Employee ID]])</f>
        <v>7</v>
      </c>
      <c r="C433" s="46" t="s">
        <v>1739</v>
      </c>
      <c r="D433" s="47">
        <v>36428</v>
      </c>
      <c r="E433" s="47">
        <v>41461</v>
      </c>
      <c r="F433" s="46" t="s">
        <v>2599</v>
      </c>
      <c r="G433" s="46">
        <v>182071</v>
      </c>
      <c r="H433" s="46" t="s">
        <v>2610</v>
      </c>
      <c r="I433" s="46" t="s">
        <v>2616</v>
      </c>
      <c r="J433" s="46" t="s">
        <v>2950</v>
      </c>
      <c r="K433" s="46" t="s">
        <v>3309</v>
      </c>
      <c r="L433" s="46">
        <v>12</v>
      </c>
    </row>
    <row r="434" spans="1:12" x14ac:dyDescent="0.3">
      <c r="A434" s="46" t="s">
        <v>443</v>
      </c>
      <c r="B434" s="46">
        <f>LEN(Table2[[#This Row],[Employee ID]])</f>
        <v>7</v>
      </c>
      <c r="C434" s="46" t="s">
        <v>1740</v>
      </c>
      <c r="D434" s="47">
        <v>31367</v>
      </c>
      <c r="E434" s="47">
        <v>36899</v>
      </c>
      <c r="F434" s="46" t="s">
        <v>2605</v>
      </c>
      <c r="G434" s="46">
        <v>108273</v>
      </c>
      <c r="H434" s="46" t="s">
        <v>2614</v>
      </c>
      <c r="I434" s="46" t="s">
        <v>2616</v>
      </c>
      <c r="J434" s="46" t="s">
        <v>2951</v>
      </c>
      <c r="K434" s="46" t="s">
        <v>3305</v>
      </c>
      <c r="L434" s="46">
        <v>24</v>
      </c>
    </row>
    <row r="435" spans="1:12" x14ac:dyDescent="0.3">
      <c r="A435" s="46" t="s">
        <v>444</v>
      </c>
      <c r="B435" s="46">
        <f>LEN(Table2[[#This Row],[Employee ID]])</f>
        <v>7</v>
      </c>
      <c r="C435" s="46" t="s">
        <v>1741</v>
      </c>
      <c r="D435" s="47">
        <v>32357</v>
      </c>
      <c r="E435" s="47">
        <v>35601</v>
      </c>
      <c r="F435" s="46" t="s">
        <v>2599</v>
      </c>
      <c r="G435" s="46">
        <v>110883</v>
      </c>
      <c r="H435" s="46" t="s">
        <v>2615</v>
      </c>
      <c r="I435" s="46" t="s">
        <v>2616</v>
      </c>
      <c r="J435" s="46" t="s">
        <v>2645</v>
      </c>
      <c r="K435" s="46" t="s">
        <v>3307</v>
      </c>
      <c r="L435" s="46">
        <v>28</v>
      </c>
    </row>
    <row r="436" spans="1:12" x14ac:dyDescent="0.3">
      <c r="A436" s="46" t="s">
        <v>445</v>
      </c>
      <c r="B436" s="46">
        <f>LEN(Table2[[#This Row],[Employee ID]])</f>
        <v>7</v>
      </c>
      <c r="C436" s="46" t="s">
        <v>1742</v>
      </c>
      <c r="D436" s="47">
        <v>33120</v>
      </c>
      <c r="E436" s="47">
        <v>32391</v>
      </c>
      <c r="F436" s="46" t="s">
        <v>2604</v>
      </c>
      <c r="G436" s="46">
        <v>121319</v>
      </c>
      <c r="H436" s="46" t="s">
        <v>2606</v>
      </c>
      <c r="I436" s="46" t="s">
        <v>2616</v>
      </c>
      <c r="J436" s="46" t="s">
        <v>2952</v>
      </c>
      <c r="K436" s="46" t="s">
        <v>3310</v>
      </c>
      <c r="L436" s="46">
        <v>37</v>
      </c>
    </row>
    <row r="437" spans="1:12" x14ac:dyDescent="0.3">
      <c r="A437" s="46" t="s">
        <v>446</v>
      </c>
      <c r="B437" s="46">
        <f>LEN(Table2[[#This Row],[Employee ID]])</f>
        <v>7</v>
      </c>
      <c r="C437" s="46" t="s">
        <v>1743</v>
      </c>
      <c r="D437" s="47">
        <v>31086</v>
      </c>
      <c r="E437" s="47">
        <v>28546</v>
      </c>
      <c r="F437" s="46" t="s">
        <v>2599</v>
      </c>
      <c r="G437" s="46">
        <v>142130</v>
      </c>
      <c r="H437" s="46" t="s">
        <v>2614</v>
      </c>
      <c r="I437" s="46" t="s">
        <v>2617</v>
      </c>
      <c r="J437" s="46" t="s">
        <v>2953</v>
      </c>
      <c r="K437" s="46" t="s">
        <v>3308</v>
      </c>
      <c r="L437" s="46">
        <v>47</v>
      </c>
    </row>
    <row r="438" spans="1:12" x14ac:dyDescent="0.3">
      <c r="A438" s="46" t="s">
        <v>447</v>
      </c>
      <c r="B438" s="46">
        <f>LEN(Table2[[#This Row],[Employee ID]])</f>
        <v>7</v>
      </c>
      <c r="C438" s="46" t="s">
        <v>1744</v>
      </c>
      <c r="D438" s="47">
        <v>33260</v>
      </c>
      <c r="E438" s="47">
        <v>30022</v>
      </c>
      <c r="F438" s="46" t="s">
        <v>2601</v>
      </c>
      <c r="G438" s="46">
        <v>54018</v>
      </c>
      <c r="H438" s="46" t="s">
        <v>2607</v>
      </c>
      <c r="I438" s="46" t="s">
        <v>2617</v>
      </c>
      <c r="J438" s="46" t="s">
        <v>2954</v>
      </c>
      <c r="K438" s="46" t="s">
        <v>3310</v>
      </c>
      <c r="L438" s="46">
        <v>43</v>
      </c>
    </row>
    <row r="439" spans="1:12" x14ac:dyDescent="0.3">
      <c r="A439" s="46" t="s">
        <v>448</v>
      </c>
      <c r="B439" s="46">
        <f>LEN(Table2[[#This Row],[Employee ID]])</f>
        <v>7</v>
      </c>
      <c r="C439" s="46" t="s">
        <v>1745</v>
      </c>
      <c r="D439" s="47">
        <v>37342</v>
      </c>
      <c r="E439" s="47">
        <v>36975</v>
      </c>
      <c r="F439" s="46" t="s">
        <v>2599</v>
      </c>
      <c r="G439" s="46">
        <v>39768</v>
      </c>
      <c r="H439" s="46" t="s">
        <v>2606</v>
      </c>
      <c r="I439" s="46" t="s">
        <v>2616</v>
      </c>
      <c r="J439" s="46" t="s">
        <v>2795</v>
      </c>
      <c r="K439" s="46" t="s">
        <v>3304</v>
      </c>
      <c r="L439" s="46">
        <v>24</v>
      </c>
    </row>
    <row r="440" spans="1:12" x14ac:dyDescent="0.3">
      <c r="A440" s="46" t="s">
        <v>449</v>
      </c>
      <c r="B440" s="46">
        <f>LEN(Table2[[#This Row],[Employee ID]])</f>
        <v>7</v>
      </c>
      <c r="C440" s="46" t="s">
        <v>1746</v>
      </c>
      <c r="D440" s="47">
        <v>27689</v>
      </c>
      <c r="E440" s="47">
        <v>31158</v>
      </c>
      <c r="F440" s="46" t="s">
        <v>2599</v>
      </c>
      <c r="G440" s="46">
        <v>173968</v>
      </c>
      <c r="H440" s="46" t="s">
        <v>2606</v>
      </c>
      <c r="I440" s="46" t="s">
        <v>2616</v>
      </c>
      <c r="J440" s="46" t="s">
        <v>2955</v>
      </c>
      <c r="K440" s="46" t="s">
        <v>3304</v>
      </c>
      <c r="L440" s="46">
        <v>40</v>
      </c>
    </row>
    <row r="441" spans="1:12" x14ac:dyDescent="0.3">
      <c r="A441" s="46" t="s">
        <v>450</v>
      </c>
      <c r="B441" s="46">
        <f>LEN(Table2[[#This Row],[Employee ID]])</f>
        <v>7</v>
      </c>
      <c r="C441" s="46" t="s">
        <v>1747</v>
      </c>
      <c r="D441" s="47">
        <v>35970</v>
      </c>
      <c r="E441" s="47">
        <v>30991</v>
      </c>
      <c r="F441" s="46" t="s">
        <v>2601</v>
      </c>
      <c r="G441" s="46">
        <v>72517</v>
      </c>
      <c r="H441" s="46" t="s">
        <v>2613</v>
      </c>
      <c r="I441" s="46" t="s">
        <v>2617</v>
      </c>
      <c r="J441" s="46" t="s">
        <v>2956</v>
      </c>
      <c r="K441" s="46" t="s">
        <v>3308</v>
      </c>
      <c r="L441" s="46">
        <v>41</v>
      </c>
    </row>
    <row r="442" spans="1:12" x14ac:dyDescent="0.3">
      <c r="A442" s="46" t="s">
        <v>451</v>
      </c>
      <c r="B442" s="46">
        <f>LEN(Table2[[#This Row],[Employee ID]])</f>
        <v>7</v>
      </c>
      <c r="C442" s="46" t="s">
        <v>1748</v>
      </c>
      <c r="D442" s="47">
        <v>29018</v>
      </c>
      <c r="E442" s="47">
        <v>28262</v>
      </c>
      <c r="F442" s="46" t="s">
        <v>2601</v>
      </c>
      <c r="G442" s="46">
        <v>114636</v>
      </c>
      <c r="H442" s="46" t="s">
        <v>2610</v>
      </c>
      <c r="I442" s="46" t="s">
        <v>2617</v>
      </c>
      <c r="J442" s="46" t="s">
        <v>2624</v>
      </c>
      <c r="K442" s="46" t="s">
        <v>3310</v>
      </c>
      <c r="L442" s="46">
        <v>48</v>
      </c>
    </row>
    <row r="443" spans="1:12" x14ac:dyDescent="0.3">
      <c r="A443" s="46" t="s">
        <v>452</v>
      </c>
      <c r="B443" s="46">
        <f>LEN(Table2[[#This Row],[Employee ID]])</f>
        <v>7</v>
      </c>
      <c r="C443" s="46" t="s">
        <v>1749</v>
      </c>
      <c r="D443" s="47">
        <v>31339</v>
      </c>
      <c r="E443" s="47">
        <v>26499</v>
      </c>
      <c r="F443" s="46" t="s">
        <v>2599</v>
      </c>
      <c r="G443" s="46">
        <v>73240</v>
      </c>
      <c r="H443" s="46" t="s">
        <v>2614</v>
      </c>
      <c r="I443" s="46" t="s">
        <v>2617</v>
      </c>
      <c r="J443" s="46" t="s">
        <v>2667</v>
      </c>
      <c r="K443" s="46" t="s">
        <v>3304</v>
      </c>
      <c r="L443" s="46">
        <v>53</v>
      </c>
    </row>
    <row r="444" spans="1:12" x14ac:dyDescent="0.3">
      <c r="A444" s="46" t="s">
        <v>453</v>
      </c>
      <c r="B444" s="46">
        <f>LEN(Table2[[#This Row],[Employee ID]])</f>
        <v>7</v>
      </c>
      <c r="C444" s="46" t="s">
        <v>1750</v>
      </c>
      <c r="D444" s="47">
        <v>31619</v>
      </c>
      <c r="E444" s="47">
        <v>37280</v>
      </c>
      <c r="F444" s="46" t="s">
        <v>2603</v>
      </c>
      <c r="G444" s="46">
        <v>104483</v>
      </c>
      <c r="H444" s="46" t="s">
        <v>2613</v>
      </c>
      <c r="I444" s="46" t="s">
        <v>2617</v>
      </c>
      <c r="J444" s="46" t="s">
        <v>2957</v>
      </c>
      <c r="K444" s="46" t="s">
        <v>3308</v>
      </c>
      <c r="L444" s="46">
        <v>23</v>
      </c>
    </row>
    <row r="445" spans="1:12" x14ac:dyDescent="0.3">
      <c r="A445" s="46" t="s">
        <v>454</v>
      </c>
      <c r="B445" s="46">
        <f>LEN(Table2[[#This Row],[Employee ID]])</f>
        <v>7</v>
      </c>
      <c r="C445" s="46" t="s">
        <v>1751</v>
      </c>
      <c r="D445" s="47">
        <v>24967</v>
      </c>
      <c r="E445" s="47">
        <v>40807</v>
      </c>
      <c r="F445" s="46" t="s">
        <v>2601</v>
      </c>
      <c r="G445" s="46">
        <v>75999</v>
      </c>
      <c r="H445" s="46" t="s">
        <v>2610</v>
      </c>
      <c r="I445" s="46" t="s">
        <v>2616</v>
      </c>
      <c r="J445" s="46" t="s">
        <v>2655</v>
      </c>
      <c r="K445" s="46" t="s">
        <v>3310</v>
      </c>
      <c r="L445" s="46">
        <v>14</v>
      </c>
    </row>
    <row r="446" spans="1:12" x14ac:dyDescent="0.3">
      <c r="A446" s="46" t="s">
        <v>455</v>
      </c>
      <c r="B446" s="46">
        <f>LEN(Table2[[#This Row],[Employee ID]])</f>
        <v>7</v>
      </c>
      <c r="C446" s="46" t="s">
        <v>1752</v>
      </c>
      <c r="D446" s="47">
        <v>23140</v>
      </c>
      <c r="E446" s="47">
        <v>41124</v>
      </c>
      <c r="F446" s="46" t="s">
        <v>2600</v>
      </c>
      <c r="G446" s="46">
        <v>118107</v>
      </c>
      <c r="H446" s="46" t="s">
        <v>2614</v>
      </c>
      <c r="I446" s="46" t="s">
        <v>2617</v>
      </c>
      <c r="J446" s="46" t="s">
        <v>2870</v>
      </c>
      <c r="K446" s="46" t="s">
        <v>3305</v>
      </c>
      <c r="L446" s="46">
        <v>13</v>
      </c>
    </row>
    <row r="447" spans="1:12" x14ac:dyDescent="0.3">
      <c r="A447" s="46" t="s">
        <v>456</v>
      </c>
      <c r="B447" s="46">
        <f>LEN(Table2[[#This Row],[Employee ID]])</f>
        <v>7</v>
      </c>
      <c r="C447" s="46" t="s">
        <v>1753</v>
      </c>
      <c r="D447" s="47">
        <v>25395</v>
      </c>
      <c r="E447" s="47">
        <v>27030</v>
      </c>
      <c r="F447" s="46" t="s">
        <v>2604</v>
      </c>
      <c r="G447" s="46">
        <v>79127</v>
      </c>
      <c r="H447" s="46" t="s">
        <v>2609</v>
      </c>
      <c r="I447" s="46" t="s">
        <v>2617</v>
      </c>
      <c r="J447" s="46" t="s">
        <v>2745</v>
      </c>
      <c r="K447" s="46" t="s">
        <v>3310</v>
      </c>
      <c r="L447" s="46">
        <v>51</v>
      </c>
    </row>
    <row r="448" spans="1:12" x14ac:dyDescent="0.3">
      <c r="A448" s="46" t="s">
        <v>457</v>
      </c>
      <c r="B448" s="46">
        <f>LEN(Table2[[#This Row],[Employee ID]])</f>
        <v>7</v>
      </c>
      <c r="C448" s="46" t="s">
        <v>1754</v>
      </c>
      <c r="D448" s="47">
        <v>22145</v>
      </c>
      <c r="E448" s="47">
        <v>42636</v>
      </c>
      <c r="F448" s="46" t="s">
        <v>2600</v>
      </c>
      <c r="G448" s="46">
        <v>128707</v>
      </c>
      <c r="H448" s="46" t="s">
        <v>2609</v>
      </c>
      <c r="I448" s="46" t="s">
        <v>2616</v>
      </c>
      <c r="J448" s="46" t="s">
        <v>2958</v>
      </c>
      <c r="K448" s="46" t="s">
        <v>3309</v>
      </c>
      <c r="L448" s="46">
        <v>9</v>
      </c>
    </row>
    <row r="449" spans="1:12" x14ac:dyDescent="0.3">
      <c r="A449" s="46" t="s">
        <v>458</v>
      </c>
      <c r="B449" s="46">
        <f>LEN(Table2[[#This Row],[Employee ID]])</f>
        <v>7</v>
      </c>
      <c r="C449" s="46" t="s">
        <v>1755</v>
      </c>
      <c r="D449" s="47">
        <v>23889</v>
      </c>
      <c r="E449" s="47">
        <v>40160</v>
      </c>
      <c r="F449" s="46" t="s">
        <v>2604</v>
      </c>
      <c r="G449" s="46">
        <v>120522</v>
      </c>
      <c r="H449" s="46" t="s">
        <v>2612</v>
      </c>
      <c r="I449" s="46" t="s">
        <v>2616</v>
      </c>
      <c r="J449" s="46" t="s">
        <v>2959</v>
      </c>
      <c r="K449" s="46" t="s">
        <v>3307</v>
      </c>
      <c r="L449" s="46">
        <v>16</v>
      </c>
    </row>
    <row r="450" spans="1:12" x14ac:dyDescent="0.3">
      <c r="A450" s="46" t="s">
        <v>459</v>
      </c>
      <c r="B450" s="46">
        <f>LEN(Table2[[#This Row],[Employee ID]])</f>
        <v>7</v>
      </c>
      <c r="C450" s="46" t="s">
        <v>1756</v>
      </c>
      <c r="D450" s="47">
        <v>33366</v>
      </c>
      <c r="E450" s="47">
        <v>35737</v>
      </c>
      <c r="F450" s="46" t="s">
        <v>2599</v>
      </c>
      <c r="G450" s="46">
        <v>70763</v>
      </c>
      <c r="H450" s="46" t="s">
        <v>2610</v>
      </c>
      <c r="I450" s="46" t="s">
        <v>2616</v>
      </c>
      <c r="J450" s="46" t="s">
        <v>2693</v>
      </c>
      <c r="K450" s="46" t="s">
        <v>3304</v>
      </c>
      <c r="L450" s="46">
        <v>28</v>
      </c>
    </row>
    <row r="451" spans="1:12" x14ac:dyDescent="0.3">
      <c r="A451" s="46" t="s">
        <v>460</v>
      </c>
      <c r="B451" s="46">
        <f>LEN(Table2[[#This Row],[Employee ID]])</f>
        <v>7</v>
      </c>
      <c r="C451" s="46" t="s">
        <v>1757</v>
      </c>
      <c r="D451" s="47">
        <v>35342</v>
      </c>
      <c r="E451" s="47">
        <v>42427</v>
      </c>
      <c r="F451" s="46" t="s">
        <v>2599</v>
      </c>
      <c r="G451" s="46">
        <v>196568</v>
      </c>
      <c r="H451" s="46" t="s">
        <v>2607</v>
      </c>
      <c r="I451" s="46" t="s">
        <v>2616</v>
      </c>
      <c r="J451" s="46" t="s">
        <v>2960</v>
      </c>
      <c r="K451" s="46" t="s">
        <v>3304</v>
      </c>
      <c r="L451" s="46">
        <v>9</v>
      </c>
    </row>
    <row r="452" spans="1:12" x14ac:dyDescent="0.3">
      <c r="A452" s="46" t="s">
        <v>461</v>
      </c>
      <c r="B452" s="46">
        <f>LEN(Table2[[#This Row],[Employee ID]])</f>
        <v>7</v>
      </c>
      <c r="C452" s="46" t="s">
        <v>1758</v>
      </c>
      <c r="D452" s="47">
        <v>24455</v>
      </c>
      <c r="E452" s="47">
        <v>26512</v>
      </c>
      <c r="F452" s="46" t="s">
        <v>2600</v>
      </c>
      <c r="G452" s="46">
        <v>52251</v>
      </c>
      <c r="H452" s="46" t="s">
        <v>2607</v>
      </c>
      <c r="I452" s="46" t="s">
        <v>2617</v>
      </c>
      <c r="J452" s="46" t="s">
        <v>2961</v>
      </c>
      <c r="K452" s="46" t="s">
        <v>3310</v>
      </c>
      <c r="L452" s="46">
        <v>53</v>
      </c>
    </row>
    <row r="453" spans="1:12" x14ac:dyDescent="0.3">
      <c r="A453" s="46" t="s">
        <v>462</v>
      </c>
      <c r="B453" s="46">
        <f>LEN(Table2[[#This Row],[Employee ID]])</f>
        <v>7</v>
      </c>
      <c r="C453" s="46" t="s">
        <v>1759</v>
      </c>
      <c r="D453" s="47">
        <v>28317</v>
      </c>
      <c r="E453" s="47">
        <v>32379</v>
      </c>
      <c r="F453" s="46" t="s">
        <v>2605</v>
      </c>
      <c r="G453" s="46">
        <v>162499</v>
      </c>
      <c r="H453" s="46" t="s">
        <v>2611</v>
      </c>
      <c r="I453" s="46" t="s">
        <v>2616</v>
      </c>
      <c r="J453" s="46" t="s">
        <v>2911</v>
      </c>
      <c r="K453" s="46" t="s">
        <v>3306</v>
      </c>
      <c r="L453" s="46">
        <v>37</v>
      </c>
    </row>
    <row r="454" spans="1:12" x14ac:dyDescent="0.3">
      <c r="A454" s="46" t="s">
        <v>463</v>
      </c>
      <c r="B454" s="46">
        <f>LEN(Table2[[#This Row],[Employee ID]])</f>
        <v>7</v>
      </c>
      <c r="C454" s="46" t="s">
        <v>1760</v>
      </c>
      <c r="D454" s="47">
        <v>25274</v>
      </c>
      <c r="E454" s="47">
        <v>39520</v>
      </c>
      <c r="F454" s="46" t="s">
        <v>2605</v>
      </c>
      <c r="G454" s="46">
        <v>194641</v>
      </c>
      <c r="H454" s="46" t="s">
        <v>2612</v>
      </c>
      <c r="I454" s="46" t="s">
        <v>2616</v>
      </c>
      <c r="J454" s="46" t="s">
        <v>2962</v>
      </c>
      <c r="K454" s="46" t="s">
        <v>3305</v>
      </c>
      <c r="L454" s="46">
        <v>17</v>
      </c>
    </row>
    <row r="455" spans="1:12" x14ac:dyDescent="0.3">
      <c r="A455" s="46" t="s">
        <v>464</v>
      </c>
      <c r="B455" s="46">
        <f>LEN(Table2[[#This Row],[Employee ID]])</f>
        <v>7</v>
      </c>
      <c r="C455" s="46" t="s">
        <v>1761</v>
      </c>
      <c r="D455" s="47">
        <v>33334</v>
      </c>
      <c r="E455" s="47">
        <v>32264</v>
      </c>
      <c r="F455" s="46" t="s">
        <v>2602</v>
      </c>
      <c r="G455" s="46">
        <v>132218</v>
      </c>
      <c r="H455" s="46" t="s">
        <v>2610</v>
      </c>
      <c r="I455" s="46" t="s">
        <v>2616</v>
      </c>
      <c r="J455" s="46" t="s">
        <v>2963</v>
      </c>
      <c r="K455" s="46" t="s">
        <v>3306</v>
      </c>
      <c r="L455" s="46">
        <v>37</v>
      </c>
    </row>
    <row r="456" spans="1:12" x14ac:dyDescent="0.3">
      <c r="A456" s="46" t="s">
        <v>465</v>
      </c>
      <c r="B456" s="46">
        <f>LEN(Table2[[#This Row],[Employee ID]])</f>
        <v>7</v>
      </c>
      <c r="C456" s="46" t="s">
        <v>1762</v>
      </c>
      <c r="D456" s="47">
        <v>35616</v>
      </c>
      <c r="E456" s="47">
        <v>41647</v>
      </c>
      <c r="F456" s="46" t="s">
        <v>2605</v>
      </c>
      <c r="G456" s="46">
        <v>112983</v>
      </c>
      <c r="H456" s="46" t="s">
        <v>2609</v>
      </c>
      <c r="I456" s="46" t="s">
        <v>2617</v>
      </c>
      <c r="J456" s="46" t="s">
        <v>2675</v>
      </c>
      <c r="K456" s="46" t="s">
        <v>3309</v>
      </c>
      <c r="L456" s="46">
        <v>11</v>
      </c>
    </row>
    <row r="457" spans="1:12" x14ac:dyDescent="0.3">
      <c r="A457" s="46" t="s">
        <v>466</v>
      </c>
      <c r="B457" s="46">
        <f>LEN(Table2[[#This Row],[Employee ID]])</f>
        <v>7</v>
      </c>
      <c r="C457" s="46" t="s">
        <v>1763</v>
      </c>
      <c r="D457" s="47">
        <v>33993</v>
      </c>
      <c r="E457" s="47">
        <v>42278</v>
      </c>
      <c r="F457" s="46" t="s">
        <v>2601</v>
      </c>
      <c r="G457" s="46">
        <v>101855</v>
      </c>
      <c r="H457" s="46" t="s">
        <v>2609</v>
      </c>
      <c r="I457" s="46" t="s">
        <v>2617</v>
      </c>
      <c r="J457" s="46" t="s">
        <v>2964</v>
      </c>
      <c r="K457" s="46" t="s">
        <v>3307</v>
      </c>
      <c r="L457" s="46">
        <v>10</v>
      </c>
    </row>
    <row r="458" spans="1:12" x14ac:dyDescent="0.3">
      <c r="A458" s="46" t="s">
        <v>467</v>
      </c>
      <c r="B458" s="46">
        <f>LEN(Table2[[#This Row],[Employee ID]])</f>
        <v>7</v>
      </c>
      <c r="C458" s="46" t="s">
        <v>1764</v>
      </c>
      <c r="D458" s="47">
        <v>28004</v>
      </c>
      <c r="E458" s="47">
        <v>29672</v>
      </c>
      <c r="F458" s="46" t="s">
        <v>2605</v>
      </c>
      <c r="G458" s="46">
        <v>193951</v>
      </c>
      <c r="H458" s="46" t="s">
        <v>2610</v>
      </c>
      <c r="I458" s="46" t="s">
        <v>2617</v>
      </c>
      <c r="J458" s="46" t="s">
        <v>2965</v>
      </c>
      <c r="K458" s="46" t="s">
        <v>3305</v>
      </c>
      <c r="L458" s="46">
        <v>44</v>
      </c>
    </row>
    <row r="459" spans="1:12" x14ac:dyDescent="0.3">
      <c r="A459" s="46" t="s">
        <v>468</v>
      </c>
      <c r="B459" s="46">
        <f>LEN(Table2[[#This Row],[Employee ID]])</f>
        <v>7</v>
      </c>
      <c r="C459" s="46" t="s">
        <v>1765</v>
      </c>
      <c r="D459" s="47">
        <v>28015</v>
      </c>
      <c r="E459" s="47">
        <v>30414</v>
      </c>
      <c r="F459" s="46" t="s">
        <v>2599</v>
      </c>
      <c r="G459" s="46">
        <v>30304</v>
      </c>
      <c r="H459" s="46" t="s">
        <v>2611</v>
      </c>
      <c r="I459" s="46" t="s">
        <v>2616</v>
      </c>
      <c r="J459" s="46" t="s">
        <v>2685</v>
      </c>
      <c r="K459" s="46" t="s">
        <v>3308</v>
      </c>
      <c r="L459" s="46">
        <v>42</v>
      </c>
    </row>
    <row r="460" spans="1:12" x14ac:dyDescent="0.3">
      <c r="A460" s="46" t="s">
        <v>469</v>
      </c>
      <c r="B460" s="46">
        <f>LEN(Table2[[#This Row],[Employee ID]])</f>
        <v>7</v>
      </c>
      <c r="C460" s="46" t="s">
        <v>1766</v>
      </c>
      <c r="D460" s="47">
        <v>28567</v>
      </c>
      <c r="E460" s="47">
        <v>25613</v>
      </c>
      <c r="F460" s="46" t="s">
        <v>2605</v>
      </c>
      <c r="G460" s="46">
        <v>111166</v>
      </c>
      <c r="H460" s="46" t="s">
        <v>2607</v>
      </c>
      <c r="I460" s="46" t="s">
        <v>2616</v>
      </c>
      <c r="J460" s="46" t="s">
        <v>2966</v>
      </c>
      <c r="K460" s="46" t="s">
        <v>3305</v>
      </c>
      <c r="L460" s="46">
        <v>55</v>
      </c>
    </row>
    <row r="461" spans="1:12" x14ac:dyDescent="0.3">
      <c r="A461" s="46" t="s">
        <v>470</v>
      </c>
      <c r="B461" s="46">
        <f>LEN(Table2[[#This Row],[Employee ID]])</f>
        <v>7</v>
      </c>
      <c r="C461" s="46" t="s">
        <v>1767</v>
      </c>
      <c r="D461" s="47">
        <v>31256</v>
      </c>
      <c r="E461" s="47">
        <v>31390</v>
      </c>
      <c r="F461" s="46" t="s">
        <v>2602</v>
      </c>
      <c r="G461" s="46">
        <v>137412</v>
      </c>
      <c r="H461" s="46" t="s">
        <v>2607</v>
      </c>
      <c r="I461" s="46" t="s">
        <v>2617</v>
      </c>
      <c r="J461" s="46" t="s">
        <v>2967</v>
      </c>
      <c r="K461" s="46" t="s">
        <v>3309</v>
      </c>
      <c r="L461" s="46">
        <v>40</v>
      </c>
    </row>
    <row r="462" spans="1:12" x14ac:dyDescent="0.3">
      <c r="A462" s="46" t="s">
        <v>471</v>
      </c>
      <c r="B462" s="46">
        <f>LEN(Table2[[#This Row],[Employee ID]])</f>
        <v>7</v>
      </c>
      <c r="C462" s="46" t="s">
        <v>1768</v>
      </c>
      <c r="D462" s="47">
        <v>28654</v>
      </c>
      <c r="E462" s="47">
        <v>33258</v>
      </c>
      <c r="F462" s="46" t="s">
        <v>2604</v>
      </c>
      <c r="G462" s="46">
        <v>135490</v>
      </c>
      <c r="H462" s="46" t="s">
        <v>2613</v>
      </c>
      <c r="I462" s="46" t="s">
        <v>2617</v>
      </c>
      <c r="J462" s="46" t="s">
        <v>2968</v>
      </c>
      <c r="K462" s="46" t="s">
        <v>3306</v>
      </c>
      <c r="L462" s="46">
        <v>34</v>
      </c>
    </row>
    <row r="463" spans="1:12" x14ac:dyDescent="0.3">
      <c r="A463" s="46" t="s">
        <v>472</v>
      </c>
      <c r="B463" s="46">
        <f>LEN(Table2[[#This Row],[Employee ID]])</f>
        <v>7</v>
      </c>
      <c r="C463" s="46" t="s">
        <v>1769</v>
      </c>
      <c r="D463" s="47">
        <v>37551</v>
      </c>
      <c r="E463" s="47">
        <v>35302</v>
      </c>
      <c r="F463" s="46" t="s">
        <v>2603</v>
      </c>
      <c r="G463" s="46">
        <v>72893</v>
      </c>
      <c r="H463" s="46" t="s">
        <v>2613</v>
      </c>
      <c r="I463" s="46" t="s">
        <v>2617</v>
      </c>
      <c r="J463" s="46" t="s">
        <v>2969</v>
      </c>
      <c r="K463" s="46" t="s">
        <v>3307</v>
      </c>
      <c r="L463" s="46">
        <v>29</v>
      </c>
    </row>
    <row r="464" spans="1:12" x14ac:dyDescent="0.3">
      <c r="A464" s="46" t="s">
        <v>473</v>
      </c>
      <c r="B464" s="46">
        <f>LEN(Table2[[#This Row],[Employee ID]])</f>
        <v>7</v>
      </c>
      <c r="C464" s="46" t="s">
        <v>1770</v>
      </c>
      <c r="D464" s="47">
        <v>25376</v>
      </c>
      <c r="E464" s="47">
        <v>39210</v>
      </c>
      <c r="F464" s="46" t="s">
        <v>2600</v>
      </c>
      <c r="G464" s="46">
        <v>125518</v>
      </c>
      <c r="H464" s="46" t="s">
        <v>2615</v>
      </c>
      <c r="I464" s="46" t="s">
        <v>2617</v>
      </c>
      <c r="J464" s="46" t="s">
        <v>2970</v>
      </c>
      <c r="K464" s="46" t="s">
        <v>3308</v>
      </c>
      <c r="L464" s="46">
        <v>18</v>
      </c>
    </row>
    <row r="465" spans="1:12" x14ac:dyDescent="0.3">
      <c r="A465" s="46" t="s">
        <v>474</v>
      </c>
      <c r="B465" s="46">
        <f>LEN(Table2[[#This Row],[Employee ID]])</f>
        <v>7</v>
      </c>
      <c r="C465" s="46" t="s">
        <v>1771</v>
      </c>
      <c r="D465" s="47">
        <v>34813</v>
      </c>
      <c r="E465" s="47">
        <v>36359</v>
      </c>
      <c r="F465" s="46" t="s">
        <v>2603</v>
      </c>
      <c r="G465" s="46">
        <v>159174</v>
      </c>
      <c r="H465" s="46" t="s">
        <v>2607</v>
      </c>
      <c r="I465" s="46" t="s">
        <v>2616</v>
      </c>
      <c r="J465" s="46" t="s">
        <v>2971</v>
      </c>
      <c r="K465" s="46" t="s">
        <v>3305</v>
      </c>
      <c r="L465" s="46">
        <v>26</v>
      </c>
    </row>
    <row r="466" spans="1:12" x14ac:dyDescent="0.3">
      <c r="A466" s="46" t="s">
        <v>475</v>
      </c>
      <c r="B466" s="46">
        <f>LEN(Table2[[#This Row],[Employee ID]])</f>
        <v>7</v>
      </c>
      <c r="C466" s="46" t="s">
        <v>1772</v>
      </c>
      <c r="D466" s="47">
        <v>29721</v>
      </c>
      <c r="E466" s="47">
        <v>34014</v>
      </c>
      <c r="F466" s="46" t="s">
        <v>2602</v>
      </c>
      <c r="G466" s="46">
        <v>95213</v>
      </c>
      <c r="H466" s="46" t="s">
        <v>2607</v>
      </c>
      <c r="I466" s="46" t="s">
        <v>2617</v>
      </c>
      <c r="J466" s="46" t="s">
        <v>2829</v>
      </c>
      <c r="K466" s="46" t="s">
        <v>3308</v>
      </c>
      <c r="L466" s="46">
        <v>32</v>
      </c>
    </row>
    <row r="467" spans="1:12" x14ac:dyDescent="0.3">
      <c r="A467" s="46" t="s">
        <v>476</v>
      </c>
      <c r="B467" s="46">
        <f>LEN(Table2[[#This Row],[Employee ID]])</f>
        <v>7</v>
      </c>
      <c r="C467" s="46" t="s">
        <v>1773</v>
      </c>
      <c r="D467" s="47">
        <v>23923</v>
      </c>
      <c r="E467" s="47">
        <v>32736</v>
      </c>
      <c r="F467" s="46" t="s">
        <v>2604</v>
      </c>
      <c r="G467" s="46">
        <v>192064</v>
      </c>
      <c r="H467" s="46" t="s">
        <v>2611</v>
      </c>
      <c r="I467" s="46" t="s">
        <v>2616</v>
      </c>
      <c r="J467" s="46" t="s">
        <v>2972</v>
      </c>
      <c r="K467" s="46" t="s">
        <v>3306</v>
      </c>
      <c r="L467" s="46">
        <v>36</v>
      </c>
    </row>
    <row r="468" spans="1:12" x14ac:dyDescent="0.3">
      <c r="A468" s="46" t="s">
        <v>477</v>
      </c>
      <c r="B468" s="46">
        <f>LEN(Table2[[#This Row],[Employee ID]])</f>
        <v>7</v>
      </c>
      <c r="C468" s="46" t="s">
        <v>1774</v>
      </c>
      <c r="D468" s="47">
        <v>26786</v>
      </c>
      <c r="E468" s="47">
        <v>41147</v>
      </c>
      <c r="F468" s="46" t="s">
        <v>2600</v>
      </c>
      <c r="G468" s="46">
        <v>108609</v>
      </c>
      <c r="H468" s="46" t="s">
        <v>2612</v>
      </c>
      <c r="I468" s="46" t="s">
        <v>2616</v>
      </c>
      <c r="J468" s="46" t="s">
        <v>2973</v>
      </c>
      <c r="K468" s="46" t="s">
        <v>3310</v>
      </c>
      <c r="L468" s="46">
        <v>13</v>
      </c>
    </row>
    <row r="469" spans="1:12" x14ac:dyDescent="0.3">
      <c r="A469" s="46" t="s">
        <v>478</v>
      </c>
      <c r="B469" s="46">
        <f>LEN(Table2[[#This Row],[Employee ID]])</f>
        <v>7</v>
      </c>
      <c r="C469" s="46" t="s">
        <v>1775</v>
      </c>
      <c r="D469" s="47">
        <v>26515</v>
      </c>
      <c r="E469" s="47">
        <v>39490</v>
      </c>
      <c r="F469" s="46" t="s">
        <v>2605</v>
      </c>
      <c r="G469" s="46">
        <v>128319</v>
      </c>
      <c r="H469" s="46" t="s">
        <v>2614</v>
      </c>
      <c r="I469" s="46" t="s">
        <v>2617</v>
      </c>
      <c r="J469" s="46" t="s">
        <v>2956</v>
      </c>
      <c r="K469" s="46" t="s">
        <v>3310</v>
      </c>
      <c r="L469" s="46">
        <v>17</v>
      </c>
    </row>
    <row r="470" spans="1:12" x14ac:dyDescent="0.3">
      <c r="A470" s="46" t="s">
        <v>479</v>
      </c>
      <c r="B470" s="46">
        <f>LEN(Table2[[#This Row],[Employee ID]])</f>
        <v>7</v>
      </c>
      <c r="C470" s="46" t="s">
        <v>1776</v>
      </c>
      <c r="D470" s="47">
        <v>33301</v>
      </c>
      <c r="E470" s="47">
        <v>26458</v>
      </c>
      <c r="F470" s="46" t="s">
        <v>2603</v>
      </c>
      <c r="G470" s="46">
        <v>41244</v>
      </c>
      <c r="H470" s="46" t="s">
        <v>2610</v>
      </c>
      <c r="I470" s="46" t="s">
        <v>2616</v>
      </c>
      <c r="J470" s="46" t="s">
        <v>2974</v>
      </c>
      <c r="K470" s="46" t="s">
        <v>3310</v>
      </c>
      <c r="L470" s="46">
        <v>53</v>
      </c>
    </row>
    <row r="471" spans="1:12" x14ac:dyDescent="0.3">
      <c r="A471" s="46" t="s">
        <v>480</v>
      </c>
      <c r="B471" s="46">
        <f>LEN(Table2[[#This Row],[Employee ID]])</f>
        <v>7</v>
      </c>
      <c r="C471" s="46" t="s">
        <v>1777</v>
      </c>
      <c r="D471" s="47">
        <v>30385</v>
      </c>
      <c r="E471" s="47">
        <v>44700</v>
      </c>
      <c r="F471" s="46" t="s">
        <v>2605</v>
      </c>
      <c r="G471" s="46">
        <v>103112</v>
      </c>
      <c r="H471" s="46" t="s">
        <v>2607</v>
      </c>
      <c r="I471" s="46" t="s">
        <v>2617</v>
      </c>
      <c r="J471" s="46" t="s">
        <v>2975</v>
      </c>
      <c r="K471" s="46" t="s">
        <v>3304</v>
      </c>
      <c r="L471" s="46">
        <v>3</v>
      </c>
    </row>
    <row r="472" spans="1:12" x14ac:dyDescent="0.3">
      <c r="A472" s="46" t="s">
        <v>481</v>
      </c>
      <c r="B472" s="46">
        <f>LEN(Table2[[#This Row],[Employee ID]])</f>
        <v>7</v>
      </c>
      <c r="C472" s="46" t="s">
        <v>1778</v>
      </c>
      <c r="D472" s="47">
        <v>24188</v>
      </c>
      <c r="E472" s="47">
        <v>44686</v>
      </c>
      <c r="F472" s="46" t="s">
        <v>2602</v>
      </c>
      <c r="G472" s="46">
        <v>195150</v>
      </c>
      <c r="H472" s="46" t="s">
        <v>2608</v>
      </c>
      <c r="I472" s="46" t="s">
        <v>2616</v>
      </c>
      <c r="J472" s="46" t="s">
        <v>2976</v>
      </c>
      <c r="K472" s="46" t="s">
        <v>3306</v>
      </c>
      <c r="L472" s="46">
        <v>3</v>
      </c>
    </row>
    <row r="473" spans="1:12" x14ac:dyDescent="0.3">
      <c r="A473" s="46" t="s">
        <v>482</v>
      </c>
      <c r="B473" s="46">
        <f>LEN(Table2[[#This Row],[Employee ID]])</f>
        <v>7</v>
      </c>
      <c r="C473" s="46" t="s">
        <v>1779</v>
      </c>
      <c r="D473" s="47">
        <v>26408</v>
      </c>
      <c r="E473" s="47">
        <v>36766</v>
      </c>
      <c r="F473" s="46" t="s">
        <v>2605</v>
      </c>
      <c r="G473" s="46">
        <v>196856</v>
      </c>
      <c r="H473" s="46" t="s">
        <v>2606</v>
      </c>
      <c r="I473" s="46" t="s">
        <v>2617</v>
      </c>
      <c r="J473" s="46" t="s">
        <v>2977</v>
      </c>
      <c r="K473" s="46" t="s">
        <v>3308</v>
      </c>
      <c r="L473" s="46">
        <v>25</v>
      </c>
    </row>
    <row r="474" spans="1:12" x14ac:dyDescent="0.3">
      <c r="A474" s="46" t="s">
        <v>483</v>
      </c>
      <c r="B474" s="46">
        <f>LEN(Table2[[#This Row],[Employee ID]])</f>
        <v>7</v>
      </c>
      <c r="C474" s="46" t="s">
        <v>1780</v>
      </c>
      <c r="D474" s="47">
        <v>26383</v>
      </c>
      <c r="E474" s="47">
        <v>35527</v>
      </c>
      <c r="F474" s="46" t="s">
        <v>2602</v>
      </c>
      <c r="G474" s="46">
        <v>114073</v>
      </c>
      <c r="H474" s="46" t="s">
        <v>2607</v>
      </c>
      <c r="I474" s="46" t="s">
        <v>2616</v>
      </c>
      <c r="J474" s="46" t="s">
        <v>2684</v>
      </c>
      <c r="K474" s="46" t="s">
        <v>3305</v>
      </c>
      <c r="L474" s="46">
        <v>28</v>
      </c>
    </row>
    <row r="475" spans="1:12" x14ac:dyDescent="0.3">
      <c r="A475" s="46" t="s">
        <v>484</v>
      </c>
      <c r="B475" s="46">
        <f>LEN(Table2[[#This Row],[Employee ID]])</f>
        <v>7</v>
      </c>
      <c r="C475" s="46" t="s">
        <v>1781</v>
      </c>
      <c r="D475" s="47">
        <v>36394</v>
      </c>
      <c r="E475" s="47">
        <v>39289</v>
      </c>
      <c r="F475" s="46" t="s">
        <v>2604</v>
      </c>
      <c r="G475" s="46">
        <v>104729</v>
      </c>
      <c r="H475" s="46" t="s">
        <v>2615</v>
      </c>
      <c r="I475" s="46" t="s">
        <v>2617</v>
      </c>
      <c r="J475" s="46" t="s">
        <v>2824</v>
      </c>
      <c r="K475" s="46" t="s">
        <v>3309</v>
      </c>
      <c r="L475" s="46">
        <v>18</v>
      </c>
    </row>
    <row r="476" spans="1:12" x14ac:dyDescent="0.3">
      <c r="A476" s="46" t="s">
        <v>485</v>
      </c>
      <c r="B476" s="46">
        <f>LEN(Table2[[#This Row],[Employee ID]])</f>
        <v>7</v>
      </c>
      <c r="C476" s="46" t="s">
        <v>1782</v>
      </c>
      <c r="D476" s="47">
        <v>29780</v>
      </c>
      <c r="E476" s="47">
        <v>30980</v>
      </c>
      <c r="F476" s="46" t="s">
        <v>2602</v>
      </c>
      <c r="G476" s="46">
        <v>106134</v>
      </c>
      <c r="H476" s="46" t="s">
        <v>2614</v>
      </c>
      <c r="I476" s="46" t="s">
        <v>2616</v>
      </c>
      <c r="J476" s="46" t="s">
        <v>2887</v>
      </c>
      <c r="K476" s="46" t="s">
        <v>3305</v>
      </c>
      <c r="L476" s="46">
        <v>41</v>
      </c>
    </row>
    <row r="477" spans="1:12" x14ac:dyDescent="0.3">
      <c r="A477" s="46" t="s">
        <v>486</v>
      </c>
      <c r="B477" s="46">
        <f>LEN(Table2[[#This Row],[Employee ID]])</f>
        <v>7</v>
      </c>
      <c r="C477" s="46" t="s">
        <v>1783</v>
      </c>
      <c r="D477" s="47">
        <v>26609</v>
      </c>
      <c r="E477" s="47">
        <v>39714</v>
      </c>
      <c r="F477" s="46" t="s">
        <v>2602</v>
      </c>
      <c r="G477" s="46">
        <v>41662</v>
      </c>
      <c r="H477" s="46" t="s">
        <v>2614</v>
      </c>
      <c r="I477" s="46" t="s">
        <v>2617</v>
      </c>
      <c r="J477" s="46" t="s">
        <v>2978</v>
      </c>
      <c r="K477" s="46" t="s">
        <v>3306</v>
      </c>
      <c r="L477" s="46">
        <v>17</v>
      </c>
    </row>
    <row r="478" spans="1:12" x14ac:dyDescent="0.3">
      <c r="A478" s="46" t="s">
        <v>487</v>
      </c>
      <c r="B478" s="46">
        <f>LEN(Table2[[#This Row],[Employee ID]])</f>
        <v>7</v>
      </c>
      <c r="C478" s="46" t="s">
        <v>1784</v>
      </c>
      <c r="D478" s="47">
        <v>25881</v>
      </c>
      <c r="E478" s="47">
        <v>35240</v>
      </c>
      <c r="F478" s="46" t="s">
        <v>2602</v>
      </c>
      <c r="G478" s="46">
        <v>83720</v>
      </c>
      <c r="H478" s="46" t="s">
        <v>2615</v>
      </c>
      <c r="I478" s="46" t="s">
        <v>2616</v>
      </c>
      <c r="J478" s="46" t="s">
        <v>2979</v>
      </c>
      <c r="K478" s="46" t="s">
        <v>3310</v>
      </c>
      <c r="L478" s="46">
        <v>29</v>
      </c>
    </row>
    <row r="479" spans="1:12" x14ac:dyDescent="0.3">
      <c r="A479" s="46" t="s">
        <v>488</v>
      </c>
      <c r="B479" s="46">
        <f>LEN(Table2[[#This Row],[Employee ID]])</f>
        <v>7</v>
      </c>
      <c r="C479" s="46" t="s">
        <v>1785</v>
      </c>
      <c r="D479" s="47">
        <v>26981</v>
      </c>
      <c r="E479" s="47">
        <v>40062</v>
      </c>
      <c r="F479" s="46" t="s">
        <v>2603</v>
      </c>
      <c r="G479" s="46">
        <v>47108</v>
      </c>
      <c r="H479" s="46" t="s">
        <v>2613</v>
      </c>
      <c r="I479" s="46" t="s">
        <v>2616</v>
      </c>
      <c r="J479" s="46" t="s">
        <v>2663</v>
      </c>
      <c r="K479" s="46" t="s">
        <v>3305</v>
      </c>
      <c r="L479" s="46">
        <v>16</v>
      </c>
    </row>
    <row r="480" spans="1:12" x14ac:dyDescent="0.3">
      <c r="A480" s="46" t="s">
        <v>489</v>
      </c>
      <c r="B480" s="46">
        <f>LEN(Table2[[#This Row],[Employee ID]])</f>
        <v>7</v>
      </c>
      <c r="C480" s="46" t="s">
        <v>1786</v>
      </c>
      <c r="D480" s="47">
        <v>37278</v>
      </c>
      <c r="E480" s="47">
        <v>39063</v>
      </c>
      <c r="F480" s="46" t="s">
        <v>2603</v>
      </c>
      <c r="G480" s="46">
        <v>185505</v>
      </c>
      <c r="H480" s="46" t="s">
        <v>2606</v>
      </c>
      <c r="I480" s="46" t="s">
        <v>2617</v>
      </c>
      <c r="J480" s="46" t="s">
        <v>2980</v>
      </c>
      <c r="K480" s="46" t="s">
        <v>3308</v>
      </c>
      <c r="L480" s="46">
        <v>19</v>
      </c>
    </row>
    <row r="481" spans="1:12" x14ac:dyDescent="0.3">
      <c r="A481" s="46" t="s">
        <v>490</v>
      </c>
      <c r="B481" s="46">
        <f>LEN(Table2[[#This Row],[Employee ID]])</f>
        <v>7</v>
      </c>
      <c r="C481" s="46" t="s">
        <v>1787</v>
      </c>
      <c r="D481" s="47">
        <v>23982</v>
      </c>
      <c r="E481" s="47">
        <v>37861</v>
      </c>
      <c r="F481" s="46" t="s">
        <v>2602</v>
      </c>
      <c r="G481" s="46">
        <v>58897</v>
      </c>
      <c r="H481" s="46" t="s">
        <v>2614</v>
      </c>
      <c r="I481" s="46" t="s">
        <v>2616</v>
      </c>
      <c r="J481" s="46" t="s">
        <v>2981</v>
      </c>
      <c r="K481" s="46" t="s">
        <v>3310</v>
      </c>
      <c r="L481" s="46">
        <v>22</v>
      </c>
    </row>
    <row r="482" spans="1:12" x14ac:dyDescent="0.3">
      <c r="A482" s="46" t="s">
        <v>491</v>
      </c>
      <c r="B482" s="46">
        <f>LEN(Table2[[#This Row],[Employee ID]])</f>
        <v>7</v>
      </c>
      <c r="C482" s="46" t="s">
        <v>1788</v>
      </c>
      <c r="D482" s="47">
        <v>26978</v>
      </c>
      <c r="E482" s="47">
        <v>36628</v>
      </c>
      <c r="F482" s="46" t="s">
        <v>2602</v>
      </c>
      <c r="G482" s="46">
        <v>153919</v>
      </c>
      <c r="H482" s="46" t="s">
        <v>2611</v>
      </c>
      <c r="I482" s="46" t="s">
        <v>2617</v>
      </c>
      <c r="J482" s="46" t="s">
        <v>2861</v>
      </c>
      <c r="K482" s="46" t="s">
        <v>3308</v>
      </c>
      <c r="L482" s="46">
        <v>25</v>
      </c>
    </row>
    <row r="483" spans="1:12" x14ac:dyDescent="0.3">
      <c r="A483" s="46" t="s">
        <v>492</v>
      </c>
      <c r="B483" s="46">
        <f>LEN(Table2[[#This Row],[Employee ID]])</f>
        <v>7</v>
      </c>
      <c r="C483" s="46" t="s">
        <v>1789</v>
      </c>
      <c r="D483" s="47">
        <v>25247</v>
      </c>
      <c r="E483" s="47">
        <v>38081</v>
      </c>
      <c r="F483" s="46" t="s">
        <v>2601</v>
      </c>
      <c r="G483" s="46">
        <v>181278</v>
      </c>
      <c r="H483" s="46" t="s">
        <v>2608</v>
      </c>
      <c r="I483" s="46" t="s">
        <v>2617</v>
      </c>
      <c r="J483" s="46" t="s">
        <v>2982</v>
      </c>
      <c r="K483" s="46" t="s">
        <v>3310</v>
      </c>
      <c r="L483" s="46">
        <v>21</v>
      </c>
    </row>
    <row r="484" spans="1:12" x14ac:dyDescent="0.3">
      <c r="A484" s="46" t="s">
        <v>493</v>
      </c>
      <c r="B484" s="46">
        <f>LEN(Table2[[#This Row],[Employee ID]])</f>
        <v>7</v>
      </c>
      <c r="C484" s="46" t="s">
        <v>1790</v>
      </c>
      <c r="D484" s="47">
        <v>22868</v>
      </c>
      <c r="E484" s="47">
        <v>40284</v>
      </c>
      <c r="F484" s="46" t="s">
        <v>2601</v>
      </c>
      <c r="G484" s="46">
        <v>112091</v>
      </c>
      <c r="H484" s="46" t="s">
        <v>2614</v>
      </c>
      <c r="I484" s="46" t="s">
        <v>2617</v>
      </c>
      <c r="J484" s="46" t="s">
        <v>2666</v>
      </c>
      <c r="K484" s="46" t="s">
        <v>3310</v>
      </c>
      <c r="L484" s="46">
        <v>15</v>
      </c>
    </row>
    <row r="485" spans="1:12" x14ac:dyDescent="0.3">
      <c r="A485" s="46" t="s">
        <v>494</v>
      </c>
      <c r="B485" s="46">
        <f>LEN(Table2[[#This Row],[Employee ID]])</f>
        <v>7</v>
      </c>
      <c r="C485" s="46" t="s">
        <v>1791</v>
      </c>
      <c r="D485" s="47">
        <v>24769</v>
      </c>
      <c r="E485" s="47">
        <v>44370</v>
      </c>
      <c r="F485" s="46" t="s">
        <v>2604</v>
      </c>
      <c r="G485" s="46">
        <v>166845</v>
      </c>
      <c r="H485" s="46" t="s">
        <v>2607</v>
      </c>
      <c r="I485" s="46" t="s">
        <v>2617</v>
      </c>
      <c r="J485" s="46" t="s">
        <v>2983</v>
      </c>
      <c r="K485" s="46" t="s">
        <v>3306</v>
      </c>
      <c r="L485" s="46">
        <v>4</v>
      </c>
    </row>
    <row r="486" spans="1:12" x14ac:dyDescent="0.3">
      <c r="A486" s="46" t="s">
        <v>495</v>
      </c>
      <c r="B486" s="46">
        <f>LEN(Table2[[#This Row],[Employee ID]])</f>
        <v>7</v>
      </c>
      <c r="C486" s="46" t="s">
        <v>1792</v>
      </c>
      <c r="D486" s="47">
        <v>36458</v>
      </c>
      <c r="E486" s="47">
        <v>32229</v>
      </c>
      <c r="F486" s="46" t="s">
        <v>2603</v>
      </c>
      <c r="G486" s="46">
        <v>78167</v>
      </c>
      <c r="H486" s="46" t="s">
        <v>2608</v>
      </c>
      <c r="I486" s="46" t="s">
        <v>2616</v>
      </c>
      <c r="J486" s="46" t="s">
        <v>2882</v>
      </c>
      <c r="K486" s="46" t="s">
        <v>3306</v>
      </c>
      <c r="L486" s="46">
        <v>37</v>
      </c>
    </row>
    <row r="487" spans="1:12" x14ac:dyDescent="0.3">
      <c r="A487" s="46" t="s">
        <v>496</v>
      </c>
      <c r="B487" s="46">
        <f>LEN(Table2[[#This Row],[Employee ID]])</f>
        <v>7</v>
      </c>
      <c r="C487" s="46" t="s">
        <v>1793</v>
      </c>
      <c r="D487" s="47">
        <v>26449</v>
      </c>
      <c r="E487" s="47">
        <v>35920</v>
      </c>
      <c r="F487" s="46" t="s">
        <v>2603</v>
      </c>
      <c r="G487" s="46">
        <v>35211</v>
      </c>
      <c r="H487" s="46" t="s">
        <v>2612</v>
      </c>
      <c r="I487" s="46" t="s">
        <v>2617</v>
      </c>
      <c r="J487" s="46" t="s">
        <v>2720</v>
      </c>
      <c r="K487" s="46" t="s">
        <v>3306</v>
      </c>
      <c r="L487" s="46">
        <v>27</v>
      </c>
    </row>
    <row r="488" spans="1:12" x14ac:dyDescent="0.3">
      <c r="A488" s="46" t="s">
        <v>497</v>
      </c>
      <c r="B488" s="46">
        <f>LEN(Table2[[#This Row],[Employee ID]])</f>
        <v>7</v>
      </c>
      <c r="C488" s="46" t="s">
        <v>1794</v>
      </c>
      <c r="D488" s="47">
        <v>35600</v>
      </c>
      <c r="E488" s="47">
        <v>25863</v>
      </c>
      <c r="F488" s="46" t="s">
        <v>2605</v>
      </c>
      <c r="G488" s="46">
        <v>51864</v>
      </c>
      <c r="H488" s="46" t="s">
        <v>2615</v>
      </c>
      <c r="I488" s="46" t="s">
        <v>2616</v>
      </c>
      <c r="J488" s="46" t="s">
        <v>2751</v>
      </c>
      <c r="K488" s="46" t="s">
        <v>3309</v>
      </c>
      <c r="L488" s="46">
        <v>55</v>
      </c>
    </row>
    <row r="489" spans="1:12" x14ac:dyDescent="0.3">
      <c r="A489" s="46" t="s">
        <v>498</v>
      </c>
      <c r="B489" s="46">
        <f>LEN(Table2[[#This Row],[Employee ID]])</f>
        <v>7</v>
      </c>
      <c r="C489" s="46" t="s">
        <v>1795</v>
      </c>
      <c r="D489" s="47">
        <v>37167</v>
      </c>
      <c r="E489" s="47">
        <v>42993</v>
      </c>
      <c r="F489" s="46" t="s">
        <v>2601</v>
      </c>
      <c r="G489" s="46">
        <v>84233</v>
      </c>
      <c r="H489" s="46" t="s">
        <v>2608</v>
      </c>
      <c r="I489" s="46" t="s">
        <v>2617</v>
      </c>
      <c r="J489" s="46" t="s">
        <v>2984</v>
      </c>
      <c r="K489" s="46" t="s">
        <v>3309</v>
      </c>
      <c r="L489" s="46">
        <v>8</v>
      </c>
    </row>
    <row r="490" spans="1:12" x14ac:dyDescent="0.3">
      <c r="A490" s="46" t="s">
        <v>499</v>
      </c>
      <c r="B490" s="46">
        <f>LEN(Table2[[#This Row],[Employee ID]])</f>
        <v>7</v>
      </c>
      <c r="C490" s="46" t="s">
        <v>1796</v>
      </c>
      <c r="D490" s="47">
        <v>36709</v>
      </c>
      <c r="E490" s="47">
        <v>40610</v>
      </c>
      <c r="F490" s="46" t="s">
        <v>2600</v>
      </c>
      <c r="G490" s="46">
        <v>42782</v>
      </c>
      <c r="H490" s="46" t="s">
        <v>2612</v>
      </c>
      <c r="I490" s="46" t="s">
        <v>2616</v>
      </c>
      <c r="J490" s="46" t="s">
        <v>2839</v>
      </c>
      <c r="K490" s="46" t="s">
        <v>3308</v>
      </c>
      <c r="L490" s="46">
        <v>14</v>
      </c>
    </row>
    <row r="491" spans="1:12" x14ac:dyDescent="0.3">
      <c r="A491" s="46" t="s">
        <v>500</v>
      </c>
      <c r="B491" s="46">
        <f>LEN(Table2[[#This Row],[Employee ID]])</f>
        <v>7</v>
      </c>
      <c r="C491" s="46" t="s">
        <v>1797</v>
      </c>
      <c r="D491" s="47">
        <v>30126</v>
      </c>
      <c r="E491" s="47">
        <v>28530</v>
      </c>
      <c r="F491" s="46" t="s">
        <v>2603</v>
      </c>
      <c r="G491" s="46">
        <v>181603</v>
      </c>
      <c r="H491" s="46" t="s">
        <v>2608</v>
      </c>
      <c r="I491" s="46" t="s">
        <v>2617</v>
      </c>
      <c r="J491" s="46" t="s">
        <v>2985</v>
      </c>
      <c r="K491" s="46" t="s">
        <v>3304</v>
      </c>
      <c r="L491" s="46">
        <v>47</v>
      </c>
    </row>
    <row r="492" spans="1:12" x14ac:dyDescent="0.3">
      <c r="A492" s="46" t="s">
        <v>501</v>
      </c>
      <c r="B492" s="46">
        <f>LEN(Table2[[#This Row],[Employee ID]])</f>
        <v>7</v>
      </c>
      <c r="C492" s="46" t="s">
        <v>1798</v>
      </c>
      <c r="D492" s="47">
        <v>29159</v>
      </c>
      <c r="E492" s="47">
        <v>31648</v>
      </c>
      <c r="F492" s="46" t="s">
        <v>2603</v>
      </c>
      <c r="G492" s="46">
        <v>166842</v>
      </c>
      <c r="H492" s="46" t="s">
        <v>2607</v>
      </c>
      <c r="I492" s="46" t="s">
        <v>2616</v>
      </c>
      <c r="J492" s="46" t="s">
        <v>2986</v>
      </c>
      <c r="K492" s="46" t="s">
        <v>3307</v>
      </c>
      <c r="L492" s="46">
        <v>39</v>
      </c>
    </row>
    <row r="493" spans="1:12" x14ac:dyDescent="0.3">
      <c r="A493" s="46" t="s">
        <v>502</v>
      </c>
      <c r="B493" s="46">
        <f>LEN(Table2[[#This Row],[Employee ID]])</f>
        <v>7</v>
      </c>
      <c r="C493" s="46" t="s">
        <v>1799</v>
      </c>
      <c r="D493" s="47">
        <v>31150</v>
      </c>
      <c r="E493" s="47">
        <v>43399</v>
      </c>
      <c r="F493" s="46" t="s">
        <v>2600</v>
      </c>
      <c r="G493" s="46">
        <v>152020</v>
      </c>
      <c r="H493" s="46" t="s">
        <v>2610</v>
      </c>
      <c r="I493" s="46" t="s">
        <v>2617</v>
      </c>
      <c r="J493" s="46" t="s">
        <v>2987</v>
      </c>
      <c r="K493" s="46" t="s">
        <v>3305</v>
      </c>
      <c r="L493" s="46">
        <v>7</v>
      </c>
    </row>
    <row r="494" spans="1:12" x14ac:dyDescent="0.3">
      <c r="A494" s="46" t="s">
        <v>503</v>
      </c>
      <c r="B494" s="46">
        <f>LEN(Table2[[#This Row],[Employee ID]])</f>
        <v>7</v>
      </c>
      <c r="C494" s="46" t="s">
        <v>1800</v>
      </c>
      <c r="D494" s="47">
        <v>31819</v>
      </c>
      <c r="E494" s="47">
        <v>30533</v>
      </c>
      <c r="F494" s="46" t="s">
        <v>2604</v>
      </c>
      <c r="G494" s="46">
        <v>197367</v>
      </c>
      <c r="H494" s="46" t="s">
        <v>2609</v>
      </c>
      <c r="I494" s="46" t="s">
        <v>2616</v>
      </c>
      <c r="J494" s="46" t="s">
        <v>2988</v>
      </c>
      <c r="K494" s="46" t="s">
        <v>3305</v>
      </c>
      <c r="L494" s="46">
        <v>42</v>
      </c>
    </row>
    <row r="495" spans="1:12" x14ac:dyDescent="0.3">
      <c r="A495" s="46" t="s">
        <v>504</v>
      </c>
      <c r="B495" s="46">
        <f>LEN(Table2[[#This Row],[Employee ID]])</f>
        <v>7</v>
      </c>
      <c r="C495" s="46" t="s">
        <v>1801</v>
      </c>
      <c r="D495" s="47">
        <v>27596</v>
      </c>
      <c r="E495" s="47">
        <v>33125</v>
      </c>
      <c r="F495" s="46" t="s">
        <v>2602</v>
      </c>
      <c r="G495" s="46">
        <v>133738</v>
      </c>
      <c r="H495" s="46" t="s">
        <v>2614</v>
      </c>
      <c r="I495" s="46" t="s">
        <v>2617</v>
      </c>
      <c r="J495" s="46" t="s">
        <v>2792</v>
      </c>
      <c r="K495" s="46" t="s">
        <v>3310</v>
      </c>
      <c r="L495" s="46">
        <v>35</v>
      </c>
    </row>
    <row r="496" spans="1:12" x14ac:dyDescent="0.3">
      <c r="A496" s="46" t="s">
        <v>505</v>
      </c>
      <c r="B496" s="46">
        <f>LEN(Table2[[#This Row],[Employee ID]])</f>
        <v>7</v>
      </c>
      <c r="C496" s="46" t="s">
        <v>1802</v>
      </c>
      <c r="D496" s="47">
        <v>23091</v>
      </c>
      <c r="E496" s="47">
        <v>43820</v>
      </c>
      <c r="F496" s="46" t="s">
        <v>2605</v>
      </c>
      <c r="G496" s="46">
        <v>94201</v>
      </c>
      <c r="H496" s="46" t="s">
        <v>2614</v>
      </c>
      <c r="I496" s="46" t="s">
        <v>2617</v>
      </c>
      <c r="J496" s="46" t="s">
        <v>2877</v>
      </c>
      <c r="K496" s="46" t="s">
        <v>3305</v>
      </c>
      <c r="L496" s="46">
        <v>6</v>
      </c>
    </row>
    <row r="497" spans="1:12" x14ac:dyDescent="0.3">
      <c r="A497" s="46" t="s">
        <v>506</v>
      </c>
      <c r="B497" s="46">
        <f>LEN(Table2[[#This Row],[Employee ID]])</f>
        <v>7</v>
      </c>
      <c r="C497" s="46" t="s">
        <v>1803</v>
      </c>
      <c r="D497" s="47">
        <v>27325</v>
      </c>
      <c r="E497" s="47">
        <v>35308</v>
      </c>
      <c r="F497" s="46" t="s">
        <v>2605</v>
      </c>
      <c r="G497" s="46">
        <v>160707</v>
      </c>
      <c r="H497" s="46" t="s">
        <v>2612</v>
      </c>
      <c r="I497" s="46" t="s">
        <v>2616</v>
      </c>
      <c r="J497" s="46" t="s">
        <v>2929</v>
      </c>
      <c r="K497" s="46" t="s">
        <v>3309</v>
      </c>
      <c r="L497" s="46">
        <v>29</v>
      </c>
    </row>
    <row r="498" spans="1:12" x14ac:dyDescent="0.3">
      <c r="A498" s="46" t="s">
        <v>507</v>
      </c>
      <c r="B498" s="46">
        <f>LEN(Table2[[#This Row],[Employee ID]])</f>
        <v>7</v>
      </c>
      <c r="C498" s="46" t="s">
        <v>1804</v>
      </c>
      <c r="D498" s="47">
        <v>34558</v>
      </c>
      <c r="E498" s="47">
        <v>36384</v>
      </c>
      <c r="F498" s="46" t="s">
        <v>2599</v>
      </c>
      <c r="G498" s="46">
        <v>120269</v>
      </c>
      <c r="H498" s="46" t="s">
        <v>2611</v>
      </c>
      <c r="I498" s="46" t="s">
        <v>2617</v>
      </c>
      <c r="J498" s="46" t="s">
        <v>2806</v>
      </c>
      <c r="K498" s="46" t="s">
        <v>3304</v>
      </c>
      <c r="L498" s="46">
        <v>26</v>
      </c>
    </row>
    <row r="499" spans="1:12" x14ac:dyDescent="0.3">
      <c r="A499" s="46" t="s">
        <v>508</v>
      </c>
      <c r="B499" s="46">
        <f>LEN(Table2[[#This Row],[Employee ID]])</f>
        <v>7</v>
      </c>
      <c r="C499" s="46" t="s">
        <v>1605</v>
      </c>
      <c r="D499" s="47">
        <v>25248</v>
      </c>
      <c r="E499" s="47">
        <v>28139</v>
      </c>
      <c r="F499" s="46" t="s">
        <v>2599</v>
      </c>
      <c r="G499" s="46">
        <v>59196</v>
      </c>
      <c r="H499" s="46" t="s">
        <v>2608</v>
      </c>
      <c r="I499" s="46" t="s">
        <v>2616</v>
      </c>
      <c r="J499" s="46" t="s">
        <v>2989</v>
      </c>
      <c r="K499" s="46" t="s">
        <v>3305</v>
      </c>
      <c r="L499" s="46">
        <v>48</v>
      </c>
    </row>
    <row r="500" spans="1:12" x14ac:dyDescent="0.3">
      <c r="A500" s="46" t="s">
        <v>509</v>
      </c>
      <c r="B500" s="46">
        <f>LEN(Table2[[#This Row],[Employee ID]])</f>
        <v>7</v>
      </c>
      <c r="C500" s="46" t="s">
        <v>1805</v>
      </c>
      <c r="D500" s="47">
        <v>24576</v>
      </c>
      <c r="E500" s="47">
        <v>25651</v>
      </c>
      <c r="F500" s="46" t="s">
        <v>2601</v>
      </c>
      <c r="G500" s="46">
        <v>70636</v>
      </c>
      <c r="H500" s="46" t="s">
        <v>2606</v>
      </c>
      <c r="I500" s="46" t="s">
        <v>2616</v>
      </c>
      <c r="J500" s="46" t="s">
        <v>2644</v>
      </c>
      <c r="K500" s="46" t="s">
        <v>3308</v>
      </c>
      <c r="L500" s="46">
        <v>55</v>
      </c>
    </row>
    <row r="501" spans="1:12" x14ac:dyDescent="0.3">
      <c r="A501" s="46" t="s">
        <v>510</v>
      </c>
      <c r="B501" s="46">
        <f>LEN(Table2[[#This Row],[Employee ID]])</f>
        <v>7</v>
      </c>
      <c r="C501" s="46" t="s">
        <v>1806</v>
      </c>
      <c r="D501" s="47">
        <v>22254</v>
      </c>
      <c r="E501" s="47">
        <v>43041</v>
      </c>
      <c r="F501" s="46" t="s">
        <v>2605</v>
      </c>
      <c r="G501" s="46">
        <v>58988</v>
      </c>
      <c r="H501" s="46" t="s">
        <v>2606</v>
      </c>
      <c r="I501" s="46" t="s">
        <v>2616</v>
      </c>
      <c r="J501" s="46" t="s">
        <v>2990</v>
      </c>
      <c r="K501" s="46" t="s">
        <v>3309</v>
      </c>
      <c r="L501" s="46">
        <v>8</v>
      </c>
    </row>
    <row r="502" spans="1:12" x14ac:dyDescent="0.3">
      <c r="A502" s="46" t="s">
        <v>511</v>
      </c>
      <c r="B502" s="46">
        <f>LEN(Table2[[#This Row],[Employee ID]])</f>
        <v>7</v>
      </c>
      <c r="C502" s="46" t="s">
        <v>1807</v>
      </c>
      <c r="D502" s="47">
        <v>23042</v>
      </c>
      <c r="E502" s="47">
        <v>30126</v>
      </c>
      <c r="F502" s="46" t="s">
        <v>2602</v>
      </c>
      <c r="G502" s="46">
        <v>80825</v>
      </c>
      <c r="H502" s="46" t="s">
        <v>2608</v>
      </c>
      <c r="I502" s="46" t="s">
        <v>2617</v>
      </c>
      <c r="J502" s="46" t="s">
        <v>2919</v>
      </c>
      <c r="K502" s="46" t="s">
        <v>3310</v>
      </c>
      <c r="L502" s="46">
        <v>43</v>
      </c>
    </row>
    <row r="503" spans="1:12" x14ac:dyDescent="0.3">
      <c r="A503" s="46" t="s">
        <v>512</v>
      </c>
      <c r="B503" s="46">
        <f>LEN(Table2[[#This Row],[Employee ID]])</f>
        <v>7</v>
      </c>
      <c r="C503" s="46" t="s">
        <v>1808</v>
      </c>
      <c r="D503" s="47">
        <v>31118</v>
      </c>
      <c r="E503" s="47">
        <v>37035</v>
      </c>
      <c r="F503" s="46" t="s">
        <v>2602</v>
      </c>
      <c r="G503" s="46">
        <v>21424</v>
      </c>
      <c r="H503" s="46" t="s">
        <v>2608</v>
      </c>
      <c r="I503" s="46" t="s">
        <v>2617</v>
      </c>
      <c r="J503" s="46" t="s">
        <v>2738</v>
      </c>
      <c r="K503" s="46" t="s">
        <v>3308</v>
      </c>
      <c r="L503" s="46">
        <v>24</v>
      </c>
    </row>
    <row r="504" spans="1:12" x14ac:dyDescent="0.3">
      <c r="A504" s="46" t="s">
        <v>513</v>
      </c>
      <c r="B504" s="46">
        <f>LEN(Table2[[#This Row],[Employee ID]])</f>
        <v>7</v>
      </c>
      <c r="C504" s="46" t="s">
        <v>1809</v>
      </c>
      <c r="D504" s="47">
        <v>24642</v>
      </c>
      <c r="E504" s="47">
        <v>26229</v>
      </c>
      <c r="F504" s="46" t="s">
        <v>2605</v>
      </c>
      <c r="G504" s="46">
        <v>138814</v>
      </c>
      <c r="H504" s="46" t="s">
        <v>2606</v>
      </c>
      <c r="I504" s="46" t="s">
        <v>2617</v>
      </c>
      <c r="J504" s="46" t="s">
        <v>2991</v>
      </c>
      <c r="K504" s="46" t="s">
        <v>3309</v>
      </c>
      <c r="L504" s="46">
        <v>54</v>
      </c>
    </row>
    <row r="505" spans="1:12" x14ac:dyDescent="0.3">
      <c r="A505" s="46" t="s">
        <v>514</v>
      </c>
      <c r="B505" s="46">
        <f>LEN(Table2[[#This Row],[Employee ID]])</f>
        <v>7</v>
      </c>
      <c r="C505" s="46" t="s">
        <v>1810</v>
      </c>
      <c r="D505" s="47">
        <v>31106</v>
      </c>
      <c r="E505" s="47">
        <v>44768</v>
      </c>
      <c r="F505" s="46" t="s">
        <v>2602</v>
      </c>
      <c r="G505" s="46">
        <v>68401</v>
      </c>
      <c r="H505" s="46" t="s">
        <v>2615</v>
      </c>
      <c r="I505" s="46" t="s">
        <v>2617</v>
      </c>
      <c r="J505" s="46" t="s">
        <v>2659</v>
      </c>
      <c r="K505" s="46" t="s">
        <v>3307</v>
      </c>
      <c r="L505" s="46">
        <v>3</v>
      </c>
    </row>
    <row r="506" spans="1:12" x14ac:dyDescent="0.3">
      <c r="A506" s="46" t="s">
        <v>515</v>
      </c>
      <c r="B506" s="46">
        <f>LEN(Table2[[#This Row],[Employee ID]])</f>
        <v>7</v>
      </c>
      <c r="C506" s="46" t="s">
        <v>1811</v>
      </c>
      <c r="D506" s="47">
        <v>25660</v>
      </c>
      <c r="E506" s="47">
        <v>32720</v>
      </c>
      <c r="F506" s="46" t="s">
        <v>2600</v>
      </c>
      <c r="G506" s="46">
        <v>121473</v>
      </c>
      <c r="H506" s="46" t="s">
        <v>2606</v>
      </c>
      <c r="I506" s="46" t="s">
        <v>2616</v>
      </c>
      <c r="J506" s="46" t="s">
        <v>2992</v>
      </c>
      <c r="K506" s="46" t="s">
        <v>3307</v>
      </c>
      <c r="L506" s="46">
        <v>36</v>
      </c>
    </row>
    <row r="507" spans="1:12" x14ac:dyDescent="0.3">
      <c r="A507" s="46" t="s">
        <v>516</v>
      </c>
      <c r="B507" s="46">
        <f>LEN(Table2[[#This Row],[Employee ID]])</f>
        <v>7</v>
      </c>
      <c r="C507" s="46" t="s">
        <v>1812</v>
      </c>
      <c r="D507" s="47">
        <v>22785</v>
      </c>
      <c r="E507" s="47">
        <v>29478</v>
      </c>
      <c r="F507" s="46" t="s">
        <v>2602</v>
      </c>
      <c r="G507" s="46">
        <v>97478</v>
      </c>
      <c r="H507" s="46" t="s">
        <v>2606</v>
      </c>
      <c r="I507" s="46" t="s">
        <v>2617</v>
      </c>
      <c r="J507" s="46" t="s">
        <v>2993</v>
      </c>
      <c r="K507" s="46" t="s">
        <v>3306</v>
      </c>
      <c r="L507" s="46">
        <v>45</v>
      </c>
    </row>
    <row r="508" spans="1:12" x14ac:dyDescent="0.3">
      <c r="A508" s="46" t="s">
        <v>517</v>
      </c>
      <c r="B508" s="46">
        <f>LEN(Table2[[#This Row],[Employee ID]])</f>
        <v>7</v>
      </c>
      <c r="C508" s="46" t="s">
        <v>1813</v>
      </c>
      <c r="D508" s="47">
        <v>35990</v>
      </c>
      <c r="E508" s="47">
        <v>31341</v>
      </c>
      <c r="F508" s="46" t="s">
        <v>2600</v>
      </c>
      <c r="G508" s="46">
        <v>99418</v>
      </c>
      <c r="H508" s="46" t="s">
        <v>2606</v>
      </c>
      <c r="I508" s="46" t="s">
        <v>2617</v>
      </c>
      <c r="J508" s="46" t="s">
        <v>2624</v>
      </c>
      <c r="K508" s="46" t="s">
        <v>3305</v>
      </c>
      <c r="L508" s="46">
        <v>40</v>
      </c>
    </row>
    <row r="509" spans="1:12" x14ac:dyDescent="0.3">
      <c r="A509" s="46" t="s">
        <v>518</v>
      </c>
      <c r="B509" s="46">
        <f>LEN(Table2[[#This Row],[Employee ID]])</f>
        <v>7</v>
      </c>
      <c r="C509" s="46" t="s">
        <v>1814</v>
      </c>
      <c r="D509" s="47">
        <v>26525</v>
      </c>
      <c r="E509" s="47">
        <v>40282</v>
      </c>
      <c r="F509" s="46" t="s">
        <v>2600</v>
      </c>
      <c r="G509" s="46">
        <v>133038</v>
      </c>
      <c r="H509" s="46" t="s">
        <v>2612</v>
      </c>
      <c r="I509" s="46" t="s">
        <v>2617</v>
      </c>
      <c r="J509" s="46" t="s">
        <v>2778</v>
      </c>
      <c r="K509" s="46" t="s">
        <v>3304</v>
      </c>
      <c r="L509" s="46">
        <v>15</v>
      </c>
    </row>
    <row r="510" spans="1:12" x14ac:dyDescent="0.3">
      <c r="A510" s="46" t="s">
        <v>519</v>
      </c>
      <c r="B510" s="46">
        <f>LEN(Table2[[#This Row],[Employee ID]])</f>
        <v>7</v>
      </c>
      <c r="C510" s="46" t="s">
        <v>1815</v>
      </c>
      <c r="D510" s="47">
        <v>26066</v>
      </c>
      <c r="E510" s="47">
        <v>41919</v>
      </c>
      <c r="F510" s="46" t="s">
        <v>2602</v>
      </c>
      <c r="G510" s="46">
        <v>121025</v>
      </c>
      <c r="H510" s="46" t="s">
        <v>2613</v>
      </c>
      <c r="I510" s="46" t="s">
        <v>2616</v>
      </c>
      <c r="J510" s="46" t="s">
        <v>2701</v>
      </c>
      <c r="K510" s="46" t="s">
        <v>3310</v>
      </c>
      <c r="L510" s="46">
        <v>11</v>
      </c>
    </row>
    <row r="511" spans="1:12" x14ac:dyDescent="0.3">
      <c r="A511" s="46" t="s">
        <v>520</v>
      </c>
      <c r="B511" s="46">
        <f>LEN(Table2[[#This Row],[Employee ID]])</f>
        <v>7</v>
      </c>
      <c r="C511" s="46" t="s">
        <v>1816</v>
      </c>
      <c r="D511" s="47">
        <v>26219</v>
      </c>
      <c r="E511" s="47">
        <v>36519</v>
      </c>
      <c r="F511" s="46" t="s">
        <v>2600</v>
      </c>
      <c r="G511" s="46">
        <v>142413</v>
      </c>
      <c r="H511" s="46" t="s">
        <v>2612</v>
      </c>
      <c r="I511" s="46" t="s">
        <v>2617</v>
      </c>
      <c r="J511" s="46" t="s">
        <v>2823</v>
      </c>
      <c r="K511" s="46" t="s">
        <v>3307</v>
      </c>
      <c r="L511" s="46">
        <v>26</v>
      </c>
    </row>
    <row r="512" spans="1:12" x14ac:dyDescent="0.3">
      <c r="A512" s="46" t="s">
        <v>521</v>
      </c>
      <c r="B512" s="46">
        <f>LEN(Table2[[#This Row],[Employee ID]])</f>
        <v>7</v>
      </c>
      <c r="C512" s="46" t="s">
        <v>1817</v>
      </c>
      <c r="D512" s="47">
        <v>26126</v>
      </c>
      <c r="E512" s="47">
        <v>27492</v>
      </c>
      <c r="F512" s="46" t="s">
        <v>2603</v>
      </c>
      <c r="G512" s="46">
        <v>69025</v>
      </c>
      <c r="H512" s="46" t="s">
        <v>2612</v>
      </c>
      <c r="I512" s="46" t="s">
        <v>2617</v>
      </c>
      <c r="J512" s="46" t="s">
        <v>2625</v>
      </c>
      <c r="K512" s="46" t="s">
        <v>3309</v>
      </c>
      <c r="L512" s="46">
        <v>50</v>
      </c>
    </row>
    <row r="513" spans="1:12" x14ac:dyDescent="0.3">
      <c r="A513" s="46" t="s">
        <v>522</v>
      </c>
      <c r="B513" s="46">
        <f>LEN(Table2[[#This Row],[Employee ID]])</f>
        <v>7</v>
      </c>
      <c r="C513" s="46" t="s">
        <v>1818</v>
      </c>
      <c r="D513" s="47">
        <v>24705</v>
      </c>
      <c r="E513" s="47">
        <v>35798</v>
      </c>
      <c r="F513" s="46" t="s">
        <v>2602</v>
      </c>
      <c r="G513" s="46">
        <v>126559</v>
      </c>
      <c r="H513" s="46" t="s">
        <v>2608</v>
      </c>
      <c r="I513" s="46" t="s">
        <v>2617</v>
      </c>
      <c r="J513" s="46" t="s">
        <v>2994</v>
      </c>
      <c r="K513" s="46" t="s">
        <v>3306</v>
      </c>
      <c r="L513" s="46">
        <v>27</v>
      </c>
    </row>
    <row r="514" spans="1:12" x14ac:dyDescent="0.3">
      <c r="A514" s="46" t="s">
        <v>523</v>
      </c>
      <c r="B514" s="46">
        <f>LEN(Table2[[#This Row],[Employee ID]])</f>
        <v>7</v>
      </c>
      <c r="C514" s="46" t="s">
        <v>1819</v>
      </c>
      <c r="D514" s="47">
        <v>24571</v>
      </c>
      <c r="E514" s="47">
        <v>26236</v>
      </c>
      <c r="F514" s="46" t="s">
        <v>2605</v>
      </c>
      <c r="G514" s="46">
        <v>161322</v>
      </c>
      <c r="H514" s="46" t="s">
        <v>2607</v>
      </c>
      <c r="I514" s="46" t="s">
        <v>2617</v>
      </c>
      <c r="J514" s="46" t="s">
        <v>2982</v>
      </c>
      <c r="K514" s="46" t="s">
        <v>3310</v>
      </c>
      <c r="L514" s="46">
        <v>54</v>
      </c>
    </row>
    <row r="515" spans="1:12" x14ac:dyDescent="0.3">
      <c r="A515" s="46" t="s">
        <v>524</v>
      </c>
      <c r="B515" s="46">
        <f>LEN(Table2[[#This Row],[Employee ID]])</f>
        <v>7</v>
      </c>
      <c r="C515" s="46" t="s">
        <v>1820</v>
      </c>
      <c r="D515" s="47">
        <v>26196</v>
      </c>
      <c r="E515" s="47">
        <v>28191</v>
      </c>
      <c r="F515" s="46" t="s">
        <v>2601</v>
      </c>
      <c r="G515" s="46">
        <v>90061</v>
      </c>
      <c r="H515" s="46" t="s">
        <v>2613</v>
      </c>
      <c r="I515" s="46" t="s">
        <v>2616</v>
      </c>
      <c r="J515" s="46" t="s">
        <v>2759</v>
      </c>
      <c r="K515" s="46" t="s">
        <v>3305</v>
      </c>
      <c r="L515" s="46">
        <v>48</v>
      </c>
    </row>
    <row r="516" spans="1:12" x14ac:dyDescent="0.3">
      <c r="A516" s="46" t="s">
        <v>525</v>
      </c>
      <c r="B516" s="46">
        <f>LEN(Table2[[#This Row],[Employee ID]])</f>
        <v>7</v>
      </c>
      <c r="C516" s="46" t="s">
        <v>1821</v>
      </c>
      <c r="D516" s="47">
        <v>33884</v>
      </c>
      <c r="E516" s="47">
        <v>41713</v>
      </c>
      <c r="F516" s="46" t="s">
        <v>2600</v>
      </c>
      <c r="G516" s="46">
        <v>195441</v>
      </c>
      <c r="H516" s="46" t="s">
        <v>2613</v>
      </c>
      <c r="I516" s="46" t="s">
        <v>2617</v>
      </c>
      <c r="J516" s="46" t="s">
        <v>2995</v>
      </c>
      <c r="K516" s="46" t="s">
        <v>3308</v>
      </c>
      <c r="L516" s="46">
        <v>11</v>
      </c>
    </row>
    <row r="517" spans="1:12" x14ac:dyDescent="0.3">
      <c r="A517" s="46" t="s">
        <v>526</v>
      </c>
      <c r="B517" s="46">
        <f>LEN(Table2[[#This Row],[Employee ID]])</f>
        <v>7</v>
      </c>
      <c r="C517" s="46" t="s">
        <v>1822</v>
      </c>
      <c r="D517" s="47">
        <v>28291</v>
      </c>
      <c r="E517" s="47">
        <v>42982</v>
      </c>
      <c r="F517" s="46" t="s">
        <v>2605</v>
      </c>
      <c r="G517" s="46">
        <v>172913</v>
      </c>
      <c r="H517" s="46" t="s">
        <v>2613</v>
      </c>
      <c r="I517" s="46" t="s">
        <v>2617</v>
      </c>
      <c r="J517" s="46" t="s">
        <v>2996</v>
      </c>
      <c r="K517" s="46" t="s">
        <v>3306</v>
      </c>
      <c r="L517" s="46">
        <v>8</v>
      </c>
    </row>
    <row r="518" spans="1:12" x14ac:dyDescent="0.3">
      <c r="A518" s="46" t="s">
        <v>527</v>
      </c>
      <c r="B518" s="46">
        <f>LEN(Table2[[#This Row],[Employee ID]])</f>
        <v>7</v>
      </c>
      <c r="C518" s="46" t="s">
        <v>1823</v>
      </c>
      <c r="D518" s="47">
        <v>21886</v>
      </c>
      <c r="E518" s="47">
        <v>38066</v>
      </c>
      <c r="F518" s="46" t="s">
        <v>2601</v>
      </c>
      <c r="G518" s="46">
        <v>123103</v>
      </c>
      <c r="H518" s="46" t="s">
        <v>2610</v>
      </c>
      <c r="I518" s="46" t="s">
        <v>2617</v>
      </c>
      <c r="J518" s="46" t="s">
        <v>2997</v>
      </c>
      <c r="K518" s="46" t="s">
        <v>3309</v>
      </c>
      <c r="L518" s="46">
        <v>21</v>
      </c>
    </row>
    <row r="519" spans="1:12" x14ac:dyDescent="0.3">
      <c r="A519" s="46" t="s">
        <v>528</v>
      </c>
      <c r="B519" s="46">
        <f>LEN(Table2[[#This Row],[Employee ID]])</f>
        <v>7</v>
      </c>
      <c r="C519" s="46" t="s">
        <v>1824</v>
      </c>
      <c r="D519" s="47">
        <v>30108</v>
      </c>
      <c r="E519" s="47">
        <v>31026</v>
      </c>
      <c r="F519" s="46" t="s">
        <v>2600</v>
      </c>
      <c r="G519" s="46">
        <v>47910</v>
      </c>
      <c r="H519" s="46" t="s">
        <v>2608</v>
      </c>
      <c r="I519" s="46" t="s">
        <v>2617</v>
      </c>
      <c r="J519" s="46" t="s">
        <v>2756</v>
      </c>
      <c r="K519" s="46" t="s">
        <v>3304</v>
      </c>
      <c r="L519" s="46">
        <v>41</v>
      </c>
    </row>
    <row r="520" spans="1:12" x14ac:dyDescent="0.3">
      <c r="A520" s="46" t="s">
        <v>529</v>
      </c>
      <c r="B520" s="46">
        <f>LEN(Table2[[#This Row],[Employee ID]])</f>
        <v>7</v>
      </c>
      <c r="C520" s="46" t="s">
        <v>1825</v>
      </c>
      <c r="D520" s="47">
        <v>37050</v>
      </c>
      <c r="E520" s="47">
        <v>33861</v>
      </c>
      <c r="F520" s="46" t="s">
        <v>2604</v>
      </c>
      <c r="G520" s="46">
        <v>31410</v>
      </c>
      <c r="H520" s="46" t="s">
        <v>2611</v>
      </c>
      <c r="I520" s="46" t="s">
        <v>2617</v>
      </c>
      <c r="J520" s="46" t="s">
        <v>2775</v>
      </c>
      <c r="K520" s="46" t="s">
        <v>3310</v>
      </c>
      <c r="L520" s="46">
        <v>33</v>
      </c>
    </row>
    <row r="521" spans="1:12" x14ac:dyDescent="0.3">
      <c r="A521" s="46" t="s">
        <v>530</v>
      </c>
      <c r="B521" s="46">
        <f>LEN(Table2[[#This Row],[Employee ID]])</f>
        <v>7</v>
      </c>
      <c r="C521" s="46" t="s">
        <v>1826</v>
      </c>
      <c r="D521" s="47">
        <v>22303</v>
      </c>
      <c r="E521" s="47">
        <v>44079</v>
      </c>
      <c r="F521" s="46" t="s">
        <v>2605</v>
      </c>
      <c r="G521" s="46">
        <v>51444</v>
      </c>
      <c r="H521" s="46" t="s">
        <v>2607</v>
      </c>
      <c r="I521" s="46" t="s">
        <v>2617</v>
      </c>
      <c r="J521" s="46" t="s">
        <v>2998</v>
      </c>
      <c r="K521" s="46" t="s">
        <v>3308</v>
      </c>
      <c r="L521" s="46">
        <v>5</v>
      </c>
    </row>
    <row r="522" spans="1:12" x14ac:dyDescent="0.3">
      <c r="A522" s="46" t="s">
        <v>531</v>
      </c>
      <c r="B522" s="46">
        <f>LEN(Table2[[#This Row],[Employee ID]])</f>
        <v>7</v>
      </c>
      <c r="C522" s="46" t="s">
        <v>1827</v>
      </c>
      <c r="D522" s="47">
        <v>32142</v>
      </c>
      <c r="E522" s="47">
        <v>26972</v>
      </c>
      <c r="F522" s="46" t="s">
        <v>2601</v>
      </c>
      <c r="G522" s="46">
        <v>69762</v>
      </c>
      <c r="H522" s="46" t="s">
        <v>2613</v>
      </c>
      <c r="I522" s="46" t="s">
        <v>2616</v>
      </c>
      <c r="J522" s="46" t="s">
        <v>2999</v>
      </c>
      <c r="K522" s="46" t="s">
        <v>3310</v>
      </c>
      <c r="L522" s="46">
        <v>52</v>
      </c>
    </row>
    <row r="523" spans="1:12" x14ac:dyDescent="0.3">
      <c r="A523" s="46" t="s">
        <v>532</v>
      </c>
      <c r="B523" s="46">
        <f>LEN(Table2[[#This Row],[Employee ID]])</f>
        <v>7</v>
      </c>
      <c r="C523" s="46" t="s">
        <v>1828</v>
      </c>
      <c r="D523" s="47">
        <v>23567</v>
      </c>
      <c r="E523" s="47">
        <v>30513</v>
      </c>
      <c r="F523" s="46" t="s">
        <v>2603</v>
      </c>
      <c r="G523" s="46">
        <v>39165</v>
      </c>
      <c r="H523" s="46" t="s">
        <v>2610</v>
      </c>
      <c r="I523" s="46" t="s">
        <v>2616</v>
      </c>
      <c r="J523" s="46" t="s">
        <v>3000</v>
      </c>
      <c r="K523" s="46" t="s">
        <v>3305</v>
      </c>
      <c r="L523" s="46">
        <v>42</v>
      </c>
    </row>
    <row r="524" spans="1:12" x14ac:dyDescent="0.3">
      <c r="A524" s="46" t="s">
        <v>533</v>
      </c>
      <c r="B524" s="46">
        <f>LEN(Table2[[#This Row],[Employee ID]])</f>
        <v>7</v>
      </c>
      <c r="C524" s="46" t="s">
        <v>1829</v>
      </c>
      <c r="D524" s="47">
        <v>36849</v>
      </c>
      <c r="E524" s="47">
        <v>38092</v>
      </c>
      <c r="F524" s="46" t="s">
        <v>2605</v>
      </c>
      <c r="G524" s="46">
        <v>64519</v>
      </c>
      <c r="H524" s="46" t="s">
        <v>2607</v>
      </c>
      <c r="I524" s="46" t="s">
        <v>2616</v>
      </c>
      <c r="J524" s="46" t="s">
        <v>2880</v>
      </c>
      <c r="K524" s="46" t="s">
        <v>3310</v>
      </c>
      <c r="L524" s="46">
        <v>21</v>
      </c>
    </row>
    <row r="525" spans="1:12" x14ac:dyDescent="0.3">
      <c r="A525" s="46" t="s">
        <v>534</v>
      </c>
      <c r="B525" s="46">
        <f>LEN(Table2[[#This Row],[Employee ID]])</f>
        <v>7</v>
      </c>
      <c r="C525" s="46" t="s">
        <v>1830</v>
      </c>
      <c r="D525" s="47">
        <v>29337</v>
      </c>
      <c r="E525" s="47">
        <v>28892</v>
      </c>
      <c r="F525" s="46" t="s">
        <v>2602</v>
      </c>
      <c r="G525" s="46">
        <v>92035</v>
      </c>
      <c r="H525" s="46" t="s">
        <v>2609</v>
      </c>
      <c r="I525" s="46" t="s">
        <v>2617</v>
      </c>
      <c r="J525" s="46" t="s">
        <v>3001</v>
      </c>
      <c r="K525" s="46" t="s">
        <v>3310</v>
      </c>
      <c r="L525" s="46">
        <v>46</v>
      </c>
    </row>
    <row r="526" spans="1:12" x14ac:dyDescent="0.3">
      <c r="A526" s="46" t="s">
        <v>535</v>
      </c>
      <c r="B526" s="46">
        <f>LEN(Table2[[#This Row],[Employee ID]])</f>
        <v>7</v>
      </c>
      <c r="C526" s="46" t="s">
        <v>1831</v>
      </c>
      <c r="D526" s="47">
        <v>31220</v>
      </c>
      <c r="E526" s="47">
        <v>31573</v>
      </c>
      <c r="F526" s="46" t="s">
        <v>2603</v>
      </c>
      <c r="G526" s="46">
        <v>136854</v>
      </c>
      <c r="H526" s="46" t="s">
        <v>2607</v>
      </c>
      <c r="I526" s="46" t="s">
        <v>2617</v>
      </c>
      <c r="J526" s="46" t="s">
        <v>2920</v>
      </c>
      <c r="K526" s="46" t="s">
        <v>3306</v>
      </c>
      <c r="L526" s="46">
        <v>39</v>
      </c>
    </row>
    <row r="527" spans="1:12" x14ac:dyDescent="0.3">
      <c r="A527" s="46" t="s">
        <v>536</v>
      </c>
      <c r="B527" s="46">
        <f>LEN(Table2[[#This Row],[Employee ID]])</f>
        <v>7</v>
      </c>
      <c r="C527" s="46" t="s">
        <v>1832</v>
      </c>
      <c r="D527" s="47">
        <v>22775</v>
      </c>
      <c r="E527" s="47">
        <v>38099</v>
      </c>
      <c r="F527" s="46" t="s">
        <v>2600</v>
      </c>
      <c r="G527" s="46">
        <v>86153</v>
      </c>
      <c r="H527" s="46" t="s">
        <v>2615</v>
      </c>
      <c r="I527" s="46" t="s">
        <v>2616</v>
      </c>
      <c r="J527" s="46" t="s">
        <v>2651</v>
      </c>
      <c r="K527" s="46" t="s">
        <v>3305</v>
      </c>
      <c r="L527" s="46">
        <v>21</v>
      </c>
    </row>
    <row r="528" spans="1:12" x14ac:dyDescent="0.3">
      <c r="A528" s="46" t="s">
        <v>537</v>
      </c>
      <c r="B528" s="46">
        <f>LEN(Table2[[#This Row],[Employee ID]])</f>
        <v>7</v>
      </c>
      <c r="C528" s="46" t="s">
        <v>1833</v>
      </c>
      <c r="D528" s="47">
        <v>34431</v>
      </c>
      <c r="E528" s="47">
        <v>37887</v>
      </c>
      <c r="F528" s="46" t="s">
        <v>2600</v>
      </c>
      <c r="G528" s="46">
        <v>23289</v>
      </c>
      <c r="H528" s="46" t="s">
        <v>2611</v>
      </c>
      <c r="I528" s="46" t="s">
        <v>2616</v>
      </c>
      <c r="J528" s="46" t="s">
        <v>3002</v>
      </c>
      <c r="K528" s="46" t="s">
        <v>3305</v>
      </c>
      <c r="L528" s="46">
        <v>22</v>
      </c>
    </row>
    <row r="529" spans="1:12" x14ac:dyDescent="0.3">
      <c r="A529" s="46" t="s">
        <v>538</v>
      </c>
      <c r="B529" s="46">
        <f>LEN(Table2[[#This Row],[Employee ID]])</f>
        <v>7</v>
      </c>
      <c r="C529" s="46" t="s">
        <v>1834</v>
      </c>
      <c r="D529" s="47">
        <v>23639</v>
      </c>
      <c r="E529" s="47">
        <v>40379</v>
      </c>
      <c r="F529" s="46" t="s">
        <v>2599</v>
      </c>
      <c r="G529" s="46">
        <v>157099</v>
      </c>
      <c r="H529" s="46" t="s">
        <v>2615</v>
      </c>
      <c r="I529" s="46" t="s">
        <v>2617</v>
      </c>
      <c r="J529" s="46" t="s">
        <v>2640</v>
      </c>
      <c r="K529" s="46" t="s">
        <v>3306</v>
      </c>
      <c r="L529" s="46">
        <v>15</v>
      </c>
    </row>
    <row r="530" spans="1:12" x14ac:dyDescent="0.3">
      <c r="A530" s="46" t="s">
        <v>539</v>
      </c>
      <c r="B530" s="46">
        <f>LEN(Table2[[#This Row],[Employee ID]])</f>
        <v>7</v>
      </c>
      <c r="C530" s="46" t="s">
        <v>1835</v>
      </c>
      <c r="D530" s="47">
        <v>32177</v>
      </c>
      <c r="E530" s="47">
        <v>37297</v>
      </c>
      <c r="F530" s="46" t="s">
        <v>2604</v>
      </c>
      <c r="G530" s="46">
        <v>35448</v>
      </c>
      <c r="H530" s="46" t="s">
        <v>2614</v>
      </c>
      <c r="I530" s="46" t="s">
        <v>2616</v>
      </c>
      <c r="J530" s="46" t="s">
        <v>3003</v>
      </c>
      <c r="K530" s="46" t="s">
        <v>3309</v>
      </c>
      <c r="L530" s="46">
        <v>23</v>
      </c>
    </row>
    <row r="531" spans="1:12" x14ac:dyDescent="0.3">
      <c r="A531" s="46" t="s">
        <v>540</v>
      </c>
      <c r="B531" s="46">
        <f>LEN(Table2[[#This Row],[Employee ID]])</f>
        <v>7</v>
      </c>
      <c r="C531" s="46" t="s">
        <v>1836</v>
      </c>
      <c r="D531" s="47">
        <v>29006</v>
      </c>
      <c r="E531" s="47">
        <v>31539</v>
      </c>
      <c r="F531" s="46" t="s">
        <v>2600</v>
      </c>
      <c r="G531" s="46">
        <v>88976</v>
      </c>
      <c r="H531" s="46" t="s">
        <v>2614</v>
      </c>
      <c r="I531" s="46" t="s">
        <v>2616</v>
      </c>
      <c r="J531" s="46" t="s">
        <v>3004</v>
      </c>
      <c r="K531" s="46" t="s">
        <v>3305</v>
      </c>
      <c r="L531" s="46">
        <v>39</v>
      </c>
    </row>
    <row r="532" spans="1:12" x14ac:dyDescent="0.3">
      <c r="A532" s="46" t="s">
        <v>541</v>
      </c>
      <c r="B532" s="46">
        <f>LEN(Table2[[#This Row],[Employee ID]])</f>
        <v>7</v>
      </c>
      <c r="C532" s="46" t="s">
        <v>1837</v>
      </c>
      <c r="D532" s="47">
        <v>37028</v>
      </c>
      <c r="E532" s="47">
        <v>29071</v>
      </c>
      <c r="F532" s="46" t="s">
        <v>2605</v>
      </c>
      <c r="G532" s="46">
        <v>185197</v>
      </c>
      <c r="H532" s="46" t="s">
        <v>2610</v>
      </c>
      <c r="I532" s="46" t="s">
        <v>2616</v>
      </c>
      <c r="J532" s="46" t="s">
        <v>2796</v>
      </c>
      <c r="K532" s="46" t="s">
        <v>3308</v>
      </c>
      <c r="L532" s="46">
        <v>46</v>
      </c>
    </row>
    <row r="533" spans="1:12" x14ac:dyDescent="0.3">
      <c r="A533" s="46" t="s">
        <v>542</v>
      </c>
      <c r="B533" s="46">
        <f>LEN(Table2[[#This Row],[Employee ID]])</f>
        <v>7</v>
      </c>
      <c r="C533" s="46" t="s">
        <v>1838</v>
      </c>
      <c r="D533" s="47">
        <v>33806</v>
      </c>
      <c r="E533" s="47">
        <v>35351</v>
      </c>
      <c r="F533" s="46" t="s">
        <v>2605</v>
      </c>
      <c r="G533" s="46">
        <v>138582</v>
      </c>
      <c r="H533" s="46" t="s">
        <v>2612</v>
      </c>
      <c r="I533" s="46" t="s">
        <v>2616</v>
      </c>
      <c r="J533" s="46" t="s">
        <v>2807</v>
      </c>
      <c r="K533" s="46" t="s">
        <v>3306</v>
      </c>
      <c r="L533" s="46">
        <v>29</v>
      </c>
    </row>
    <row r="534" spans="1:12" x14ac:dyDescent="0.3">
      <c r="A534" s="46" t="s">
        <v>543</v>
      </c>
      <c r="B534" s="46">
        <f>LEN(Table2[[#This Row],[Employee ID]])</f>
        <v>7</v>
      </c>
      <c r="C534" s="46" t="s">
        <v>1839</v>
      </c>
      <c r="D534" s="47">
        <v>32783</v>
      </c>
      <c r="E534" s="47">
        <v>34284</v>
      </c>
      <c r="F534" s="46" t="s">
        <v>2599</v>
      </c>
      <c r="G534" s="46">
        <v>119881</v>
      </c>
      <c r="H534" s="46" t="s">
        <v>2610</v>
      </c>
      <c r="I534" s="46" t="s">
        <v>2616</v>
      </c>
      <c r="J534" s="46" t="s">
        <v>3005</v>
      </c>
      <c r="K534" s="46" t="s">
        <v>3309</v>
      </c>
      <c r="L534" s="46">
        <v>32</v>
      </c>
    </row>
    <row r="535" spans="1:12" x14ac:dyDescent="0.3">
      <c r="A535" s="46" t="s">
        <v>544</v>
      </c>
      <c r="B535" s="46">
        <f>LEN(Table2[[#This Row],[Employee ID]])</f>
        <v>7</v>
      </c>
      <c r="C535" s="46" t="s">
        <v>1840</v>
      </c>
      <c r="D535" s="47">
        <v>27352</v>
      </c>
      <c r="E535" s="47">
        <v>30987</v>
      </c>
      <c r="F535" s="46" t="s">
        <v>2600</v>
      </c>
      <c r="G535" s="46">
        <v>186123</v>
      </c>
      <c r="H535" s="46" t="s">
        <v>2611</v>
      </c>
      <c r="I535" s="46" t="s">
        <v>2616</v>
      </c>
      <c r="J535" s="46" t="s">
        <v>3006</v>
      </c>
      <c r="K535" s="46" t="s">
        <v>3305</v>
      </c>
      <c r="L535" s="46">
        <v>41</v>
      </c>
    </row>
    <row r="536" spans="1:12" x14ac:dyDescent="0.3">
      <c r="A536" s="46" t="s">
        <v>545</v>
      </c>
      <c r="B536" s="46">
        <f>LEN(Table2[[#This Row],[Employee ID]])</f>
        <v>7</v>
      </c>
      <c r="C536" s="46" t="s">
        <v>1841</v>
      </c>
      <c r="D536" s="47">
        <v>37456</v>
      </c>
      <c r="E536" s="47">
        <v>29388</v>
      </c>
      <c r="F536" s="46" t="s">
        <v>2605</v>
      </c>
      <c r="G536" s="46">
        <v>40612</v>
      </c>
      <c r="H536" s="46" t="s">
        <v>2613</v>
      </c>
      <c r="I536" s="46" t="s">
        <v>2617</v>
      </c>
      <c r="J536" s="46" t="s">
        <v>3007</v>
      </c>
      <c r="K536" s="46" t="s">
        <v>3306</v>
      </c>
      <c r="L536" s="46">
        <v>45</v>
      </c>
    </row>
    <row r="537" spans="1:12" x14ac:dyDescent="0.3">
      <c r="A537" s="46" t="s">
        <v>546</v>
      </c>
      <c r="B537" s="46">
        <f>LEN(Table2[[#This Row],[Employee ID]])</f>
        <v>7</v>
      </c>
      <c r="C537" s="46" t="s">
        <v>1842</v>
      </c>
      <c r="D537" s="47">
        <v>24586</v>
      </c>
      <c r="E537" s="47">
        <v>27015</v>
      </c>
      <c r="F537" s="46" t="s">
        <v>2604</v>
      </c>
      <c r="G537" s="46">
        <v>114912</v>
      </c>
      <c r="H537" s="46" t="s">
        <v>2614</v>
      </c>
      <c r="I537" s="46" t="s">
        <v>2616</v>
      </c>
      <c r="J537" s="46" t="s">
        <v>2871</v>
      </c>
      <c r="K537" s="46" t="s">
        <v>3309</v>
      </c>
      <c r="L537" s="46">
        <v>52</v>
      </c>
    </row>
    <row r="538" spans="1:12" x14ac:dyDescent="0.3">
      <c r="A538" s="46" t="s">
        <v>547</v>
      </c>
      <c r="B538" s="46">
        <f>LEN(Table2[[#This Row],[Employee ID]])</f>
        <v>7</v>
      </c>
      <c r="C538" s="46" t="s">
        <v>1843</v>
      </c>
      <c r="D538" s="47">
        <v>35188</v>
      </c>
      <c r="E538" s="47">
        <v>35454</v>
      </c>
      <c r="F538" s="46" t="s">
        <v>2603</v>
      </c>
      <c r="G538" s="46">
        <v>130096</v>
      </c>
      <c r="H538" s="46" t="s">
        <v>2615</v>
      </c>
      <c r="I538" s="46" t="s">
        <v>2617</v>
      </c>
      <c r="J538" s="46" t="s">
        <v>3008</v>
      </c>
      <c r="K538" s="46" t="s">
        <v>3304</v>
      </c>
      <c r="L538" s="46">
        <v>28</v>
      </c>
    </row>
    <row r="539" spans="1:12" x14ac:dyDescent="0.3">
      <c r="A539" s="46" t="s">
        <v>548</v>
      </c>
      <c r="B539" s="46">
        <f>LEN(Table2[[#This Row],[Employee ID]])</f>
        <v>7</v>
      </c>
      <c r="C539" s="46" t="s">
        <v>1844</v>
      </c>
      <c r="D539" s="47">
        <v>29380</v>
      </c>
      <c r="E539" s="47">
        <v>31900</v>
      </c>
      <c r="F539" s="46" t="s">
        <v>2600</v>
      </c>
      <c r="G539" s="46">
        <v>52555</v>
      </c>
      <c r="H539" s="46" t="s">
        <v>2613</v>
      </c>
      <c r="I539" s="46" t="s">
        <v>2617</v>
      </c>
      <c r="J539" s="46" t="s">
        <v>2706</v>
      </c>
      <c r="K539" s="46" t="s">
        <v>3309</v>
      </c>
      <c r="L539" s="46">
        <v>38</v>
      </c>
    </row>
    <row r="540" spans="1:12" x14ac:dyDescent="0.3">
      <c r="A540" s="46" t="s">
        <v>549</v>
      </c>
      <c r="B540" s="46">
        <f>LEN(Table2[[#This Row],[Employee ID]])</f>
        <v>7</v>
      </c>
      <c r="C540" s="46" t="s">
        <v>1845</v>
      </c>
      <c r="D540" s="47">
        <v>34604</v>
      </c>
      <c r="E540" s="47">
        <v>42430</v>
      </c>
      <c r="F540" s="46" t="s">
        <v>2601</v>
      </c>
      <c r="G540" s="46">
        <v>50616</v>
      </c>
      <c r="H540" s="46" t="s">
        <v>2610</v>
      </c>
      <c r="I540" s="46" t="s">
        <v>2616</v>
      </c>
      <c r="J540" s="46" t="s">
        <v>2807</v>
      </c>
      <c r="K540" s="46" t="s">
        <v>3309</v>
      </c>
      <c r="L540" s="46">
        <v>9</v>
      </c>
    </row>
    <row r="541" spans="1:12" x14ac:dyDescent="0.3">
      <c r="A541" s="46" t="s">
        <v>550</v>
      </c>
      <c r="B541" s="46">
        <f>LEN(Table2[[#This Row],[Employee ID]])</f>
        <v>7</v>
      </c>
      <c r="C541" s="46" t="s">
        <v>1846</v>
      </c>
      <c r="D541" s="47">
        <v>25389</v>
      </c>
      <c r="E541" s="47">
        <v>37218</v>
      </c>
      <c r="F541" s="46" t="s">
        <v>2599</v>
      </c>
      <c r="G541" s="46">
        <v>132346</v>
      </c>
      <c r="H541" s="46" t="s">
        <v>2612</v>
      </c>
      <c r="I541" s="46" t="s">
        <v>2616</v>
      </c>
      <c r="J541" s="46" t="s">
        <v>3009</v>
      </c>
      <c r="K541" s="46" t="s">
        <v>3305</v>
      </c>
      <c r="L541" s="46">
        <v>24</v>
      </c>
    </row>
    <row r="542" spans="1:12" x14ac:dyDescent="0.3">
      <c r="A542" s="46" t="s">
        <v>551</v>
      </c>
      <c r="B542" s="46">
        <f>LEN(Table2[[#This Row],[Employee ID]])</f>
        <v>7</v>
      </c>
      <c r="C542" s="46" t="s">
        <v>1847</v>
      </c>
      <c r="D542" s="47">
        <v>26993</v>
      </c>
      <c r="E542" s="47">
        <v>31208</v>
      </c>
      <c r="F542" s="46" t="s">
        <v>2600</v>
      </c>
      <c r="G542" s="46">
        <v>115952</v>
      </c>
      <c r="H542" s="46" t="s">
        <v>2615</v>
      </c>
      <c r="I542" s="46" t="s">
        <v>2616</v>
      </c>
      <c r="J542" s="46" t="s">
        <v>2726</v>
      </c>
      <c r="K542" s="46" t="s">
        <v>3308</v>
      </c>
      <c r="L542" s="46">
        <v>40</v>
      </c>
    </row>
    <row r="543" spans="1:12" x14ac:dyDescent="0.3">
      <c r="A543" s="46" t="s">
        <v>552</v>
      </c>
      <c r="B543" s="46">
        <f>LEN(Table2[[#This Row],[Employee ID]])</f>
        <v>7</v>
      </c>
      <c r="C543" s="46" t="s">
        <v>1848</v>
      </c>
      <c r="D543" s="47">
        <v>22662</v>
      </c>
      <c r="E543" s="47">
        <v>38961</v>
      </c>
      <c r="F543" s="46" t="s">
        <v>2599</v>
      </c>
      <c r="G543" s="46">
        <v>123721</v>
      </c>
      <c r="H543" s="46" t="s">
        <v>2612</v>
      </c>
      <c r="I543" s="46" t="s">
        <v>2616</v>
      </c>
      <c r="J543" s="46" t="s">
        <v>3010</v>
      </c>
      <c r="K543" s="46" t="s">
        <v>3307</v>
      </c>
      <c r="L543" s="46">
        <v>19</v>
      </c>
    </row>
    <row r="544" spans="1:12" x14ac:dyDescent="0.3">
      <c r="A544" s="46" t="s">
        <v>553</v>
      </c>
      <c r="B544" s="46">
        <f>LEN(Table2[[#This Row],[Employee ID]])</f>
        <v>7</v>
      </c>
      <c r="C544" s="46" t="s">
        <v>1849</v>
      </c>
      <c r="D544" s="47">
        <v>30779</v>
      </c>
      <c r="E544" s="47">
        <v>27079</v>
      </c>
      <c r="F544" s="46" t="s">
        <v>2604</v>
      </c>
      <c r="G544" s="46">
        <v>68822</v>
      </c>
      <c r="H544" s="46" t="s">
        <v>2613</v>
      </c>
      <c r="I544" s="46" t="s">
        <v>2617</v>
      </c>
      <c r="J544" s="46" t="s">
        <v>2964</v>
      </c>
      <c r="K544" s="46" t="s">
        <v>3305</v>
      </c>
      <c r="L544" s="46">
        <v>51</v>
      </c>
    </row>
    <row r="545" spans="1:12" x14ac:dyDescent="0.3">
      <c r="A545" s="46" t="s">
        <v>554</v>
      </c>
      <c r="B545" s="46">
        <f>LEN(Table2[[#This Row],[Employee ID]])</f>
        <v>7</v>
      </c>
      <c r="C545" s="46" t="s">
        <v>1850</v>
      </c>
      <c r="D545" s="47">
        <v>36847</v>
      </c>
      <c r="E545" s="47">
        <v>44164</v>
      </c>
      <c r="F545" s="46" t="s">
        <v>2601</v>
      </c>
      <c r="G545" s="46">
        <v>51620</v>
      </c>
      <c r="H545" s="46" t="s">
        <v>2615</v>
      </c>
      <c r="I545" s="46" t="s">
        <v>2617</v>
      </c>
      <c r="J545" s="46" t="s">
        <v>2823</v>
      </c>
      <c r="K545" s="46" t="s">
        <v>3307</v>
      </c>
      <c r="L545" s="46">
        <v>5</v>
      </c>
    </row>
    <row r="546" spans="1:12" x14ac:dyDescent="0.3">
      <c r="A546" s="46" t="s">
        <v>555</v>
      </c>
      <c r="B546" s="46">
        <f>LEN(Table2[[#This Row],[Employee ID]])</f>
        <v>7</v>
      </c>
      <c r="C546" s="46" t="s">
        <v>1851</v>
      </c>
      <c r="D546" s="47">
        <v>31244</v>
      </c>
      <c r="E546" s="47">
        <v>30322</v>
      </c>
      <c r="F546" s="46" t="s">
        <v>2603</v>
      </c>
      <c r="G546" s="46">
        <v>186778</v>
      </c>
      <c r="H546" s="46" t="s">
        <v>2606</v>
      </c>
      <c r="I546" s="46" t="s">
        <v>2616</v>
      </c>
      <c r="J546" s="46" t="s">
        <v>3011</v>
      </c>
      <c r="K546" s="46" t="s">
        <v>3308</v>
      </c>
      <c r="L546" s="46">
        <v>42</v>
      </c>
    </row>
    <row r="547" spans="1:12" x14ac:dyDescent="0.3">
      <c r="A547" s="46" t="s">
        <v>556</v>
      </c>
      <c r="B547" s="46">
        <f>LEN(Table2[[#This Row],[Employee ID]])</f>
        <v>7</v>
      </c>
      <c r="C547" s="46" t="s">
        <v>1852</v>
      </c>
      <c r="D547" s="47">
        <v>37292</v>
      </c>
      <c r="E547" s="47">
        <v>29216</v>
      </c>
      <c r="F547" s="46" t="s">
        <v>2600</v>
      </c>
      <c r="G547" s="46">
        <v>84354</v>
      </c>
      <c r="H547" s="46" t="s">
        <v>2610</v>
      </c>
      <c r="I547" s="46" t="s">
        <v>2616</v>
      </c>
      <c r="J547" s="46" t="s">
        <v>3012</v>
      </c>
      <c r="K547" s="46" t="s">
        <v>3309</v>
      </c>
      <c r="L547" s="46">
        <v>46</v>
      </c>
    </row>
    <row r="548" spans="1:12" x14ac:dyDescent="0.3">
      <c r="A548" s="46" t="s">
        <v>557</v>
      </c>
      <c r="B548" s="46">
        <f>LEN(Table2[[#This Row],[Employee ID]])</f>
        <v>7</v>
      </c>
      <c r="C548" s="46" t="s">
        <v>1853</v>
      </c>
      <c r="D548" s="47">
        <v>26425</v>
      </c>
      <c r="E548" s="47">
        <v>28981</v>
      </c>
      <c r="F548" s="46" t="s">
        <v>2603</v>
      </c>
      <c r="G548" s="46">
        <v>163133</v>
      </c>
      <c r="H548" s="46" t="s">
        <v>2612</v>
      </c>
      <c r="I548" s="46" t="s">
        <v>2616</v>
      </c>
      <c r="J548" s="46" t="s">
        <v>3013</v>
      </c>
      <c r="K548" s="46" t="s">
        <v>3305</v>
      </c>
      <c r="L548" s="46">
        <v>46</v>
      </c>
    </row>
    <row r="549" spans="1:12" x14ac:dyDescent="0.3">
      <c r="A549" s="46" t="s">
        <v>558</v>
      </c>
      <c r="B549" s="46">
        <f>LEN(Table2[[#This Row],[Employee ID]])</f>
        <v>7</v>
      </c>
      <c r="C549" s="46" t="s">
        <v>1854</v>
      </c>
      <c r="D549" s="47">
        <v>37015</v>
      </c>
      <c r="E549" s="47">
        <v>28146</v>
      </c>
      <c r="F549" s="46" t="s">
        <v>2605</v>
      </c>
      <c r="G549" s="46">
        <v>132422</v>
      </c>
      <c r="H549" s="46" t="s">
        <v>2615</v>
      </c>
      <c r="I549" s="46" t="s">
        <v>2616</v>
      </c>
      <c r="J549" s="46" t="s">
        <v>2866</v>
      </c>
      <c r="K549" s="46" t="s">
        <v>3308</v>
      </c>
      <c r="L549" s="46">
        <v>48</v>
      </c>
    </row>
    <row r="550" spans="1:12" x14ac:dyDescent="0.3">
      <c r="A550" s="46" t="s">
        <v>559</v>
      </c>
      <c r="B550" s="46">
        <f>LEN(Table2[[#This Row],[Employee ID]])</f>
        <v>7</v>
      </c>
      <c r="C550" s="46" t="s">
        <v>1855</v>
      </c>
      <c r="D550" s="47">
        <v>23194</v>
      </c>
      <c r="E550" s="47">
        <v>33360</v>
      </c>
      <c r="F550" s="46" t="s">
        <v>2602</v>
      </c>
      <c r="G550" s="46">
        <v>52043</v>
      </c>
      <c r="H550" s="46" t="s">
        <v>2612</v>
      </c>
      <c r="I550" s="46" t="s">
        <v>2617</v>
      </c>
      <c r="J550" s="46" t="s">
        <v>3014</v>
      </c>
      <c r="K550" s="46" t="s">
        <v>3304</v>
      </c>
      <c r="L550" s="46">
        <v>34</v>
      </c>
    </row>
    <row r="551" spans="1:12" x14ac:dyDescent="0.3">
      <c r="A551" s="46" t="s">
        <v>560</v>
      </c>
      <c r="B551" s="46">
        <f>LEN(Table2[[#This Row],[Employee ID]])</f>
        <v>7</v>
      </c>
      <c r="C551" s="46" t="s">
        <v>1856</v>
      </c>
      <c r="D551" s="47">
        <v>36455</v>
      </c>
      <c r="E551" s="47">
        <v>39896</v>
      </c>
      <c r="F551" s="46" t="s">
        <v>2601</v>
      </c>
      <c r="G551" s="46">
        <v>195873</v>
      </c>
      <c r="H551" s="46" t="s">
        <v>2606</v>
      </c>
      <c r="I551" s="46" t="s">
        <v>2616</v>
      </c>
      <c r="J551" s="46" t="s">
        <v>3015</v>
      </c>
      <c r="K551" s="46" t="s">
        <v>3306</v>
      </c>
      <c r="L551" s="46">
        <v>16</v>
      </c>
    </row>
    <row r="552" spans="1:12" x14ac:dyDescent="0.3">
      <c r="A552" s="46" t="s">
        <v>561</v>
      </c>
      <c r="B552" s="46">
        <f>LEN(Table2[[#This Row],[Employee ID]])</f>
        <v>7</v>
      </c>
      <c r="C552" s="46" t="s">
        <v>1857</v>
      </c>
      <c r="D552" s="47">
        <v>21850</v>
      </c>
      <c r="E552" s="47">
        <v>35631</v>
      </c>
      <c r="F552" s="46" t="s">
        <v>2605</v>
      </c>
      <c r="G552" s="46">
        <v>37510</v>
      </c>
      <c r="H552" s="46" t="s">
        <v>2614</v>
      </c>
      <c r="I552" s="46" t="s">
        <v>2616</v>
      </c>
      <c r="J552" s="46" t="s">
        <v>3016</v>
      </c>
      <c r="K552" s="46" t="s">
        <v>3304</v>
      </c>
      <c r="L552" s="46">
        <v>28</v>
      </c>
    </row>
    <row r="553" spans="1:12" x14ac:dyDescent="0.3">
      <c r="A553" s="46" t="s">
        <v>562</v>
      </c>
      <c r="B553" s="46">
        <f>LEN(Table2[[#This Row],[Employee ID]])</f>
        <v>7</v>
      </c>
      <c r="C553" s="46" t="s">
        <v>1858</v>
      </c>
      <c r="D553" s="47">
        <v>27453</v>
      </c>
      <c r="E553" s="47">
        <v>34345</v>
      </c>
      <c r="F553" s="46" t="s">
        <v>2605</v>
      </c>
      <c r="G553" s="46">
        <v>97482</v>
      </c>
      <c r="H553" s="46" t="s">
        <v>2606</v>
      </c>
      <c r="I553" s="46" t="s">
        <v>2616</v>
      </c>
      <c r="J553" s="46" t="s">
        <v>2622</v>
      </c>
      <c r="K553" s="46" t="s">
        <v>3308</v>
      </c>
      <c r="L553" s="46">
        <v>31</v>
      </c>
    </row>
    <row r="554" spans="1:12" x14ac:dyDescent="0.3">
      <c r="A554" s="46" t="s">
        <v>563</v>
      </c>
      <c r="B554" s="46">
        <f>LEN(Table2[[#This Row],[Employee ID]])</f>
        <v>7</v>
      </c>
      <c r="C554" s="46" t="s">
        <v>1859</v>
      </c>
      <c r="D554" s="47">
        <v>28852</v>
      </c>
      <c r="E554" s="47">
        <v>30365</v>
      </c>
      <c r="F554" s="46" t="s">
        <v>2601</v>
      </c>
      <c r="G554" s="46">
        <v>54002</v>
      </c>
      <c r="H554" s="46" t="s">
        <v>2606</v>
      </c>
      <c r="I554" s="46" t="s">
        <v>2616</v>
      </c>
      <c r="J554" s="46" t="s">
        <v>2867</v>
      </c>
      <c r="K554" s="46" t="s">
        <v>3310</v>
      </c>
      <c r="L554" s="46">
        <v>42</v>
      </c>
    </row>
    <row r="555" spans="1:12" x14ac:dyDescent="0.3">
      <c r="A555" s="46" t="s">
        <v>564</v>
      </c>
      <c r="B555" s="46">
        <f>LEN(Table2[[#This Row],[Employee ID]])</f>
        <v>7</v>
      </c>
      <c r="C555" s="46" t="s">
        <v>1860</v>
      </c>
      <c r="D555" s="47">
        <v>36639</v>
      </c>
      <c r="E555" s="47">
        <v>26156</v>
      </c>
      <c r="F555" s="46" t="s">
        <v>2601</v>
      </c>
      <c r="G555" s="46">
        <v>191945</v>
      </c>
      <c r="H555" s="46" t="s">
        <v>2607</v>
      </c>
      <c r="I555" s="46" t="s">
        <v>2617</v>
      </c>
      <c r="J555" s="46" t="s">
        <v>3017</v>
      </c>
      <c r="K555" s="46" t="s">
        <v>3305</v>
      </c>
      <c r="L555" s="46">
        <v>54</v>
      </c>
    </row>
    <row r="556" spans="1:12" x14ac:dyDescent="0.3">
      <c r="A556" s="46" t="s">
        <v>565</v>
      </c>
      <c r="B556" s="46">
        <f>LEN(Table2[[#This Row],[Employee ID]])</f>
        <v>7</v>
      </c>
      <c r="C556" s="46" t="s">
        <v>1861</v>
      </c>
      <c r="D556" s="47">
        <v>28646</v>
      </c>
      <c r="E556" s="47">
        <v>38577</v>
      </c>
      <c r="F556" s="46" t="s">
        <v>2604</v>
      </c>
      <c r="G556" s="46">
        <v>101915</v>
      </c>
      <c r="H556" s="46" t="s">
        <v>2607</v>
      </c>
      <c r="I556" s="46" t="s">
        <v>2617</v>
      </c>
      <c r="J556" s="46" t="s">
        <v>2867</v>
      </c>
      <c r="K556" s="46" t="s">
        <v>3310</v>
      </c>
      <c r="L556" s="46">
        <v>20</v>
      </c>
    </row>
    <row r="557" spans="1:12" x14ac:dyDescent="0.3">
      <c r="A557" s="46" t="s">
        <v>566</v>
      </c>
      <c r="B557" s="46">
        <f>LEN(Table2[[#This Row],[Employee ID]])</f>
        <v>7</v>
      </c>
      <c r="C557" s="46" t="s">
        <v>1862</v>
      </c>
      <c r="D557" s="47">
        <v>33727</v>
      </c>
      <c r="E557" s="47">
        <v>32328</v>
      </c>
      <c r="F557" s="46" t="s">
        <v>2599</v>
      </c>
      <c r="G557" s="46">
        <v>62389</v>
      </c>
      <c r="H557" s="46" t="s">
        <v>2612</v>
      </c>
      <c r="I557" s="46" t="s">
        <v>2616</v>
      </c>
      <c r="J557" s="46" t="s">
        <v>3018</v>
      </c>
      <c r="K557" s="46" t="s">
        <v>3309</v>
      </c>
      <c r="L557" s="46">
        <v>37</v>
      </c>
    </row>
    <row r="558" spans="1:12" x14ac:dyDescent="0.3">
      <c r="A558" s="46" t="s">
        <v>567</v>
      </c>
      <c r="B558" s="46">
        <f>LEN(Table2[[#This Row],[Employee ID]])</f>
        <v>7</v>
      </c>
      <c r="C558" s="46" t="s">
        <v>1863</v>
      </c>
      <c r="D558" s="47">
        <v>26254</v>
      </c>
      <c r="E558" s="47">
        <v>31109</v>
      </c>
      <c r="F558" s="46" t="s">
        <v>2601</v>
      </c>
      <c r="G558" s="46">
        <v>197650</v>
      </c>
      <c r="H558" s="46" t="s">
        <v>2613</v>
      </c>
      <c r="I558" s="46" t="s">
        <v>2617</v>
      </c>
      <c r="J558" s="46" t="s">
        <v>3019</v>
      </c>
      <c r="K558" s="46" t="s">
        <v>3305</v>
      </c>
      <c r="L558" s="46">
        <v>40</v>
      </c>
    </row>
    <row r="559" spans="1:12" x14ac:dyDescent="0.3">
      <c r="A559" s="46" t="s">
        <v>568</v>
      </c>
      <c r="B559" s="46">
        <f>LEN(Table2[[#This Row],[Employee ID]])</f>
        <v>7</v>
      </c>
      <c r="C559" s="46" t="s">
        <v>1864</v>
      </c>
      <c r="D559" s="47">
        <v>24006</v>
      </c>
      <c r="E559" s="47">
        <v>26852</v>
      </c>
      <c r="F559" s="46" t="s">
        <v>2600</v>
      </c>
      <c r="G559" s="46">
        <v>125615</v>
      </c>
      <c r="H559" s="46" t="s">
        <v>2610</v>
      </c>
      <c r="I559" s="46" t="s">
        <v>2616</v>
      </c>
      <c r="J559" s="46" t="s">
        <v>3020</v>
      </c>
      <c r="K559" s="46" t="s">
        <v>3308</v>
      </c>
      <c r="L559" s="46">
        <v>52</v>
      </c>
    </row>
    <row r="560" spans="1:12" x14ac:dyDescent="0.3">
      <c r="A560" s="46" t="s">
        <v>569</v>
      </c>
      <c r="B560" s="46">
        <f>LEN(Table2[[#This Row],[Employee ID]])</f>
        <v>7</v>
      </c>
      <c r="C560" s="46" t="s">
        <v>1865</v>
      </c>
      <c r="D560" s="47">
        <v>36151</v>
      </c>
      <c r="E560" s="47">
        <v>28724</v>
      </c>
      <c r="F560" s="46" t="s">
        <v>2604</v>
      </c>
      <c r="G560" s="46">
        <v>197181</v>
      </c>
      <c r="H560" s="46" t="s">
        <v>2615</v>
      </c>
      <c r="I560" s="46" t="s">
        <v>2616</v>
      </c>
      <c r="J560" s="46" t="s">
        <v>2895</v>
      </c>
      <c r="K560" s="46" t="s">
        <v>3306</v>
      </c>
      <c r="L560" s="46">
        <v>47</v>
      </c>
    </row>
    <row r="561" spans="1:12" x14ac:dyDescent="0.3">
      <c r="A561" s="46" t="s">
        <v>570</v>
      </c>
      <c r="B561" s="46">
        <f>LEN(Table2[[#This Row],[Employee ID]])</f>
        <v>7</v>
      </c>
      <c r="C561" s="46" t="s">
        <v>1866</v>
      </c>
      <c r="D561" s="47">
        <v>31956</v>
      </c>
      <c r="E561" s="47">
        <v>42892</v>
      </c>
      <c r="F561" s="46" t="s">
        <v>2604</v>
      </c>
      <c r="G561" s="46">
        <v>142897</v>
      </c>
      <c r="H561" s="46" t="s">
        <v>2612</v>
      </c>
      <c r="I561" s="46" t="s">
        <v>2616</v>
      </c>
      <c r="J561" s="46" t="s">
        <v>3021</v>
      </c>
      <c r="K561" s="46" t="s">
        <v>3308</v>
      </c>
      <c r="L561" s="46">
        <v>8</v>
      </c>
    </row>
    <row r="562" spans="1:12" x14ac:dyDescent="0.3">
      <c r="A562" s="46" t="s">
        <v>571</v>
      </c>
      <c r="B562" s="46">
        <f>LEN(Table2[[#This Row],[Employee ID]])</f>
        <v>7</v>
      </c>
      <c r="C562" s="46" t="s">
        <v>1867</v>
      </c>
      <c r="D562" s="47">
        <v>27536</v>
      </c>
      <c r="E562" s="47">
        <v>43522</v>
      </c>
      <c r="F562" s="46" t="s">
        <v>2604</v>
      </c>
      <c r="G562" s="46">
        <v>33623</v>
      </c>
      <c r="H562" s="46" t="s">
        <v>2608</v>
      </c>
      <c r="I562" s="46" t="s">
        <v>2616</v>
      </c>
      <c r="J562" s="46" t="s">
        <v>2981</v>
      </c>
      <c r="K562" s="46" t="s">
        <v>3309</v>
      </c>
      <c r="L562" s="46">
        <v>6</v>
      </c>
    </row>
    <row r="563" spans="1:12" x14ac:dyDescent="0.3">
      <c r="A563" s="46" t="s">
        <v>572</v>
      </c>
      <c r="B563" s="46">
        <f>LEN(Table2[[#This Row],[Employee ID]])</f>
        <v>7</v>
      </c>
      <c r="C563" s="46" t="s">
        <v>1868</v>
      </c>
      <c r="D563" s="47">
        <v>22265</v>
      </c>
      <c r="E563" s="47">
        <v>38271</v>
      </c>
      <c r="F563" s="46" t="s">
        <v>2601</v>
      </c>
      <c r="G563" s="46">
        <v>78618</v>
      </c>
      <c r="H563" s="46" t="s">
        <v>2615</v>
      </c>
      <c r="I563" s="46" t="s">
        <v>2617</v>
      </c>
      <c r="J563" s="46" t="s">
        <v>3022</v>
      </c>
      <c r="K563" s="46" t="s">
        <v>3310</v>
      </c>
      <c r="L563" s="46">
        <v>21</v>
      </c>
    </row>
    <row r="564" spans="1:12" x14ac:dyDescent="0.3">
      <c r="A564" s="46" t="s">
        <v>573</v>
      </c>
      <c r="B564" s="46">
        <f>LEN(Table2[[#This Row],[Employee ID]])</f>
        <v>7</v>
      </c>
      <c r="C564" s="46" t="s">
        <v>1869</v>
      </c>
      <c r="D564" s="47">
        <v>30236</v>
      </c>
      <c r="E564" s="47">
        <v>33999</v>
      </c>
      <c r="F564" s="46" t="s">
        <v>2605</v>
      </c>
      <c r="G564" s="46">
        <v>95761</v>
      </c>
      <c r="H564" s="46" t="s">
        <v>2609</v>
      </c>
      <c r="I564" s="46" t="s">
        <v>2616</v>
      </c>
      <c r="J564" s="46" t="s">
        <v>2848</v>
      </c>
      <c r="K564" s="46" t="s">
        <v>3309</v>
      </c>
      <c r="L564" s="46">
        <v>32</v>
      </c>
    </row>
    <row r="565" spans="1:12" x14ac:dyDescent="0.3">
      <c r="A565" s="46" t="s">
        <v>574</v>
      </c>
      <c r="B565" s="46">
        <f>LEN(Table2[[#This Row],[Employee ID]])</f>
        <v>7</v>
      </c>
      <c r="C565" s="46" t="s">
        <v>1870</v>
      </c>
      <c r="D565" s="47">
        <v>34781</v>
      </c>
      <c r="E565" s="47">
        <v>42737</v>
      </c>
      <c r="F565" s="46" t="s">
        <v>2605</v>
      </c>
      <c r="G565" s="46">
        <v>25484</v>
      </c>
      <c r="H565" s="46" t="s">
        <v>2611</v>
      </c>
      <c r="I565" s="46" t="s">
        <v>2617</v>
      </c>
      <c r="J565" s="46" t="s">
        <v>3023</v>
      </c>
      <c r="K565" s="46" t="s">
        <v>3309</v>
      </c>
      <c r="L565" s="46">
        <v>8</v>
      </c>
    </row>
    <row r="566" spans="1:12" x14ac:dyDescent="0.3">
      <c r="A566" s="46" t="s">
        <v>575</v>
      </c>
      <c r="B566" s="46">
        <f>LEN(Table2[[#This Row],[Employee ID]])</f>
        <v>7</v>
      </c>
      <c r="C566" s="46" t="s">
        <v>1871</v>
      </c>
      <c r="D566" s="47">
        <v>30435</v>
      </c>
      <c r="E566" s="47">
        <v>27156</v>
      </c>
      <c r="F566" s="46" t="s">
        <v>2600</v>
      </c>
      <c r="G566" s="46">
        <v>62666</v>
      </c>
      <c r="H566" s="46" t="s">
        <v>2606</v>
      </c>
      <c r="I566" s="46" t="s">
        <v>2616</v>
      </c>
      <c r="J566" s="46" t="s">
        <v>3024</v>
      </c>
      <c r="K566" s="46" t="s">
        <v>3306</v>
      </c>
      <c r="L566" s="46">
        <v>51</v>
      </c>
    </row>
    <row r="567" spans="1:12" x14ac:dyDescent="0.3">
      <c r="A567" s="46" t="s">
        <v>576</v>
      </c>
      <c r="B567" s="46">
        <f>LEN(Table2[[#This Row],[Employee ID]])</f>
        <v>7</v>
      </c>
      <c r="C567" s="46" t="s">
        <v>1872</v>
      </c>
      <c r="D567" s="47">
        <v>30014</v>
      </c>
      <c r="E567" s="47">
        <v>37671</v>
      </c>
      <c r="F567" s="46" t="s">
        <v>2599</v>
      </c>
      <c r="G567" s="46">
        <v>130000</v>
      </c>
      <c r="H567" s="46" t="s">
        <v>2608</v>
      </c>
      <c r="I567" s="46" t="s">
        <v>2617</v>
      </c>
      <c r="J567" s="46" t="s">
        <v>3025</v>
      </c>
      <c r="K567" s="46" t="s">
        <v>3308</v>
      </c>
      <c r="L567" s="46">
        <v>22</v>
      </c>
    </row>
    <row r="568" spans="1:12" x14ac:dyDescent="0.3">
      <c r="A568" s="46" t="s">
        <v>577</v>
      </c>
      <c r="B568" s="46">
        <f>LEN(Table2[[#This Row],[Employee ID]])</f>
        <v>7</v>
      </c>
      <c r="C568" s="46" t="s">
        <v>1873</v>
      </c>
      <c r="D568" s="47">
        <v>30036</v>
      </c>
      <c r="E568" s="47">
        <v>38975</v>
      </c>
      <c r="F568" s="46" t="s">
        <v>2602</v>
      </c>
      <c r="G568" s="46">
        <v>97396</v>
      </c>
      <c r="H568" s="46" t="s">
        <v>2610</v>
      </c>
      <c r="I568" s="46" t="s">
        <v>2616</v>
      </c>
      <c r="J568" s="46" t="s">
        <v>2812</v>
      </c>
      <c r="K568" s="46" t="s">
        <v>3306</v>
      </c>
      <c r="L568" s="46">
        <v>19</v>
      </c>
    </row>
    <row r="569" spans="1:12" x14ac:dyDescent="0.3">
      <c r="A569" s="46" t="s">
        <v>578</v>
      </c>
      <c r="B569" s="46">
        <f>LEN(Table2[[#This Row],[Employee ID]])</f>
        <v>7</v>
      </c>
      <c r="C569" s="46" t="s">
        <v>1874</v>
      </c>
      <c r="D569" s="47">
        <v>30909</v>
      </c>
      <c r="E569" s="47">
        <v>31947</v>
      </c>
      <c r="F569" s="46" t="s">
        <v>2600</v>
      </c>
      <c r="G569" s="46">
        <v>130625</v>
      </c>
      <c r="H569" s="46" t="s">
        <v>2608</v>
      </c>
      <c r="I569" s="46" t="s">
        <v>2617</v>
      </c>
      <c r="J569" s="46" t="s">
        <v>3026</v>
      </c>
      <c r="K569" s="46" t="s">
        <v>3310</v>
      </c>
      <c r="L569" s="46">
        <v>38</v>
      </c>
    </row>
    <row r="570" spans="1:12" x14ac:dyDescent="0.3">
      <c r="A570" s="46" t="s">
        <v>579</v>
      </c>
      <c r="B570" s="46">
        <f>LEN(Table2[[#This Row],[Employee ID]])</f>
        <v>7</v>
      </c>
      <c r="C570" s="46" t="s">
        <v>1875</v>
      </c>
      <c r="D570" s="47">
        <v>23277</v>
      </c>
      <c r="E570" s="47">
        <v>30682</v>
      </c>
      <c r="F570" s="46" t="s">
        <v>2604</v>
      </c>
      <c r="G570" s="46">
        <v>82670</v>
      </c>
      <c r="H570" s="46" t="s">
        <v>2611</v>
      </c>
      <c r="I570" s="46" t="s">
        <v>2617</v>
      </c>
      <c r="J570" s="46" t="s">
        <v>3027</v>
      </c>
      <c r="K570" s="46" t="s">
        <v>3306</v>
      </c>
      <c r="L570" s="46">
        <v>41</v>
      </c>
    </row>
    <row r="571" spans="1:12" x14ac:dyDescent="0.3">
      <c r="A571" s="46" t="s">
        <v>580</v>
      </c>
      <c r="B571" s="46">
        <f>LEN(Table2[[#This Row],[Employee ID]])</f>
        <v>7</v>
      </c>
      <c r="C571" s="46" t="s">
        <v>1876</v>
      </c>
      <c r="D571" s="47">
        <v>24353</v>
      </c>
      <c r="E571" s="47">
        <v>36172</v>
      </c>
      <c r="F571" s="46" t="s">
        <v>2604</v>
      </c>
      <c r="G571" s="46">
        <v>148055</v>
      </c>
      <c r="H571" s="46" t="s">
        <v>2609</v>
      </c>
      <c r="I571" s="46" t="s">
        <v>2617</v>
      </c>
      <c r="J571" s="46" t="s">
        <v>3028</v>
      </c>
      <c r="K571" s="46" t="s">
        <v>3304</v>
      </c>
      <c r="L571" s="46">
        <v>26</v>
      </c>
    </row>
    <row r="572" spans="1:12" x14ac:dyDescent="0.3">
      <c r="A572" s="46" t="s">
        <v>581</v>
      </c>
      <c r="B572" s="46">
        <f>LEN(Table2[[#This Row],[Employee ID]])</f>
        <v>7</v>
      </c>
      <c r="C572" s="46" t="s">
        <v>1877</v>
      </c>
      <c r="D572" s="47">
        <v>24750</v>
      </c>
      <c r="E572" s="47">
        <v>43879</v>
      </c>
      <c r="F572" s="46" t="s">
        <v>2601</v>
      </c>
      <c r="G572" s="46">
        <v>98930</v>
      </c>
      <c r="H572" s="46" t="s">
        <v>2612</v>
      </c>
      <c r="I572" s="46" t="s">
        <v>2616</v>
      </c>
      <c r="J572" s="46" t="s">
        <v>2648</v>
      </c>
      <c r="K572" s="46" t="s">
        <v>3306</v>
      </c>
      <c r="L572" s="46">
        <v>5</v>
      </c>
    </row>
    <row r="573" spans="1:12" x14ac:dyDescent="0.3">
      <c r="A573" s="46" t="s">
        <v>582</v>
      </c>
      <c r="B573" s="46">
        <f>LEN(Table2[[#This Row],[Employee ID]])</f>
        <v>7</v>
      </c>
      <c r="C573" s="46" t="s">
        <v>1878</v>
      </c>
      <c r="D573" s="47">
        <v>29153</v>
      </c>
      <c r="E573" s="47">
        <v>41793</v>
      </c>
      <c r="F573" s="46" t="s">
        <v>2601</v>
      </c>
      <c r="G573" s="46">
        <v>42711</v>
      </c>
      <c r="H573" s="46" t="s">
        <v>2608</v>
      </c>
      <c r="I573" s="46" t="s">
        <v>2617</v>
      </c>
      <c r="J573" s="46" t="s">
        <v>3029</v>
      </c>
      <c r="K573" s="46" t="s">
        <v>3308</v>
      </c>
      <c r="L573" s="46">
        <v>11</v>
      </c>
    </row>
    <row r="574" spans="1:12" x14ac:dyDescent="0.3">
      <c r="A574" s="46" t="s">
        <v>583</v>
      </c>
      <c r="B574" s="46">
        <f>LEN(Table2[[#This Row],[Employee ID]])</f>
        <v>7</v>
      </c>
      <c r="C574" s="46" t="s">
        <v>1879</v>
      </c>
      <c r="D574" s="47">
        <v>28814</v>
      </c>
      <c r="E574" s="47">
        <v>36940</v>
      </c>
      <c r="F574" s="46" t="s">
        <v>2601</v>
      </c>
      <c r="G574" s="46">
        <v>105208</v>
      </c>
      <c r="H574" s="46" t="s">
        <v>2609</v>
      </c>
      <c r="I574" s="46" t="s">
        <v>2617</v>
      </c>
      <c r="J574" s="46" t="s">
        <v>3030</v>
      </c>
      <c r="K574" s="46" t="s">
        <v>3305</v>
      </c>
      <c r="L574" s="46">
        <v>24</v>
      </c>
    </row>
    <row r="575" spans="1:12" x14ac:dyDescent="0.3">
      <c r="A575" s="46" t="s">
        <v>584</v>
      </c>
      <c r="B575" s="46">
        <f>LEN(Table2[[#This Row],[Employee ID]])</f>
        <v>7</v>
      </c>
      <c r="C575" s="46" t="s">
        <v>1880</v>
      </c>
      <c r="D575" s="47">
        <v>32392</v>
      </c>
      <c r="E575" s="47">
        <v>32415</v>
      </c>
      <c r="F575" s="46" t="s">
        <v>2604</v>
      </c>
      <c r="G575" s="46">
        <v>52823</v>
      </c>
      <c r="H575" s="46" t="s">
        <v>2607</v>
      </c>
      <c r="I575" s="46" t="s">
        <v>2617</v>
      </c>
      <c r="J575" s="46" t="s">
        <v>3031</v>
      </c>
      <c r="K575" s="46" t="s">
        <v>3309</v>
      </c>
      <c r="L575" s="46">
        <v>37</v>
      </c>
    </row>
    <row r="576" spans="1:12" x14ac:dyDescent="0.3">
      <c r="A576" s="46" t="s">
        <v>585</v>
      </c>
      <c r="B576" s="46">
        <f>LEN(Table2[[#This Row],[Employee ID]])</f>
        <v>7</v>
      </c>
      <c r="C576" s="46" t="s">
        <v>1881</v>
      </c>
      <c r="D576" s="47">
        <v>28128</v>
      </c>
      <c r="E576" s="47">
        <v>34149</v>
      </c>
      <c r="F576" s="46" t="s">
        <v>2603</v>
      </c>
      <c r="G576" s="46">
        <v>78660</v>
      </c>
      <c r="H576" s="46" t="s">
        <v>2608</v>
      </c>
      <c r="I576" s="46" t="s">
        <v>2616</v>
      </c>
      <c r="J576" s="46" t="s">
        <v>2647</v>
      </c>
      <c r="K576" s="46" t="s">
        <v>3305</v>
      </c>
      <c r="L576" s="46">
        <v>32</v>
      </c>
    </row>
    <row r="577" spans="1:12" x14ac:dyDescent="0.3">
      <c r="A577" s="46" t="s">
        <v>586</v>
      </c>
      <c r="B577" s="46">
        <f>LEN(Table2[[#This Row],[Employee ID]])</f>
        <v>7</v>
      </c>
      <c r="C577" s="46" t="s">
        <v>1882</v>
      </c>
      <c r="D577" s="47">
        <v>31486</v>
      </c>
      <c r="E577" s="47">
        <v>33205</v>
      </c>
      <c r="F577" s="46" t="s">
        <v>2605</v>
      </c>
      <c r="G577" s="46">
        <v>181777</v>
      </c>
      <c r="H577" s="46" t="s">
        <v>2608</v>
      </c>
      <c r="I577" s="46" t="s">
        <v>2617</v>
      </c>
      <c r="J577" s="46" t="s">
        <v>3015</v>
      </c>
      <c r="K577" s="46" t="s">
        <v>3305</v>
      </c>
      <c r="L577" s="46">
        <v>35</v>
      </c>
    </row>
    <row r="578" spans="1:12" x14ac:dyDescent="0.3">
      <c r="A578" s="46" t="s">
        <v>587</v>
      </c>
      <c r="B578" s="46">
        <f>LEN(Table2[[#This Row],[Employee ID]])</f>
        <v>7</v>
      </c>
      <c r="C578" s="46" t="s">
        <v>1883</v>
      </c>
      <c r="D578" s="47">
        <v>22930</v>
      </c>
      <c r="E578" s="47">
        <v>32150</v>
      </c>
      <c r="F578" s="46" t="s">
        <v>2599</v>
      </c>
      <c r="G578" s="46">
        <v>180253</v>
      </c>
      <c r="H578" s="46" t="s">
        <v>2614</v>
      </c>
      <c r="I578" s="46" t="s">
        <v>2616</v>
      </c>
      <c r="J578" s="46" t="s">
        <v>3032</v>
      </c>
      <c r="K578" s="46" t="s">
        <v>3304</v>
      </c>
      <c r="L578" s="46">
        <v>37</v>
      </c>
    </row>
    <row r="579" spans="1:12" x14ac:dyDescent="0.3">
      <c r="A579" s="46" t="s">
        <v>588</v>
      </c>
      <c r="B579" s="46">
        <f>LEN(Table2[[#This Row],[Employee ID]])</f>
        <v>7</v>
      </c>
      <c r="C579" s="46" t="s">
        <v>1884</v>
      </c>
      <c r="D579" s="47">
        <v>26031</v>
      </c>
      <c r="E579" s="47">
        <v>31310</v>
      </c>
      <c r="F579" s="46" t="s">
        <v>2604</v>
      </c>
      <c r="G579" s="46">
        <v>39335</v>
      </c>
      <c r="H579" s="46" t="s">
        <v>2615</v>
      </c>
      <c r="I579" s="46" t="s">
        <v>2616</v>
      </c>
      <c r="J579" s="46" t="s">
        <v>3033</v>
      </c>
      <c r="K579" s="46" t="s">
        <v>3310</v>
      </c>
      <c r="L579" s="46">
        <v>40</v>
      </c>
    </row>
    <row r="580" spans="1:12" x14ac:dyDescent="0.3">
      <c r="A580" s="46" t="s">
        <v>589</v>
      </c>
      <c r="B580" s="46">
        <f>LEN(Table2[[#This Row],[Employee ID]])</f>
        <v>7</v>
      </c>
      <c r="C580" s="46" t="s">
        <v>1885</v>
      </c>
      <c r="D580" s="47">
        <v>31860</v>
      </c>
      <c r="E580" s="47">
        <v>27494</v>
      </c>
      <c r="F580" s="46" t="s">
        <v>2604</v>
      </c>
      <c r="G580" s="46">
        <v>105827</v>
      </c>
      <c r="H580" s="46" t="s">
        <v>2607</v>
      </c>
      <c r="I580" s="46" t="s">
        <v>2617</v>
      </c>
      <c r="J580" s="46" t="s">
        <v>2694</v>
      </c>
      <c r="K580" s="46" t="s">
        <v>3307</v>
      </c>
      <c r="L580" s="46">
        <v>50</v>
      </c>
    </row>
    <row r="581" spans="1:12" x14ac:dyDescent="0.3">
      <c r="A581" s="46" t="s">
        <v>590</v>
      </c>
      <c r="B581" s="46">
        <f>LEN(Table2[[#This Row],[Employee ID]])</f>
        <v>7</v>
      </c>
      <c r="C581" s="46" t="s">
        <v>1886</v>
      </c>
      <c r="D581" s="47">
        <v>36967</v>
      </c>
      <c r="E581" s="47">
        <v>40087</v>
      </c>
      <c r="F581" s="46" t="s">
        <v>2603</v>
      </c>
      <c r="G581" s="46">
        <v>89446</v>
      </c>
      <c r="H581" s="46" t="s">
        <v>2607</v>
      </c>
      <c r="I581" s="46" t="s">
        <v>2617</v>
      </c>
      <c r="J581" s="46" t="s">
        <v>3034</v>
      </c>
      <c r="K581" s="46" t="s">
        <v>3306</v>
      </c>
      <c r="L581" s="46">
        <v>16</v>
      </c>
    </row>
    <row r="582" spans="1:12" x14ac:dyDescent="0.3">
      <c r="A582" s="46" t="s">
        <v>591</v>
      </c>
      <c r="B582" s="46">
        <f>LEN(Table2[[#This Row],[Employee ID]])</f>
        <v>7</v>
      </c>
      <c r="C582" s="46" t="s">
        <v>1887</v>
      </c>
      <c r="D582" s="47">
        <v>35382</v>
      </c>
      <c r="E582" s="47">
        <v>43294</v>
      </c>
      <c r="F582" s="46" t="s">
        <v>2604</v>
      </c>
      <c r="G582" s="46">
        <v>114903</v>
      </c>
      <c r="H582" s="46" t="s">
        <v>2606</v>
      </c>
      <c r="I582" s="46" t="s">
        <v>2617</v>
      </c>
      <c r="J582" s="46" t="s">
        <v>2683</v>
      </c>
      <c r="K582" s="46" t="s">
        <v>3306</v>
      </c>
      <c r="L582" s="46">
        <v>7</v>
      </c>
    </row>
    <row r="583" spans="1:12" x14ac:dyDescent="0.3">
      <c r="A583" s="46" t="s">
        <v>592</v>
      </c>
      <c r="B583" s="46">
        <f>LEN(Table2[[#This Row],[Employee ID]])</f>
        <v>7</v>
      </c>
      <c r="C583" s="46" t="s">
        <v>1888</v>
      </c>
      <c r="D583" s="47">
        <v>29778</v>
      </c>
      <c r="E583" s="47">
        <v>30706</v>
      </c>
      <c r="F583" s="46" t="s">
        <v>2603</v>
      </c>
      <c r="G583" s="46">
        <v>44600</v>
      </c>
      <c r="H583" s="46" t="s">
        <v>2614</v>
      </c>
      <c r="I583" s="46" t="s">
        <v>2616</v>
      </c>
      <c r="J583" s="46" t="s">
        <v>3035</v>
      </c>
      <c r="K583" s="46" t="s">
        <v>3308</v>
      </c>
      <c r="L583" s="46">
        <v>41</v>
      </c>
    </row>
    <row r="584" spans="1:12" x14ac:dyDescent="0.3">
      <c r="A584" s="46" t="s">
        <v>593</v>
      </c>
      <c r="B584" s="46">
        <f>LEN(Table2[[#This Row],[Employee ID]])</f>
        <v>7</v>
      </c>
      <c r="C584" s="46" t="s">
        <v>1889</v>
      </c>
      <c r="D584" s="47">
        <v>25823</v>
      </c>
      <c r="E584" s="47">
        <v>31796</v>
      </c>
      <c r="F584" s="46" t="s">
        <v>2600</v>
      </c>
      <c r="G584" s="46">
        <v>87375</v>
      </c>
      <c r="H584" s="46" t="s">
        <v>2613</v>
      </c>
      <c r="I584" s="46" t="s">
        <v>2616</v>
      </c>
      <c r="J584" s="46" t="s">
        <v>2683</v>
      </c>
      <c r="K584" s="46" t="s">
        <v>3305</v>
      </c>
      <c r="L584" s="46">
        <v>38</v>
      </c>
    </row>
    <row r="585" spans="1:12" x14ac:dyDescent="0.3">
      <c r="A585" s="46" t="s">
        <v>594</v>
      </c>
      <c r="B585" s="46">
        <f>LEN(Table2[[#This Row],[Employee ID]])</f>
        <v>7</v>
      </c>
      <c r="C585" s="46" t="s">
        <v>1890</v>
      </c>
      <c r="D585" s="47">
        <v>22780</v>
      </c>
      <c r="E585" s="47">
        <v>37686</v>
      </c>
      <c r="F585" s="46" t="s">
        <v>2602</v>
      </c>
      <c r="G585" s="46">
        <v>30800</v>
      </c>
      <c r="H585" s="46" t="s">
        <v>2608</v>
      </c>
      <c r="I585" s="46" t="s">
        <v>2617</v>
      </c>
      <c r="J585" s="46" t="s">
        <v>3036</v>
      </c>
      <c r="K585" s="46" t="s">
        <v>3310</v>
      </c>
      <c r="L585" s="46">
        <v>22</v>
      </c>
    </row>
    <row r="586" spans="1:12" x14ac:dyDescent="0.3">
      <c r="A586" s="46" t="s">
        <v>595</v>
      </c>
      <c r="B586" s="46">
        <f>LEN(Table2[[#This Row],[Employee ID]])</f>
        <v>7</v>
      </c>
      <c r="C586" s="46" t="s">
        <v>1891</v>
      </c>
      <c r="D586" s="47">
        <v>27741</v>
      </c>
      <c r="E586" s="47">
        <v>42967</v>
      </c>
      <c r="F586" s="46" t="s">
        <v>2604</v>
      </c>
      <c r="G586" s="46">
        <v>56236</v>
      </c>
      <c r="H586" s="46" t="s">
        <v>2613</v>
      </c>
      <c r="I586" s="46" t="s">
        <v>2617</v>
      </c>
      <c r="J586" s="46" t="s">
        <v>3037</v>
      </c>
      <c r="K586" s="46" t="s">
        <v>3306</v>
      </c>
      <c r="L586" s="46">
        <v>8</v>
      </c>
    </row>
    <row r="587" spans="1:12" x14ac:dyDescent="0.3">
      <c r="A587" s="46" t="s">
        <v>596</v>
      </c>
      <c r="B587" s="46">
        <f>LEN(Table2[[#This Row],[Employee ID]])</f>
        <v>7</v>
      </c>
      <c r="C587" s="46" t="s">
        <v>1892</v>
      </c>
      <c r="D587" s="47">
        <v>24275</v>
      </c>
      <c r="E587" s="47">
        <v>34690</v>
      </c>
      <c r="F587" s="46" t="s">
        <v>2604</v>
      </c>
      <c r="G587" s="46">
        <v>143100</v>
      </c>
      <c r="H587" s="46" t="s">
        <v>2610</v>
      </c>
      <c r="I587" s="46" t="s">
        <v>2616</v>
      </c>
      <c r="J587" s="46" t="s">
        <v>3038</v>
      </c>
      <c r="K587" s="46" t="s">
        <v>3308</v>
      </c>
      <c r="L587" s="46">
        <v>31</v>
      </c>
    </row>
    <row r="588" spans="1:12" x14ac:dyDescent="0.3">
      <c r="A588" s="46" t="s">
        <v>597</v>
      </c>
      <c r="B588" s="46">
        <f>LEN(Table2[[#This Row],[Employee ID]])</f>
        <v>7</v>
      </c>
      <c r="C588" s="46" t="s">
        <v>1893</v>
      </c>
      <c r="D588" s="47">
        <v>30584</v>
      </c>
      <c r="E588" s="47">
        <v>41539</v>
      </c>
      <c r="F588" s="46" t="s">
        <v>2604</v>
      </c>
      <c r="G588" s="46">
        <v>110746</v>
      </c>
      <c r="H588" s="46" t="s">
        <v>2610</v>
      </c>
      <c r="I588" s="46" t="s">
        <v>2616</v>
      </c>
      <c r="J588" s="46" t="s">
        <v>3039</v>
      </c>
      <c r="K588" s="46" t="s">
        <v>3310</v>
      </c>
      <c r="L588" s="46">
        <v>12</v>
      </c>
    </row>
    <row r="589" spans="1:12" x14ac:dyDescent="0.3">
      <c r="A589" s="46" t="s">
        <v>598</v>
      </c>
      <c r="B589" s="46">
        <f>LEN(Table2[[#This Row],[Employee ID]])</f>
        <v>7</v>
      </c>
      <c r="C589" s="46" t="s">
        <v>1894</v>
      </c>
      <c r="D589" s="47">
        <v>36587</v>
      </c>
      <c r="E589" s="47">
        <v>30469</v>
      </c>
      <c r="F589" s="46" t="s">
        <v>2604</v>
      </c>
      <c r="G589" s="46">
        <v>186509</v>
      </c>
      <c r="H589" s="46" t="s">
        <v>2611</v>
      </c>
      <c r="I589" s="46" t="s">
        <v>2616</v>
      </c>
      <c r="J589" s="46" t="s">
        <v>3040</v>
      </c>
      <c r="K589" s="46" t="s">
        <v>3305</v>
      </c>
      <c r="L589" s="46">
        <v>42</v>
      </c>
    </row>
    <row r="590" spans="1:12" x14ac:dyDescent="0.3">
      <c r="A590" s="46" t="s">
        <v>599</v>
      </c>
      <c r="B590" s="46">
        <f>LEN(Table2[[#This Row],[Employee ID]])</f>
        <v>7</v>
      </c>
      <c r="C590" s="46" t="s">
        <v>1895</v>
      </c>
      <c r="D590" s="47">
        <v>32569</v>
      </c>
      <c r="E590" s="47">
        <v>28446</v>
      </c>
      <c r="F590" s="46" t="s">
        <v>2603</v>
      </c>
      <c r="G590" s="46">
        <v>160985</v>
      </c>
      <c r="H590" s="46" t="s">
        <v>2608</v>
      </c>
      <c r="I590" s="46" t="s">
        <v>2616</v>
      </c>
      <c r="J590" s="46" t="s">
        <v>2820</v>
      </c>
      <c r="K590" s="46" t="s">
        <v>3305</v>
      </c>
      <c r="L590" s="46">
        <v>48</v>
      </c>
    </row>
    <row r="591" spans="1:12" x14ac:dyDescent="0.3">
      <c r="A591" s="46" t="s">
        <v>600</v>
      </c>
      <c r="B591" s="46">
        <f>LEN(Table2[[#This Row],[Employee ID]])</f>
        <v>7</v>
      </c>
      <c r="C591" s="46" t="s">
        <v>1896</v>
      </c>
      <c r="D591" s="47">
        <v>32864</v>
      </c>
      <c r="E591" s="47">
        <v>42151</v>
      </c>
      <c r="F591" s="46" t="s">
        <v>2603</v>
      </c>
      <c r="G591" s="46">
        <v>63819</v>
      </c>
      <c r="H591" s="46" t="s">
        <v>2609</v>
      </c>
      <c r="I591" s="46" t="s">
        <v>2616</v>
      </c>
      <c r="J591" s="46" t="s">
        <v>3041</v>
      </c>
      <c r="K591" s="46" t="s">
        <v>3308</v>
      </c>
      <c r="L591" s="46">
        <v>10</v>
      </c>
    </row>
    <row r="592" spans="1:12" x14ac:dyDescent="0.3">
      <c r="A592" s="46" t="s">
        <v>601</v>
      </c>
      <c r="B592" s="46">
        <f>LEN(Table2[[#This Row],[Employee ID]])</f>
        <v>7</v>
      </c>
      <c r="C592" s="46" t="s">
        <v>1897</v>
      </c>
      <c r="D592" s="47">
        <v>32989</v>
      </c>
      <c r="E592" s="47">
        <v>41208</v>
      </c>
      <c r="F592" s="46" t="s">
        <v>2604</v>
      </c>
      <c r="G592" s="46">
        <v>40364</v>
      </c>
      <c r="H592" s="46" t="s">
        <v>2606</v>
      </c>
      <c r="I592" s="46" t="s">
        <v>2616</v>
      </c>
      <c r="J592" s="46" t="s">
        <v>3003</v>
      </c>
      <c r="K592" s="46" t="s">
        <v>3307</v>
      </c>
      <c r="L592" s="46">
        <v>13</v>
      </c>
    </row>
    <row r="593" spans="1:12" x14ac:dyDescent="0.3">
      <c r="A593" s="46" t="s">
        <v>602</v>
      </c>
      <c r="B593" s="46">
        <f>LEN(Table2[[#This Row],[Employee ID]])</f>
        <v>7</v>
      </c>
      <c r="C593" s="46" t="s">
        <v>1898</v>
      </c>
      <c r="D593" s="47">
        <v>26488</v>
      </c>
      <c r="E593" s="47">
        <v>44231</v>
      </c>
      <c r="F593" s="46" t="s">
        <v>2604</v>
      </c>
      <c r="G593" s="46">
        <v>105685</v>
      </c>
      <c r="H593" s="46" t="s">
        <v>2610</v>
      </c>
      <c r="I593" s="46" t="s">
        <v>2616</v>
      </c>
      <c r="J593" s="46" t="s">
        <v>3042</v>
      </c>
      <c r="K593" s="46" t="s">
        <v>3305</v>
      </c>
      <c r="L593" s="46">
        <v>4</v>
      </c>
    </row>
    <row r="594" spans="1:12" x14ac:dyDescent="0.3">
      <c r="A594" s="46" t="s">
        <v>603</v>
      </c>
      <c r="B594" s="46">
        <f>LEN(Table2[[#This Row],[Employee ID]])</f>
        <v>7</v>
      </c>
      <c r="C594" s="46" t="s">
        <v>1899</v>
      </c>
      <c r="D594" s="47">
        <v>22064</v>
      </c>
      <c r="E594" s="47">
        <v>31139</v>
      </c>
      <c r="F594" s="46" t="s">
        <v>2599</v>
      </c>
      <c r="G594" s="46">
        <v>154692</v>
      </c>
      <c r="H594" s="46" t="s">
        <v>2607</v>
      </c>
      <c r="I594" s="46" t="s">
        <v>2617</v>
      </c>
      <c r="J594" s="46" t="s">
        <v>3043</v>
      </c>
      <c r="K594" s="46" t="s">
        <v>3305</v>
      </c>
      <c r="L594" s="46">
        <v>40</v>
      </c>
    </row>
    <row r="595" spans="1:12" x14ac:dyDescent="0.3">
      <c r="A595" s="46" t="s">
        <v>604</v>
      </c>
      <c r="B595" s="46">
        <f>LEN(Table2[[#This Row],[Employee ID]])</f>
        <v>7</v>
      </c>
      <c r="C595" s="46" t="s">
        <v>1900</v>
      </c>
      <c r="D595" s="47">
        <v>26181</v>
      </c>
      <c r="E595" s="47">
        <v>38092</v>
      </c>
      <c r="F595" s="46" t="s">
        <v>2603</v>
      </c>
      <c r="G595" s="46">
        <v>181717</v>
      </c>
      <c r="H595" s="46" t="s">
        <v>2607</v>
      </c>
      <c r="I595" s="46" t="s">
        <v>2616</v>
      </c>
      <c r="J595" s="46" t="s">
        <v>2870</v>
      </c>
      <c r="K595" s="46" t="s">
        <v>3305</v>
      </c>
      <c r="L595" s="46">
        <v>21</v>
      </c>
    </row>
    <row r="596" spans="1:12" x14ac:dyDescent="0.3">
      <c r="A596" s="46" t="s">
        <v>605</v>
      </c>
      <c r="B596" s="46">
        <f>LEN(Table2[[#This Row],[Employee ID]])</f>
        <v>7</v>
      </c>
      <c r="C596" s="46" t="s">
        <v>1901</v>
      </c>
      <c r="D596" s="47">
        <v>28376</v>
      </c>
      <c r="E596" s="47">
        <v>35570</v>
      </c>
      <c r="F596" s="46" t="s">
        <v>2600</v>
      </c>
      <c r="G596" s="46">
        <v>103358</v>
      </c>
      <c r="H596" s="46" t="s">
        <v>2606</v>
      </c>
      <c r="I596" s="46" t="s">
        <v>2616</v>
      </c>
      <c r="J596" s="46" t="s">
        <v>3044</v>
      </c>
      <c r="K596" s="46" t="s">
        <v>3305</v>
      </c>
      <c r="L596" s="46">
        <v>28</v>
      </c>
    </row>
    <row r="597" spans="1:12" x14ac:dyDescent="0.3">
      <c r="A597" s="46" t="s">
        <v>606</v>
      </c>
      <c r="B597" s="46">
        <f>LEN(Table2[[#This Row],[Employee ID]])</f>
        <v>7</v>
      </c>
      <c r="C597" s="46" t="s">
        <v>1902</v>
      </c>
      <c r="D597" s="47">
        <v>23541</v>
      </c>
      <c r="E597" s="47">
        <v>44031</v>
      </c>
      <c r="F597" s="46" t="s">
        <v>2604</v>
      </c>
      <c r="G597" s="46">
        <v>189751</v>
      </c>
      <c r="H597" s="46" t="s">
        <v>2615</v>
      </c>
      <c r="I597" s="46" t="s">
        <v>2617</v>
      </c>
      <c r="J597" s="46" t="s">
        <v>2664</v>
      </c>
      <c r="K597" s="46" t="s">
        <v>3309</v>
      </c>
      <c r="L597" s="46">
        <v>5</v>
      </c>
    </row>
    <row r="598" spans="1:12" x14ac:dyDescent="0.3">
      <c r="A598" s="46" t="s">
        <v>607</v>
      </c>
      <c r="B598" s="46">
        <f>LEN(Table2[[#This Row],[Employee ID]])</f>
        <v>7</v>
      </c>
      <c r="C598" s="46" t="s">
        <v>1903</v>
      </c>
      <c r="D598" s="47">
        <v>34403</v>
      </c>
      <c r="E598" s="47">
        <v>40978</v>
      </c>
      <c r="F598" s="46" t="s">
        <v>2599</v>
      </c>
      <c r="G598" s="46">
        <v>147734</v>
      </c>
      <c r="H598" s="46" t="s">
        <v>2611</v>
      </c>
      <c r="I598" s="46" t="s">
        <v>2617</v>
      </c>
      <c r="J598" s="46" t="s">
        <v>3045</v>
      </c>
      <c r="K598" s="46" t="s">
        <v>3308</v>
      </c>
      <c r="L598" s="46">
        <v>13</v>
      </c>
    </row>
    <row r="599" spans="1:12" x14ac:dyDescent="0.3">
      <c r="A599" s="46" t="s">
        <v>608</v>
      </c>
      <c r="B599" s="46">
        <f>LEN(Table2[[#This Row],[Employee ID]])</f>
        <v>7</v>
      </c>
      <c r="C599" s="46" t="s">
        <v>1904</v>
      </c>
      <c r="D599" s="47">
        <v>36859</v>
      </c>
      <c r="E599" s="47">
        <v>29015</v>
      </c>
      <c r="F599" s="46" t="s">
        <v>2603</v>
      </c>
      <c r="G599" s="46">
        <v>189774</v>
      </c>
      <c r="H599" s="46" t="s">
        <v>2610</v>
      </c>
      <c r="I599" s="46" t="s">
        <v>2616</v>
      </c>
      <c r="J599" s="46" t="s">
        <v>3046</v>
      </c>
      <c r="K599" s="46" t="s">
        <v>3309</v>
      </c>
      <c r="L599" s="46">
        <v>46</v>
      </c>
    </row>
    <row r="600" spans="1:12" x14ac:dyDescent="0.3">
      <c r="A600" s="46" t="s">
        <v>609</v>
      </c>
      <c r="B600" s="46">
        <f>LEN(Table2[[#This Row],[Employee ID]])</f>
        <v>7</v>
      </c>
      <c r="C600" s="46" t="s">
        <v>1905</v>
      </c>
      <c r="D600" s="47">
        <v>36730</v>
      </c>
      <c r="E600" s="47">
        <v>43815</v>
      </c>
      <c r="F600" s="46" t="s">
        <v>2603</v>
      </c>
      <c r="G600" s="46">
        <v>56132</v>
      </c>
      <c r="H600" s="46" t="s">
        <v>2610</v>
      </c>
      <c r="I600" s="46" t="s">
        <v>2616</v>
      </c>
      <c r="J600" s="46" t="s">
        <v>3047</v>
      </c>
      <c r="K600" s="46" t="s">
        <v>3305</v>
      </c>
      <c r="L600" s="46">
        <v>6</v>
      </c>
    </row>
    <row r="601" spans="1:12" x14ac:dyDescent="0.3">
      <c r="A601" s="46" t="s">
        <v>610</v>
      </c>
      <c r="B601" s="46">
        <f>LEN(Table2[[#This Row],[Employee ID]])</f>
        <v>7</v>
      </c>
      <c r="C601" s="46" t="s">
        <v>1906</v>
      </c>
      <c r="D601" s="47">
        <v>31537</v>
      </c>
      <c r="E601" s="47">
        <v>27049</v>
      </c>
      <c r="F601" s="46" t="s">
        <v>2600</v>
      </c>
      <c r="G601" s="46">
        <v>182348</v>
      </c>
      <c r="H601" s="46" t="s">
        <v>2615</v>
      </c>
      <c r="I601" s="46" t="s">
        <v>2617</v>
      </c>
      <c r="J601" s="46" t="s">
        <v>3048</v>
      </c>
      <c r="K601" s="46" t="s">
        <v>3309</v>
      </c>
      <c r="L601" s="46">
        <v>51</v>
      </c>
    </row>
    <row r="602" spans="1:12" x14ac:dyDescent="0.3">
      <c r="A602" s="46" t="s">
        <v>611</v>
      </c>
      <c r="B602" s="46">
        <f>LEN(Table2[[#This Row],[Employee ID]])</f>
        <v>7</v>
      </c>
      <c r="C602" s="46" t="s">
        <v>1907</v>
      </c>
      <c r="D602" s="47">
        <v>27284</v>
      </c>
      <c r="E602" s="47">
        <v>37589</v>
      </c>
      <c r="F602" s="46" t="s">
        <v>2602</v>
      </c>
      <c r="G602" s="46">
        <v>169655</v>
      </c>
      <c r="H602" s="46" t="s">
        <v>2609</v>
      </c>
      <c r="I602" s="46" t="s">
        <v>2617</v>
      </c>
      <c r="J602" s="46" t="s">
        <v>3049</v>
      </c>
      <c r="K602" s="46" t="s">
        <v>3305</v>
      </c>
      <c r="L602" s="46">
        <v>23</v>
      </c>
    </row>
    <row r="603" spans="1:12" x14ac:dyDescent="0.3">
      <c r="A603" s="46" t="s">
        <v>612</v>
      </c>
      <c r="B603" s="46">
        <f>LEN(Table2[[#This Row],[Employee ID]])</f>
        <v>7</v>
      </c>
      <c r="C603" s="46" t="s">
        <v>1908</v>
      </c>
      <c r="D603" s="47">
        <v>23849</v>
      </c>
      <c r="E603" s="47">
        <v>40834</v>
      </c>
      <c r="F603" s="46" t="s">
        <v>2602</v>
      </c>
      <c r="G603" s="46">
        <v>111068</v>
      </c>
      <c r="H603" s="46" t="s">
        <v>2609</v>
      </c>
      <c r="I603" s="46" t="s">
        <v>2617</v>
      </c>
      <c r="J603" s="46" t="s">
        <v>2875</v>
      </c>
      <c r="K603" s="46" t="s">
        <v>3304</v>
      </c>
      <c r="L603" s="46">
        <v>14</v>
      </c>
    </row>
    <row r="604" spans="1:12" x14ac:dyDescent="0.3">
      <c r="A604" s="46" t="s">
        <v>613</v>
      </c>
      <c r="B604" s="46">
        <f>LEN(Table2[[#This Row],[Employee ID]])</f>
        <v>7</v>
      </c>
      <c r="C604" s="46" t="s">
        <v>1909</v>
      </c>
      <c r="D604" s="47">
        <v>36151</v>
      </c>
      <c r="E604" s="47">
        <v>44233</v>
      </c>
      <c r="F604" s="46" t="s">
        <v>2605</v>
      </c>
      <c r="G604" s="46">
        <v>89391</v>
      </c>
      <c r="H604" s="46" t="s">
        <v>2613</v>
      </c>
      <c r="I604" s="46" t="s">
        <v>2616</v>
      </c>
      <c r="J604" s="46" t="s">
        <v>3050</v>
      </c>
      <c r="K604" s="46" t="s">
        <v>3304</v>
      </c>
      <c r="L604" s="46">
        <v>4</v>
      </c>
    </row>
    <row r="605" spans="1:12" x14ac:dyDescent="0.3">
      <c r="A605" s="46" t="s">
        <v>614</v>
      </c>
      <c r="B605" s="46">
        <f>LEN(Table2[[#This Row],[Employee ID]])</f>
        <v>7</v>
      </c>
      <c r="C605" s="46" t="s">
        <v>1910</v>
      </c>
      <c r="D605" s="47">
        <v>30129</v>
      </c>
      <c r="E605" s="47">
        <v>26981</v>
      </c>
      <c r="F605" s="46" t="s">
        <v>2603</v>
      </c>
      <c r="G605" s="46">
        <v>80432</v>
      </c>
      <c r="H605" s="46" t="s">
        <v>2612</v>
      </c>
      <c r="I605" s="46" t="s">
        <v>2616</v>
      </c>
      <c r="J605" s="46" t="s">
        <v>2946</v>
      </c>
      <c r="K605" s="46" t="s">
        <v>3308</v>
      </c>
      <c r="L605" s="46">
        <v>52</v>
      </c>
    </row>
    <row r="606" spans="1:12" x14ac:dyDescent="0.3">
      <c r="A606" s="46" t="s">
        <v>615</v>
      </c>
      <c r="B606" s="46">
        <f>LEN(Table2[[#This Row],[Employee ID]])</f>
        <v>7</v>
      </c>
      <c r="C606" s="46" t="s">
        <v>1911</v>
      </c>
      <c r="D606" s="47">
        <v>21596</v>
      </c>
      <c r="E606" s="47">
        <v>44518</v>
      </c>
      <c r="F606" s="46" t="s">
        <v>2602</v>
      </c>
      <c r="G606" s="46">
        <v>111300</v>
      </c>
      <c r="H606" s="46" t="s">
        <v>2607</v>
      </c>
      <c r="I606" s="46" t="s">
        <v>2616</v>
      </c>
      <c r="J606" s="46" t="s">
        <v>3051</v>
      </c>
      <c r="K606" s="46" t="s">
        <v>3308</v>
      </c>
      <c r="L606" s="46">
        <v>4</v>
      </c>
    </row>
    <row r="607" spans="1:12" x14ac:dyDescent="0.3">
      <c r="A607" s="46" t="s">
        <v>616</v>
      </c>
      <c r="B607" s="46">
        <f>LEN(Table2[[#This Row],[Employee ID]])</f>
        <v>7</v>
      </c>
      <c r="C607" s="46" t="s">
        <v>1912</v>
      </c>
      <c r="D607" s="47">
        <v>23912</v>
      </c>
      <c r="E607" s="47">
        <v>27996</v>
      </c>
      <c r="F607" s="46" t="s">
        <v>2601</v>
      </c>
      <c r="G607" s="46">
        <v>198229</v>
      </c>
      <c r="H607" s="46" t="s">
        <v>2607</v>
      </c>
      <c r="I607" s="46" t="s">
        <v>2617</v>
      </c>
      <c r="J607" s="46" t="s">
        <v>2790</v>
      </c>
      <c r="K607" s="46" t="s">
        <v>3307</v>
      </c>
      <c r="L607" s="46">
        <v>49</v>
      </c>
    </row>
    <row r="608" spans="1:12" x14ac:dyDescent="0.3">
      <c r="A608" s="46" t="s">
        <v>617</v>
      </c>
      <c r="B608" s="46">
        <f>LEN(Table2[[#This Row],[Employee ID]])</f>
        <v>7</v>
      </c>
      <c r="C608" s="46" t="s">
        <v>1913</v>
      </c>
      <c r="D608" s="47">
        <v>25077</v>
      </c>
      <c r="E608" s="47">
        <v>41294</v>
      </c>
      <c r="F608" s="46" t="s">
        <v>2600</v>
      </c>
      <c r="G608" s="46">
        <v>159837</v>
      </c>
      <c r="H608" s="46" t="s">
        <v>2614</v>
      </c>
      <c r="I608" s="46" t="s">
        <v>2616</v>
      </c>
      <c r="J608" s="46" t="s">
        <v>3052</v>
      </c>
      <c r="K608" s="46" t="s">
        <v>3307</v>
      </c>
      <c r="L608" s="46">
        <v>12</v>
      </c>
    </row>
    <row r="609" spans="1:12" x14ac:dyDescent="0.3">
      <c r="A609" s="46" t="s">
        <v>618</v>
      </c>
      <c r="B609" s="46">
        <f>LEN(Table2[[#This Row],[Employee ID]])</f>
        <v>7</v>
      </c>
      <c r="C609" s="46" t="s">
        <v>1914</v>
      </c>
      <c r="D609" s="47">
        <v>25537</v>
      </c>
      <c r="E609" s="47">
        <v>30815</v>
      </c>
      <c r="F609" s="46" t="s">
        <v>2599</v>
      </c>
      <c r="G609" s="46">
        <v>95176</v>
      </c>
      <c r="H609" s="46" t="s">
        <v>2607</v>
      </c>
      <c r="I609" s="46" t="s">
        <v>2617</v>
      </c>
      <c r="J609" s="46" t="s">
        <v>2697</v>
      </c>
      <c r="K609" s="46" t="s">
        <v>3309</v>
      </c>
      <c r="L609" s="46">
        <v>41</v>
      </c>
    </row>
    <row r="610" spans="1:12" x14ac:dyDescent="0.3">
      <c r="A610" s="46" t="s">
        <v>619</v>
      </c>
      <c r="B610" s="46">
        <f>LEN(Table2[[#This Row],[Employee ID]])</f>
        <v>7</v>
      </c>
      <c r="C610" s="46" t="s">
        <v>1915</v>
      </c>
      <c r="D610" s="47">
        <v>21611</v>
      </c>
      <c r="E610" s="47">
        <v>36673</v>
      </c>
      <c r="F610" s="46" t="s">
        <v>2599</v>
      </c>
      <c r="G610" s="46">
        <v>67904</v>
      </c>
      <c r="H610" s="46" t="s">
        <v>2615</v>
      </c>
      <c r="I610" s="46" t="s">
        <v>2616</v>
      </c>
      <c r="J610" s="46" t="s">
        <v>2977</v>
      </c>
      <c r="K610" s="46" t="s">
        <v>3308</v>
      </c>
      <c r="L610" s="46">
        <v>25</v>
      </c>
    </row>
    <row r="611" spans="1:12" x14ac:dyDescent="0.3">
      <c r="A611" s="46" t="s">
        <v>620</v>
      </c>
      <c r="B611" s="46">
        <f>LEN(Table2[[#This Row],[Employee ID]])</f>
        <v>7</v>
      </c>
      <c r="C611" s="46" t="s">
        <v>1821</v>
      </c>
      <c r="D611" s="47">
        <v>35224</v>
      </c>
      <c r="E611" s="47">
        <v>32603</v>
      </c>
      <c r="F611" s="46" t="s">
        <v>2603</v>
      </c>
      <c r="G611" s="46">
        <v>162014</v>
      </c>
      <c r="H611" s="46" t="s">
        <v>2612</v>
      </c>
      <c r="I611" s="46" t="s">
        <v>2616</v>
      </c>
      <c r="J611" s="46" t="s">
        <v>3053</v>
      </c>
      <c r="K611" s="46" t="s">
        <v>3306</v>
      </c>
      <c r="L611" s="46">
        <v>36</v>
      </c>
    </row>
    <row r="612" spans="1:12" x14ac:dyDescent="0.3">
      <c r="A612" s="46" t="s">
        <v>621</v>
      </c>
      <c r="B612" s="46">
        <f>LEN(Table2[[#This Row],[Employee ID]])</f>
        <v>7</v>
      </c>
      <c r="C612" s="46" t="s">
        <v>1916</v>
      </c>
      <c r="D612" s="47">
        <v>37302</v>
      </c>
      <c r="E612" s="47">
        <v>32063</v>
      </c>
      <c r="F612" s="46" t="s">
        <v>2601</v>
      </c>
      <c r="G612" s="46">
        <v>162038</v>
      </c>
      <c r="H612" s="46" t="s">
        <v>2611</v>
      </c>
      <c r="I612" s="46" t="s">
        <v>2617</v>
      </c>
      <c r="J612" s="46" t="s">
        <v>2715</v>
      </c>
      <c r="K612" s="46" t="s">
        <v>3307</v>
      </c>
      <c r="L612" s="46">
        <v>38</v>
      </c>
    </row>
    <row r="613" spans="1:12" x14ac:dyDescent="0.3">
      <c r="A613" s="46" t="s">
        <v>622</v>
      </c>
      <c r="B613" s="46">
        <f>LEN(Table2[[#This Row],[Employee ID]])</f>
        <v>7</v>
      </c>
      <c r="C613" s="46" t="s">
        <v>1917</v>
      </c>
      <c r="D613" s="47">
        <v>34582</v>
      </c>
      <c r="E613" s="47">
        <v>41710</v>
      </c>
      <c r="F613" s="46" t="s">
        <v>2600</v>
      </c>
      <c r="G613" s="46">
        <v>88481</v>
      </c>
      <c r="H613" s="46" t="s">
        <v>2610</v>
      </c>
      <c r="I613" s="46" t="s">
        <v>2616</v>
      </c>
      <c r="J613" s="46" t="s">
        <v>3054</v>
      </c>
      <c r="K613" s="46" t="s">
        <v>3304</v>
      </c>
      <c r="L613" s="46">
        <v>11</v>
      </c>
    </row>
    <row r="614" spans="1:12" x14ac:dyDescent="0.3">
      <c r="A614" s="46" t="s">
        <v>623</v>
      </c>
      <c r="B614" s="46">
        <f>LEN(Table2[[#This Row],[Employee ID]])</f>
        <v>7</v>
      </c>
      <c r="C614" s="46" t="s">
        <v>1918</v>
      </c>
      <c r="D614" s="47">
        <v>30712</v>
      </c>
      <c r="E614" s="47">
        <v>37939</v>
      </c>
      <c r="F614" s="46" t="s">
        <v>2599</v>
      </c>
      <c r="G614" s="46">
        <v>152665</v>
      </c>
      <c r="H614" s="46" t="s">
        <v>2608</v>
      </c>
      <c r="I614" s="46" t="s">
        <v>2617</v>
      </c>
      <c r="J614" s="46" t="s">
        <v>3055</v>
      </c>
      <c r="K614" s="46" t="s">
        <v>3309</v>
      </c>
      <c r="L614" s="46">
        <v>22</v>
      </c>
    </row>
    <row r="615" spans="1:12" x14ac:dyDescent="0.3">
      <c r="A615" s="46" t="s">
        <v>624</v>
      </c>
      <c r="B615" s="46">
        <f>LEN(Table2[[#This Row],[Employee ID]])</f>
        <v>7</v>
      </c>
      <c r="C615" s="46" t="s">
        <v>1919</v>
      </c>
      <c r="D615" s="47">
        <v>36527</v>
      </c>
      <c r="E615" s="47">
        <v>28297</v>
      </c>
      <c r="F615" s="46" t="s">
        <v>2604</v>
      </c>
      <c r="G615" s="46">
        <v>107742</v>
      </c>
      <c r="H615" s="46" t="s">
        <v>2606</v>
      </c>
      <c r="I615" s="46" t="s">
        <v>2617</v>
      </c>
      <c r="J615" s="46" t="s">
        <v>3056</v>
      </c>
      <c r="K615" s="46" t="s">
        <v>3305</v>
      </c>
      <c r="L615" s="46">
        <v>48</v>
      </c>
    </row>
    <row r="616" spans="1:12" x14ac:dyDescent="0.3">
      <c r="A616" s="46" t="s">
        <v>625</v>
      </c>
      <c r="B616" s="46">
        <f>LEN(Table2[[#This Row],[Employee ID]])</f>
        <v>7</v>
      </c>
      <c r="C616" s="46" t="s">
        <v>1920</v>
      </c>
      <c r="D616" s="47">
        <v>23300</v>
      </c>
      <c r="E616" s="47">
        <v>34624</v>
      </c>
      <c r="F616" s="46" t="s">
        <v>2600</v>
      </c>
      <c r="G616" s="46">
        <v>30849</v>
      </c>
      <c r="H616" s="46" t="s">
        <v>2612</v>
      </c>
      <c r="I616" s="46" t="s">
        <v>2617</v>
      </c>
      <c r="J616" s="46" t="s">
        <v>3057</v>
      </c>
      <c r="K616" s="46" t="s">
        <v>3309</v>
      </c>
      <c r="L616" s="46">
        <v>31</v>
      </c>
    </row>
    <row r="617" spans="1:12" x14ac:dyDescent="0.3">
      <c r="A617" s="46" t="s">
        <v>626</v>
      </c>
      <c r="B617" s="46">
        <f>LEN(Table2[[#This Row],[Employee ID]])</f>
        <v>7</v>
      </c>
      <c r="C617" s="46" t="s">
        <v>1921</v>
      </c>
      <c r="D617" s="47">
        <v>37148</v>
      </c>
      <c r="E617" s="47">
        <v>27006</v>
      </c>
      <c r="F617" s="46" t="s">
        <v>2600</v>
      </c>
      <c r="G617" s="46">
        <v>163991</v>
      </c>
      <c r="H617" s="46" t="s">
        <v>2612</v>
      </c>
      <c r="I617" s="46" t="s">
        <v>2617</v>
      </c>
      <c r="J617" s="46" t="s">
        <v>2761</v>
      </c>
      <c r="K617" s="46" t="s">
        <v>3307</v>
      </c>
      <c r="L617" s="46">
        <v>52</v>
      </c>
    </row>
    <row r="618" spans="1:12" x14ac:dyDescent="0.3">
      <c r="A618" s="46" t="s">
        <v>627</v>
      </c>
      <c r="B618" s="46">
        <f>LEN(Table2[[#This Row],[Employee ID]])</f>
        <v>7</v>
      </c>
      <c r="C618" s="46" t="s">
        <v>1922</v>
      </c>
      <c r="D618" s="47">
        <v>29593</v>
      </c>
      <c r="E618" s="47">
        <v>35896</v>
      </c>
      <c r="F618" s="46" t="s">
        <v>2605</v>
      </c>
      <c r="G618" s="46">
        <v>173148</v>
      </c>
      <c r="H618" s="46" t="s">
        <v>2612</v>
      </c>
      <c r="I618" s="46" t="s">
        <v>2617</v>
      </c>
      <c r="J618" s="46" t="s">
        <v>3058</v>
      </c>
      <c r="K618" s="46" t="s">
        <v>3305</v>
      </c>
      <c r="L618" s="46">
        <v>27</v>
      </c>
    </row>
    <row r="619" spans="1:12" x14ac:dyDescent="0.3">
      <c r="A619" s="46" t="s">
        <v>628</v>
      </c>
      <c r="B619" s="46">
        <f>LEN(Table2[[#This Row],[Employee ID]])</f>
        <v>7</v>
      </c>
      <c r="C619" s="46" t="s">
        <v>1923</v>
      </c>
      <c r="D619" s="47">
        <v>30982</v>
      </c>
      <c r="E619" s="47">
        <v>42230</v>
      </c>
      <c r="F619" s="46" t="s">
        <v>2602</v>
      </c>
      <c r="G619" s="46">
        <v>85099</v>
      </c>
      <c r="H619" s="46" t="s">
        <v>2614</v>
      </c>
      <c r="I619" s="46" t="s">
        <v>2616</v>
      </c>
      <c r="J619" s="46" t="s">
        <v>3059</v>
      </c>
      <c r="K619" s="46" t="s">
        <v>3306</v>
      </c>
      <c r="L619" s="46">
        <v>10</v>
      </c>
    </row>
    <row r="620" spans="1:12" x14ac:dyDescent="0.3">
      <c r="A620" s="46" t="s">
        <v>629</v>
      </c>
      <c r="B620" s="46">
        <f>LEN(Table2[[#This Row],[Employee ID]])</f>
        <v>7</v>
      </c>
      <c r="C620" s="46" t="s">
        <v>1924</v>
      </c>
      <c r="D620" s="47">
        <v>26754</v>
      </c>
      <c r="E620" s="47">
        <v>43537</v>
      </c>
      <c r="F620" s="46" t="s">
        <v>2601</v>
      </c>
      <c r="G620" s="46">
        <v>70739</v>
      </c>
      <c r="H620" s="46" t="s">
        <v>2614</v>
      </c>
      <c r="I620" s="46" t="s">
        <v>2616</v>
      </c>
      <c r="J620" s="46" t="s">
        <v>2910</v>
      </c>
      <c r="K620" s="46" t="s">
        <v>3310</v>
      </c>
      <c r="L620" s="46">
        <v>6</v>
      </c>
    </row>
    <row r="621" spans="1:12" x14ac:dyDescent="0.3">
      <c r="A621" s="46" t="s">
        <v>630</v>
      </c>
      <c r="B621" s="46">
        <f>LEN(Table2[[#This Row],[Employee ID]])</f>
        <v>7</v>
      </c>
      <c r="C621" s="46" t="s">
        <v>1925</v>
      </c>
      <c r="D621" s="47">
        <v>26547</v>
      </c>
      <c r="E621" s="47">
        <v>41406</v>
      </c>
      <c r="F621" s="46" t="s">
        <v>2605</v>
      </c>
      <c r="G621" s="46">
        <v>140368</v>
      </c>
      <c r="H621" s="46" t="s">
        <v>2609</v>
      </c>
      <c r="I621" s="46" t="s">
        <v>2616</v>
      </c>
      <c r="J621" s="46" t="s">
        <v>3060</v>
      </c>
      <c r="K621" s="46" t="s">
        <v>3309</v>
      </c>
      <c r="L621" s="46">
        <v>12</v>
      </c>
    </row>
    <row r="622" spans="1:12" x14ac:dyDescent="0.3">
      <c r="A622" s="46" t="s">
        <v>631</v>
      </c>
      <c r="B622" s="46">
        <f>LEN(Table2[[#This Row],[Employee ID]])</f>
        <v>7</v>
      </c>
      <c r="C622" s="46" t="s">
        <v>1926</v>
      </c>
      <c r="D622" s="47">
        <v>25009</v>
      </c>
      <c r="E622" s="47">
        <v>29774</v>
      </c>
      <c r="F622" s="46" t="s">
        <v>2600</v>
      </c>
      <c r="G622" s="46">
        <v>79001</v>
      </c>
      <c r="H622" s="46" t="s">
        <v>2609</v>
      </c>
      <c r="I622" s="46" t="s">
        <v>2616</v>
      </c>
      <c r="J622" s="46" t="s">
        <v>3061</v>
      </c>
      <c r="K622" s="46" t="s">
        <v>3308</v>
      </c>
      <c r="L622" s="46">
        <v>44</v>
      </c>
    </row>
    <row r="623" spans="1:12" x14ac:dyDescent="0.3">
      <c r="A623" s="46" t="s">
        <v>632</v>
      </c>
      <c r="B623" s="46">
        <f>LEN(Table2[[#This Row],[Employee ID]])</f>
        <v>7</v>
      </c>
      <c r="C623" s="46" t="s">
        <v>1927</v>
      </c>
      <c r="D623" s="47">
        <v>25168</v>
      </c>
      <c r="E623" s="47">
        <v>38941</v>
      </c>
      <c r="F623" s="46" t="s">
        <v>2602</v>
      </c>
      <c r="G623" s="46">
        <v>180537</v>
      </c>
      <c r="H623" s="46" t="s">
        <v>2606</v>
      </c>
      <c r="I623" s="46" t="s">
        <v>2617</v>
      </c>
      <c r="J623" s="46" t="s">
        <v>2702</v>
      </c>
      <c r="K623" s="46" t="s">
        <v>3308</v>
      </c>
      <c r="L623" s="46">
        <v>19</v>
      </c>
    </row>
    <row r="624" spans="1:12" x14ac:dyDescent="0.3">
      <c r="A624" s="46" t="s">
        <v>633</v>
      </c>
      <c r="B624" s="46">
        <f>LEN(Table2[[#This Row],[Employee ID]])</f>
        <v>7</v>
      </c>
      <c r="C624" s="46" t="s">
        <v>1928</v>
      </c>
      <c r="D624" s="47">
        <v>28142</v>
      </c>
      <c r="E624" s="47">
        <v>39852</v>
      </c>
      <c r="F624" s="46" t="s">
        <v>2599</v>
      </c>
      <c r="G624" s="46">
        <v>24082</v>
      </c>
      <c r="H624" s="46" t="s">
        <v>2609</v>
      </c>
      <c r="I624" s="46" t="s">
        <v>2616</v>
      </c>
      <c r="J624" s="46" t="s">
        <v>3062</v>
      </c>
      <c r="K624" s="46" t="s">
        <v>3305</v>
      </c>
      <c r="L624" s="46">
        <v>16</v>
      </c>
    </row>
    <row r="625" spans="1:12" x14ac:dyDescent="0.3">
      <c r="A625" s="46" t="s">
        <v>634</v>
      </c>
      <c r="B625" s="46">
        <f>LEN(Table2[[#This Row],[Employee ID]])</f>
        <v>7</v>
      </c>
      <c r="C625" s="46" t="s">
        <v>1929</v>
      </c>
      <c r="D625" s="47">
        <v>23519</v>
      </c>
      <c r="E625" s="47">
        <v>27199</v>
      </c>
      <c r="F625" s="46" t="s">
        <v>2604</v>
      </c>
      <c r="G625" s="46">
        <v>56982</v>
      </c>
      <c r="H625" s="46" t="s">
        <v>2609</v>
      </c>
      <c r="I625" s="46" t="s">
        <v>2617</v>
      </c>
      <c r="J625" s="46" t="s">
        <v>3044</v>
      </c>
      <c r="K625" s="46" t="s">
        <v>3304</v>
      </c>
      <c r="L625" s="46">
        <v>51</v>
      </c>
    </row>
    <row r="626" spans="1:12" x14ac:dyDescent="0.3">
      <c r="A626" s="46" t="s">
        <v>635</v>
      </c>
      <c r="B626" s="46">
        <f>LEN(Table2[[#This Row],[Employee ID]])</f>
        <v>7</v>
      </c>
      <c r="C626" s="46" t="s">
        <v>1930</v>
      </c>
      <c r="D626" s="47">
        <v>27672</v>
      </c>
      <c r="E626" s="47">
        <v>35165</v>
      </c>
      <c r="F626" s="46" t="s">
        <v>2605</v>
      </c>
      <c r="G626" s="46">
        <v>130860</v>
      </c>
      <c r="H626" s="46" t="s">
        <v>2606</v>
      </c>
      <c r="I626" s="46" t="s">
        <v>2617</v>
      </c>
      <c r="J626" s="46" t="s">
        <v>2802</v>
      </c>
      <c r="K626" s="46" t="s">
        <v>3309</v>
      </c>
      <c r="L626" s="46">
        <v>29</v>
      </c>
    </row>
    <row r="627" spans="1:12" x14ac:dyDescent="0.3">
      <c r="A627" s="46" t="s">
        <v>636</v>
      </c>
      <c r="B627" s="46">
        <f>LEN(Table2[[#This Row],[Employee ID]])</f>
        <v>7</v>
      </c>
      <c r="C627" s="46" t="s">
        <v>1931</v>
      </c>
      <c r="D627" s="47">
        <v>29540</v>
      </c>
      <c r="E627" s="47">
        <v>39913</v>
      </c>
      <c r="F627" s="46" t="s">
        <v>2601</v>
      </c>
      <c r="G627" s="46">
        <v>173392</v>
      </c>
      <c r="H627" s="46" t="s">
        <v>2609</v>
      </c>
      <c r="I627" s="46" t="s">
        <v>2617</v>
      </c>
      <c r="J627" s="46" t="s">
        <v>3063</v>
      </c>
      <c r="K627" s="46" t="s">
        <v>3307</v>
      </c>
      <c r="L627" s="46">
        <v>16</v>
      </c>
    </row>
    <row r="628" spans="1:12" x14ac:dyDescent="0.3">
      <c r="A628" s="46" t="s">
        <v>637</v>
      </c>
      <c r="B628" s="46">
        <f>LEN(Table2[[#This Row],[Employee ID]])</f>
        <v>7</v>
      </c>
      <c r="C628" s="46" t="s">
        <v>1932</v>
      </c>
      <c r="D628" s="47">
        <v>30780</v>
      </c>
      <c r="E628" s="47">
        <v>42901</v>
      </c>
      <c r="F628" s="46" t="s">
        <v>2600</v>
      </c>
      <c r="G628" s="46">
        <v>126735</v>
      </c>
      <c r="H628" s="46" t="s">
        <v>2607</v>
      </c>
      <c r="I628" s="46" t="s">
        <v>2616</v>
      </c>
      <c r="J628" s="46" t="s">
        <v>2749</v>
      </c>
      <c r="K628" s="46" t="s">
        <v>3305</v>
      </c>
      <c r="L628" s="46">
        <v>8</v>
      </c>
    </row>
    <row r="629" spans="1:12" x14ac:dyDescent="0.3">
      <c r="A629" s="46" t="s">
        <v>638</v>
      </c>
      <c r="B629" s="46">
        <f>LEN(Table2[[#This Row],[Employee ID]])</f>
        <v>7</v>
      </c>
      <c r="C629" s="46" t="s">
        <v>1933</v>
      </c>
      <c r="D629" s="47">
        <v>26883</v>
      </c>
      <c r="E629" s="47">
        <v>43252</v>
      </c>
      <c r="F629" s="46" t="s">
        <v>2599</v>
      </c>
      <c r="G629" s="46">
        <v>62737</v>
      </c>
      <c r="H629" s="46" t="s">
        <v>2606</v>
      </c>
      <c r="I629" s="46" t="s">
        <v>2616</v>
      </c>
      <c r="J629" s="46" t="s">
        <v>3064</v>
      </c>
      <c r="K629" s="46" t="s">
        <v>3305</v>
      </c>
      <c r="L629" s="46">
        <v>7</v>
      </c>
    </row>
    <row r="630" spans="1:12" x14ac:dyDescent="0.3">
      <c r="A630" s="46" t="s">
        <v>639</v>
      </c>
      <c r="B630" s="46">
        <f>LEN(Table2[[#This Row],[Employee ID]])</f>
        <v>7</v>
      </c>
      <c r="C630" s="46" t="s">
        <v>1934</v>
      </c>
      <c r="D630" s="47">
        <v>24581</v>
      </c>
      <c r="E630" s="47">
        <v>30943</v>
      </c>
      <c r="F630" s="46" t="s">
        <v>2604</v>
      </c>
      <c r="G630" s="46">
        <v>140320</v>
      </c>
      <c r="H630" s="46" t="s">
        <v>2606</v>
      </c>
      <c r="I630" s="46" t="s">
        <v>2617</v>
      </c>
      <c r="J630" s="46" t="s">
        <v>3065</v>
      </c>
      <c r="K630" s="46" t="s">
        <v>3309</v>
      </c>
      <c r="L630" s="46">
        <v>41</v>
      </c>
    </row>
    <row r="631" spans="1:12" x14ac:dyDescent="0.3">
      <c r="A631" s="46" t="s">
        <v>640</v>
      </c>
      <c r="B631" s="46">
        <f>LEN(Table2[[#This Row],[Employee ID]])</f>
        <v>7</v>
      </c>
      <c r="C631" s="46" t="s">
        <v>1935</v>
      </c>
      <c r="D631" s="47">
        <v>31118</v>
      </c>
      <c r="E631" s="47">
        <v>41400</v>
      </c>
      <c r="F631" s="46" t="s">
        <v>2605</v>
      </c>
      <c r="G631" s="46">
        <v>175614</v>
      </c>
      <c r="H631" s="46" t="s">
        <v>2612</v>
      </c>
      <c r="I631" s="46" t="s">
        <v>2617</v>
      </c>
      <c r="J631" s="46" t="s">
        <v>2802</v>
      </c>
      <c r="K631" s="46" t="s">
        <v>3306</v>
      </c>
      <c r="L631" s="46">
        <v>12</v>
      </c>
    </row>
    <row r="632" spans="1:12" x14ac:dyDescent="0.3">
      <c r="A632" s="46" t="s">
        <v>641</v>
      </c>
      <c r="B632" s="46">
        <f>LEN(Table2[[#This Row],[Employee ID]])</f>
        <v>7</v>
      </c>
      <c r="C632" s="46" t="s">
        <v>1936</v>
      </c>
      <c r="D632" s="47">
        <v>31135</v>
      </c>
      <c r="E632" s="47">
        <v>32325</v>
      </c>
      <c r="F632" s="46" t="s">
        <v>2602</v>
      </c>
      <c r="G632" s="46">
        <v>26204</v>
      </c>
      <c r="H632" s="46" t="s">
        <v>2608</v>
      </c>
      <c r="I632" s="46" t="s">
        <v>2616</v>
      </c>
      <c r="J632" s="46" t="s">
        <v>3066</v>
      </c>
      <c r="K632" s="46" t="s">
        <v>3306</v>
      </c>
      <c r="L632" s="46">
        <v>37</v>
      </c>
    </row>
    <row r="633" spans="1:12" x14ac:dyDescent="0.3">
      <c r="A633" s="46" t="s">
        <v>642</v>
      </c>
      <c r="B633" s="46">
        <f>LEN(Table2[[#This Row],[Employee ID]])</f>
        <v>7</v>
      </c>
      <c r="C633" s="46" t="s">
        <v>1937</v>
      </c>
      <c r="D633" s="47">
        <v>27556</v>
      </c>
      <c r="E633" s="47">
        <v>28159</v>
      </c>
      <c r="F633" s="46" t="s">
        <v>2605</v>
      </c>
      <c r="G633" s="46">
        <v>71197</v>
      </c>
      <c r="H633" s="46" t="s">
        <v>2610</v>
      </c>
      <c r="I633" s="46" t="s">
        <v>2617</v>
      </c>
      <c r="J633" s="46" t="s">
        <v>3067</v>
      </c>
      <c r="K633" s="46" t="s">
        <v>3305</v>
      </c>
      <c r="L633" s="46">
        <v>48</v>
      </c>
    </row>
    <row r="634" spans="1:12" x14ac:dyDescent="0.3">
      <c r="A634" s="46" t="s">
        <v>643</v>
      </c>
      <c r="B634" s="46">
        <f>LEN(Table2[[#This Row],[Employee ID]])</f>
        <v>7</v>
      </c>
      <c r="C634" s="46" t="s">
        <v>1938</v>
      </c>
      <c r="D634" s="47">
        <v>23106</v>
      </c>
      <c r="E634" s="47">
        <v>34132</v>
      </c>
      <c r="F634" s="46" t="s">
        <v>2601</v>
      </c>
      <c r="G634" s="46">
        <v>175266</v>
      </c>
      <c r="H634" s="46" t="s">
        <v>2613</v>
      </c>
      <c r="I634" s="46" t="s">
        <v>2617</v>
      </c>
      <c r="J634" s="46" t="s">
        <v>2878</v>
      </c>
      <c r="K634" s="46" t="s">
        <v>3308</v>
      </c>
      <c r="L634" s="46">
        <v>32</v>
      </c>
    </row>
    <row r="635" spans="1:12" x14ac:dyDescent="0.3">
      <c r="A635" s="46" t="s">
        <v>644</v>
      </c>
      <c r="B635" s="46">
        <f>LEN(Table2[[#This Row],[Employee ID]])</f>
        <v>7</v>
      </c>
      <c r="C635" s="46" t="s">
        <v>1939</v>
      </c>
      <c r="D635" s="47">
        <v>36208</v>
      </c>
      <c r="E635" s="47">
        <v>39537</v>
      </c>
      <c r="F635" s="46" t="s">
        <v>2604</v>
      </c>
      <c r="G635" s="46">
        <v>144230</v>
      </c>
      <c r="H635" s="46" t="s">
        <v>2613</v>
      </c>
      <c r="I635" s="46" t="s">
        <v>2617</v>
      </c>
      <c r="J635" s="46" t="s">
        <v>3068</v>
      </c>
      <c r="K635" s="46" t="s">
        <v>3307</v>
      </c>
      <c r="L635" s="46">
        <v>17</v>
      </c>
    </row>
    <row r="636" spans="1:12" x14ac:dyDescent="0.3">
      <c r="A636" s="46" t="s">
        <v>645</v>
      </c>
      <c r="B636" s="46">
        <f>LEN(Table2[[#This Row],[Employee ID]])</f>
        <v>7</v>
      </c>
      <c r="C636" s="46" t="s">
        <v>1940</v>
      </c>
      <c r="D636" s="47">
        <v>30506</v>
      </c>
      <c r="E636" s="47">
        <v>37045</v>
      </c>
      <c r="F636" s="46" t="s">
        <v>2604</v>
      </c>
      <c r="G636" s="46">
        <v>139540</v>
      </c>
      <c r="H636" s="46" t="s">
        <v>2611</v>
      </c>
      <c r="I636" s="46" t="s">
        <v>2617</v>
      </c>
      <c r="J636" s="46" t="s">
        <v>2828</v>
      </c>
      <c r="K636" s="46" t="s">
        <v>3307</v>
      </c>
      <c r="L636" s="46">
        <v>24</v>
      </c>
    </row>
    <row r="637" spans="1:12" x14ac:dyDescent="0.3">
      <c r="A637" s="46" t="s">
        <v>646</v>
      </c>
      <c r="B637" s="46">
        <f>LEN(Table2[[#This Row],[Employee ID]])</f>
        <v>7</v>
      </c>
      <c r="C637" s="46" t="s">
        <v>1941</v>
      </c>
      <c r="D637" s="47">
        <v>37613</v>
      </c>
      <c r="E637" s="47">
        <v>27124</v>
      </c>
      <c r="F637" s="46" t="s">
        <v>2604</v>
      </c>
      <c r="G637" s="46">
        <v>50363</v>
      </c>
      <c r="H637" s="46" t="s">
        <v>2612</v>
      </c>
      <c r="I637" s="46" t="s">
        <v>2616</v>
      </c>
      <c r="J637" s="46" t="s">
        <v>3069</v>
      </c>
      <c r="K637" s="46" t="s">
        <v>3307</v>
      </c>
      <c r="L637" s="46">
        <v>51</v>
      </c>
    </row>
    <row r="638" spans="1:12" x14ac:dyDescent="0.3">
      <c r="A638" s="46" t="s">
        <v>647</v>
      </c>
      <c r="B638" s="46">
        <f>LEN(Table2[[#This Row],[Employee ID]])</f>
        <v>7</v>
      </c>
      <c r="C638" s="46" t="s">
        <v>1942</v>
      </c>
      <c r="D638" s="47">
        <v>35167</v>
      </c>
      <c r="E638" s="47">
        <v>27082</v>
      </c>
      <c r="F638" s="46" t="s">
        <v>2603</v>
      </c>
      <c r="G638" s="46">
        <v>110143</v>
      </c>
      <c r="H638" s="46" t="s">
        <v>2607</v>
      </c>
      <c r="I638" s="46" t="s">
        <v>2617</v>
      </c>
      <c r="J638" s="46" t="s">
        <v>3070</v>
      </c>
      <c r="K638" s="46" t="s">
        <v>3304</v>
      </c>
      <c r="L638" s="46">
        <v>51</v>
      </c>
    </row>
    <row r="639" spans="1:12" x14ac:dyDescent="0.3">
      <c r="A639" s="46" t="s">
        <v>648</v>
      </c>
      <c r="B639" s="46">
        <f>LEN(Table2[[#This Row],[Employee ID]])</f>
        <v>7</v>
      </c>
      <c r="C639" s="46" t="s">
        <v>1943</v>
      </c>
      <c r="D639" s="47">
        <v>23266</v>
      </c>
      <c r="E639" s="47">
        <v>39920</v>
      </c>
      <c r="F639" s="46" t="s">
        <v>2602</v>
      </c>
      <c r="G639" s="46">
        <v>67339</v>
      </c>
      <c r="H639" s="46" t="s">
        <v>2615</v>
      </c>
      <c r="I639" s="46" t="s">
        <v>2616</v>
      </c>
      <c r="J639" s="46" t="s">
        <v>2727</v>
      </c>
      <c r="K639" s="46" t="s">
        <v>3304</v>
      </c>
      <c r="L639" s="46">
        <v>16</v>
      </c>
    </row>
    <row r="640" spans="1:12" x14ac:dyDescent="0.3">
      <c r="A640" s="46" t="s">
        <v>649</v>
      </c>
      <c r="B640" s="46">
        <f>LEN(Table2[[#This Row],[Employee ID]])</f>
        <v>7</v>
      </c>
      <c r="C640" s="46" t="s">
        <v>1944</v>
      </c>
      <c r="D640" s="47">
        <v>35838</v>
      </c>
      <c r="E640" s="47">
        <v>27210</v>
      </c>
      <c r="F640" s="46" t="s">
        <v>2600</v>
      </c>
      <c r="G640" s="46">
        <v>87440</v>
      </c>
      <c r="H640" s="46" t="s">
        <v>2607</v>
      </c>
      <c r="I640" s="46" t="s">
        <v>2616</v>
      </c>
      <c r="J640" s="46" t="s">
        <v>2765</v>
      </c>
      <c r="K640" s="46" t="s">
        <v>3307</v>
      </c>
      <c r="L640" s="46">
        <v>51</v>
      </c>
    </row>
    <row r="641" spans="1:12" x14ac:dyDescent="0.3">
      <c r="A641" s="46" t="s">
        <v>650</v>
      </c>
      <c r="B641" s="46">
        <f>LEN(Table2[[#This Row],[Employee ID]])</f>
        <v>7</v>
      </c>
      <c r="C641" s="46" t="s">
        <v>1945</v>
      </c>
      <c r="D641" s="47">
        <v>22088</v>
      </c>
      <c r="E641" s="47">
        <v>36047</v>
      </c>
      <c r="F641" s="46" t="s">
        <v>2603</v>
      </c>
      <c r="G641" s="46">
        <v>197647</v>
      </c>
      <c r="H641" s="46" t="s">
        <v>2614</v>
      </c>
      <c r="I641" s="46" t="s">
        <v>2616</v>
      </c>
      <c r="J641" s="46" t="s">
        <v>3049</v>
      </c>
      <c r="K641" s="46" t="s">
        <v>3309</v>
      </c>
      <c r="L641" s="46">
        <v>27</v>
      </c>
    </row>
    <row r="642" spans="1:12" x14ac:dyDescent="0.3">
      <c r="A642" s="46" t="s">
        <v>651</v>
      </c>
      <c r="B642" s="46">
        <f>LEN(Table2[[#This Row],[Employee ID]])</f>
        <v>7</v>
      </c>
      <c r="C642" s="46" t="s">
        <v>1946</v>
      </c>
      <c r="D642" s="47">
        <v>24713</v>
      </c>
      <c r="E642" s="47">
        <v>42272</v>
      </c>
      <c r="F642" s="46" t="s">
        <v>2599</v>
      </c>
      <c r="G642" s="46">
        <v>184823</v>
      </c>
      <c r="H642" s="46" t="s">
        <v>2606</v>
      </c>
      <c r="I642" s="46" t="s">
        <v>2617</v>
      </c>
      <c r="J642" s="46" t="s">
        <v>2794</v>
      </c>
      <c r="K642" s="46" t="s">
        <v>3305</v>
      </c>
      <c r="L642" s="46">
        <v>10</v>
      </c>
    </row>
    <row r="643" spans="1:12" x14ac:dyDescent="0.3">
      <c r="A643" s="46" t="s">
        <v>652</v>
      </c>
      <c r="B643" s="46">
        <f>LEN(Table2[[#This Row],[Employee ID]])</f>
        <v>7</v>
      </c>
      <c r="C643" s="46" t="s">
        <v>1947</v>
      </c>
      <c r="D643" s="47">
        <v>33147</v>
      </c>
      <c r="E643" s="47">
        <v>32081</v>
      </c>
      <c r="F643" s="46" t="s">
        <v>2603</v>
      </c>
      <c r="G643" s="46">
        <v>175061</v>
      </c>
      <c r="H643" s="46" t="s">
        <v>2610</v>
      </c>
      <c r="I643" s="46" t="s">
        <v>2617</v>
      </c>
      <c r="J643" s="46" t="s">
        <v>3071</v>
      </c>
      <c r="K643" s="46" t="s">
        <v>3309</v>
      </c>
      <c r="L643" s="46">
        <v>38</v>
      </c>
    </row>
    <row r="644" spans="1:12" x14ac:dyDescent="0.3">
      <c r="A644" s="46" t="s">
        <v>653</v>
      </c>
      <c r="B644" s="46">
        <f>LEN(Table2[[#This Row],[Employee ID]])</f>
        <v>7</v>
      </c>
      <c r="C644" s="46" t="s">
        <v>1948</v>
      </c>
      <c r="D644" s="47">
        <v>26572</v>
      </c>
      <c r="E644" s="47">
        <v>25948</v>
      </c>
      <c r="F644" s="46" t="s">
        <v>2599</v>
      </c>
      <c r="G644" s="46">
        <v>114459</v>
      </c>
      <c r="H644" s="46" t="s">
        <v>2613</v>
      </c>
      <c r="I644" s="46" t="s">
        <v>2616</v>
      </c>
      <c r="J644" s="46" t="s">
        <v>3072</v>
      </c>
      <c r="K644" s="46" t="s">
        <v>3304</v>
      </c>
      <c r="L644" s="46">
        <v>54</v>
      </c>
    </row>
    <row r="645" spans="1:12" x14ac:dyDescent="0.3">
      <c r="A645" s="46" t="s">
        <v>654</v>
      </c>
      <c r="B645" s="46">
        <f>LEN(Table2[[#This Row],[Employee ID]])</f>
        <v>7</v>
      </c>
      <c r="C645" s="46" t="s">
        <v>1949</v>
      </c>
      <c r="D645" s="47">
        <v>33195</v>
      </c>
      <c r="E645" s="47">
        <v>32660</v>
      </c>
      <c r="F645" s="46" t="s">
        <v>2599</v>
      </c>
      <c r="G645" s="46">
        <v>167988</v>
      </c>
      <c r="H645" s="46" t="s">
        <v>2610</v>
      </c>
      <c r="I645" s="46" t="s">
        <v>2616</v>
      </c>
      <c r="J645" s="46" t="s">
        <v>2747</v>
      </c>
      <c r="K645" s="46" t="s">
        <v>3309</v>
      </c>
      <c r="L645" s="46">
        <v>36</v>
      </c>
    </row>
    <row r="646" spans="1:12" x14ac:dyDescent="0.3">
      <c r="A646" s="46" t="s">
        <v>655</v>
      </c>
      <c r="B646" s="46">
        <f>LEN(Table2[[#This Row],[Employee ID]])</f>
        <v>7</v>
      </c>
      <c r="C646" s="46" t="s">
        <v>1950</v>
      </c>
      <c r="D646" s="47">
        <v>36493</v>
      </c>
      <c r="E646" s="47">
        <v>36373</v>
      </c>
      <c r="F646" s="46" t="s">
        <v>2605</v>
      </c>
      <c r="G646" s="46">
        <v>196967</v>
      </c>
      <c r="H646" s="46" t="s">
        <v>2615</v>
      </c>
      <c r="I646" s="46" t="s">
        <v>2617</v>
      </c>
      <c r="J646" s="46" t="s">
        <v>2765</v>
      </c>
      <c r="K646" s="46" t="s">
        <v>3307</v>
      </c>
      <c r="L646" s="46">
        <v>26</v>
      </c>
    </row>
    <row r="647" spans="1:12" x14ac:dyDescent="0.3">
      <c r="A647" s="46" t="s">
        <v>656</v>
      </c>
      <c r="B647" s="46">
        <f>LEN(Table2[[#This Row],[Employee ID]])</f>
        <v>7</v>
      </c>
      <c r="C647" s="46" t="s">
        <v>1951</v>
      </c>
      <c r="D647" s="47">
        <v>37309</v>
      </c>
      <c r="E647" s="47">
        <v>42179</v>
      </c>
      <c r="F647" s="46" t="s">
        <v>2599</v>
      </c>
      <c r="G647" s="46">
        <v>81630</v>
      </c>
      <c r="H647" s="46" t="s">
        <v>2612</v>
      </c>
      <c r="I647" s="46" t="s">
        <v>2617</v>
      </c>
      <c r="J647" s="46" t="s">
        <v>3073</v>
      </c>
      <c r="K647" s="46" t="s">
        <v>3307</v>
      </c>
      <c r="L647" s="46">
        <v>10</v>
      </c>
    </row>
    <row r="648" spans="1:12" x14ac:dyDescent="0.3">
      <c r="A648" s="46" t="s">
        <v>657</v>
      </c>
      <c r="B648" s="46">
        <f>LEN(Table2[[#This Row],[Employee ID]])</f>
        <v>7</v>
      </c>
      <c r="C648" s="46" t="s">
        <v>1952</v>
      </c>
      <c r="D648" s="47">
        <v>31807</v>
      </c>
      <c r="E648" s="47">
        <v>40655</v>
      </c>
      <c r="F648" s="46" t="s">
        <v>2602</v>
      </c>
      <c r="G648" s="46">
        <v>157596</v>
      </c>
      <c r="H648" s="46" t="s">
        <v>2610</v>
      </c>
      <c r="I648" s="46" t="s">
        <v>2617</v>
      </c>
      <c r="J648" s="46" t="s">
        <v>3074</v>
      </c>
      <c r="K648" s="46" t="s">
        <v>3309</v>
      </c>
      <c r="L648" s="46">
        <v>14</v>
      </c>
    </row>
    <row r="649" spans="1:12" x14ac:dyDescent="0.3">
      <c r="A649" s="46" t="s">
        <v>658</v>
      </c>
      <c r="B649" s="46">
        <f>LEN(Table2[[#This Row],[Employee ID]])</f>
        <v>7</v>
      </c>
      <c r="C649" s="46" t="s">
        <v>1953</v>
      </c>
      <c r="D649" s="47">
        <v>36311</v>
      </c>
      <c r="E649" s="47">
        <v>42478</v>
      </c>
      <c r="F649" s="46" t="s">
        <v>2600</v>
      </c>
      <c r="G649" s="46">
        <v>126669</v>
      </c>
      <c r="H649" s="46" t="s">
        <v>2613</v>
      </c>
      <c r="I649" s="46" t="s">
        <v>2616</v>
      </c>
      <c r="J649" s="46" t="s">
        <v>3073</v>
      </c>
      <c r="K649" s="46" t="s">
        <v>3307</v>
      </c>
      <c r="L649" s="46">
        <v>9</v>
      </c>
    </row>
    <row r="650" spans="1:12" x14ac:dyDescent="0.3">
      <c r="A650" s="46" t="s">
        <v>659</v>
      </c>
      <c r="B650" s="46">
        <f>LEN(Table2[[#This Row],[Employee ID]])</f>
        <v>7</v>
      </c>
      <c r="C650" s="46" t="s">
        <v>1954</v>
      </c>
      <c r="D650" s="47">
        <v>27625</v>
      </c>
      <c r="E650" s="47">
        <v>42472</v>
      </c>
      <c r="F650" s="46" t="s">
        <v>2601</v>
      </c>
      <c r="G650" s="46">
        <v>31476</v>
      </c>
      <c r="H650" s="46" t="s">
        <v>2607</v>
      </c>
      <c r="I650" s="46" t="s">
        <v>2616</v>
      </c>
      <c r="J650" s="46" t="s">
        <v>2701</v>
      </c>
      <c r="K650" s="46" t="s">
        <v>3306</v>
      </c>
      <c r="L650" s="46">
        <v>9</v>
      </c>
    </row>
    <row r="651" spans="1:12" x14ac:dyDescent="0.3">
      <c r="A651" s="46" t="s">
        <v>660</v>
      </c>
      <c r="B651" s="46">
        <f>LEN(Table2[[#This Row],[Employee ID]])</f>
        <v>7</v>
      </c>
      <c r="C651" s="46" t="s">
        <v>1955</v>
      </c>
      <c r="D651" s="47">
        <v>26852</v>
      </c>
      <c r="E651" s="47">
        <v>27600</v>
      </c>
      <c r="F651" s="46" t="s">
        <v>2601</v>
      </c>
      <c r="G651" s="46">
        <v>146871</v>
      </c>
      <c r="H651" s="46" t="s">
        <v>2610</v>
      </c>
      <c r="I651" s="46" t="s">
        <v>2616</v>
      </c>
      <c r="J651" s="46" t="s">
        <v>2631</v>
      </c>
      <c r="K651" s="46" t="s">
        <v>3305</v>
      </c>
      <c r="L651" s="46">
        <v>50</v>
      </c>
    </row>
    <row r="652" spans="1:12" x14ac:dyDescent="0.3">
      <c r="A652" s="46" t="s">
        <v>661</v>
      </c>
      <c r="B652" s="46">
        <f>LEN(Table2[[#This Row],[Employee ID]])</f>
        <v>7</v>
      </c>
      <c r="C652" s="46" t="s">
        <v>1956</v>
      </c>
      <c r="D652" s="47">
        <v>32585</v>
      </c>
      <c r="E652" s="47">
        <v>38175</v>
      </c>
      <c r="F652" s="46" t="s">
        <v>2600</v>
      </c>
      <c r="G652" s="46">
        <v>136024</v>
      </c>
      <c r="H652" s="46" t="s">
        <v>2606</v>
      </c>
      <c r="I652" s="46" t="s">
        <v>2616</v>
      </c>
      <c r="J652" s="46" t="s">
        <v>3075</v>
      </c>
      <c r="K652" s="46" t="s">
        <v>3304</v>
      </c>
      <c r="L652" s="46">
        <v>21</v>
      </c>
    </row>
    <row r="653" spans="1:12" x14ac:dyDescent="0.3">
      <c r="A653" s="46" t="s">
        <v>662</v>
      </c>
      <c r="B653" s="46">
        <f>LEN(Table2[[#This Row],[Employee ID]])</f>
        <v>7</v>
      </c>
      <c r="C653" s="46" t="s">
        <v>1957</v>
      </c>
      <c r="D653" s="47">
        <v>32181</v>
      </c>
      <c r="E653" s="47">
        <v>33154</v>
      </c>
      <c r="F653" s="46" t="s">
        <v>2604</v>
      </c>
      <c r="G653" s="46">
        <v>108135</v>
      </c>
      <c r="H653" s="46" t="s">
        <v>2609</v>
      </c>
      <c r="I653" s="46" t="s">
        <v>2616</v>
      </c>
      <c r="J653" s="46" t="s">
        <v>2805</v>
      </c>
      <c r="K653" s="46" t="s">
        <v>3307</v>
      </c>
      <c r="L653" s="46">
        <v>35</v>
      </c>
    </row>
    <row r="654" spans="1:12" x14ac:dyDescent="0.3">
      <c r="A654" s="46" t="s">
        <v>663</v>
      </c>
      <c r="B654" s="46">
        <f>LEN(Table2[[#This Row],[Employee ID]])</f>
        <v>7</v>
      </c>
      <c r="C654" s="46" t="s">
        <v>1958</v>
      </c>
      <c r="D654" s="47">
        <v>33861</v>
      </c>
      <c r="E654" s="47">
        <v>39457</v>
      </c>
      <c r="F654" s="46" t="s">
        <v>2604</v>
      </c>
      <c r="G654" s="46">
        <v>131250</v>
      </c>
      <c r="H654" s="46" t="s">
        <v>2610</v>
      </c>
      <c r="I654" s="46" t="s">
        <v>2617</v>
      </c>
      <c r="J654" s="46" t="s">
        <v>3076</v>
      </c>
      <c r="K654" s="46" t="s">
        <v>3304</v>
      </c>
      <c r="L654" s="46">
        <v>17</v>
      </c>
    </row>
    <row r="655" spans="1:12" x14ac:dyDescent="0.3">
      <c r="A655" s="46" t="s">
        <v>664</v>
      </c>
      <c r="B655" s="46">
        <f>LEN(Table2[[#This Row],[Employee ID]])</f>
        <v>7</v>
      </c>
      <c r="C655" s="46" t="s">
        <v>1959</v>
      </c>
      <c r="D655" s="47">
        <v>25596</v>
      </c>
      <c r="E655" s="47">
        <v>29696</v>
      </c>
      <c r="F655" s="46" t="s">
        <v>2600</v>
      </c>
      <c r="G655" s="46">
        <v>166056</v>
      </c>
      <c r="H655" s="46" t="s">
        <v>2614</v>
      </c>
      <c r="I655" s="46" t="s">
        <v>2616</v>
      </c>
      <c r="J655" s="46" t="s">
        <v>2637</v>
      </c>
      <c r="K655" s="46" t="s">
        <v>3309</v>
      </c>
      <c r="L655" s="46">
        <v>44</v>
      </c>
    </row>
    <row r="656" spans="1:12" x14ac:dyDescent="0.3">
      <c r="A656" s="46" t="s">
        <v>665</v>
      </c>
      <c r="B656" s="46">
        <f>LEN(Table2[[#This Row],[Employee ID]])</f>
        <v>7</v>
      </c>
      <c r="C656" s="46" t="s">
        <v>1960</v>
      </c>
      <c r="D656" s="47">
        <v>32428</v>
      </c>
      <c r="E656" s="47">
        <v>38724</v>
      </c>
      <c r="F656" s="46" t="s">
        <v>2605</v>
      </c>
      <c r="G656" s="46">
        <v>191701</v>
      </c>
      <c r="H656" s="46" t="s">
        <v>2610</v>
      </c>
      <c r="I656" s="46" t="s">
        <v>2617</v>
      </c>
      <c r="J656" s="46" t="s">
        <v>3052</v>
      </c>
      <c r="K656" s="46" t="s">
        <v>3305</v>
      </c>
      <c r="L656" s="46">
        <v>19</v>
      </c>
    </row>
    <row r="657" spans="1:12" x14ac:dyDescent="0.3">
      <c r="A657" s="46" t="s">
        <v>666</v>
      </c>
      <c r="B657" s="46">
        <f>LEN(Table2[[#This Row],[Employee ID]])</f>
        <v>7</v>
      </c>
      <c r="C657" s="46" t="s">
        <v>1961</v>
      </c>
      <c r="D657" s="47">
        <v>24000</v>
      </c>
      <c r="E657" s="47">
        <v>44197</v>
      </c>
      <c r="F657" s="46" t="s">
        <v>2603</v>
      </c>
      <c r="G657" s="46">
        <v>91347</v>
      </c>
      <c r="H657" s="46" t="s">
        <v>2607</v>
      </c>
      <c r="I657" s="46" t="s">
        <v>2617</v>
      </c>
      <c r="J657" s="46" t="s">
        <v>2657</v>
      </c>
      <c r="K657" s="46" t="s">
        <v>3305</v>
      </c>
      <c r="L657" s="46">
        <v>4</v>
      </c>
    </row>
    <row r="658" spans="1:12" x14ac:dyDescent="0.3">
      <c r="A658" s="46" t="s">
        <v>667</v>
      </c>
      <c r="B658" s="46">
        <f>LEN(Table2[[#This Row],[Employee ID]])</f>
        <v>7</v>
      </c>
      <c r="C658" s="46" t="s">
        <v>1962</v>
      </c>
      <c r="D658" s="47">
        <v>30973</v>
      </c>
      <c r="E658" s="47">
        <v>43677</v>
      </c>
      <c r="F658" s="46" t="s">
        <v>2601</v>
      </c>
      <c r="G658" s="46">
        <v>59445</v>
      </c>
      <c r="H658" s="46" t="s">
        <v>2611</v>
      </c>
      <c r="I658" s="46" t="s">
        <v>2617</v>
      </c>
      <c r="J658" s="46" t="s">
        <v>3077</v>
      </c>
      <c r="K658" s="46" t="s">
        <v>3310</v>
      </c>
      <c r="L658" s="46">
        <v>6</v>
      </c>
    </row>
    <row r="659" spans="1:12" x14ac:dyDescent="0.3">
      <c r="A659" s="46" t="s">
        <v>668</v>
      </c>
      <c r="B659" s="46">
        <f>LEN(Table2[[#This Row],[Employee ID]])</f>
        <v>7</v>
      </c>
      <c r="C659" s="46" t="s">
        <v>1963</v>
      </c>
      <c r="D659" s="47">
        <v>37566</v>
      </c>
      <c r="E659" s="47">
        <v>34870</v>
      </c>
      <c r="F659" s="46" t="s">
        <v>2604</v>
      </c>
      <c r="G659" s="46">
        <v>44660</v>
      </c>
      <c r="H659" s="46" t="s">
        <v>2607</v>
      </c>
      <c r="I659" s="46" t="s">
        <v>2616</v>
      </c>
      <c r="J659" s="46" t="s">
        <v>2664</v>
      </c>
      <c r="K659" s="46" t="s">
        <v>3308</v>
      </c>
      <c r="L659" s="46">
        <v>30</v>
      </c>
    </row>
    <row r="660" spans="1:12" x14ac:dyDescent="0.3">
      <c r="A660" s="46" t="s">
        <v>669</v>
      </c>
      <c r="B660" s="46">
        <f>LEN(Table2[[#This Row],[Employee ID]])</f>
        <v>7</v>
      </c>
      <c r="C660" s="46" t="s">
        <v>1964</v>
      </c>
      <c r="D660" s="47">
        <v>23977</v>
      </c>
      <c r="E660" s="47">
        <v>28664</v>
      </c>
      <c r="F660" s="46" t="s">
        <v>2603</v>
      </c>
      <c r="G660" s="46">
        <v>190280</v>
      </c>
      <c r="H660" s="46" t="s">
        <v>2608</v>
      </c>
      <c r="I660" s="46" t="s">
        <v>2617</v>
      </c>
      <c r="J660" s="46" t="s">
        <v>2906</v>
      </c>
      <c r="K660" s="46" t="s">
        <v>3310</v>
      </c>
      <c r="L660" s="46">
        <v>47</v>
      </c>
    </row>
    <row r="661" spans="1:12" x14ac:dyDescent="0.3">
      <c r="A661" s="46" t="s">
        <v>670</v>
      </c>
      <c r="B661" s="46">
        <f>LEN(Table2[[#This Row],[Employee ID]])</f>
        <v>7</v>
      </c>
      <c r="C661" s="46" t="s">
        <v>1965</v>
      </c>
      <c r="D661" s="47">
        <v>25473</v>
      </c>
      <c r="E661" s="47">
        <v>32604</v>
      </c>
      <c r="F661" s="46" t="s">
        <v>2600</v>
      </c>
      <c r="G661" s="46">
        <v>164348</v>
      </c>
      <c r="H661" s="46" t="s">
        <v>2615</v>
      </c>
      <c r="I661" s="46" t="s">
        <v>2616</v>
      </c>
      <c r="J661" s="46" t="s">
        <v>2876</v>
      </c>
      <c r="K661" s="46" t="s">
        <v>3310</v>
      </c>
      <c r="L661" s="46">
        <v>36</v>
      </c>
    </row>
    <row r="662" spans="1:12" x14ac:dyDescent="0.3">
      <c r="A662" s="46" t="s">
        <v>671</v>
      </c>
      <c r="B662" s="46">
        <f>LEN(Table2[[#This Row],[Employee ID]])</f>
        <v>7</v>
      </c>
      <c r="C662" s="46" t="s">
        <v>1966</v>
      </c>
      <c r="D662" s="47">
        <v>27997</v>
      </c>
      <c r="E662" s="47">
        <v>40472</v>
      </c>
      <c r="F662" s="46" t="s">
        <v>2601</v>
      </c>
      <c r="G662" s="46">
        <v>155208</v>
      </c>
      <c r="H662" s="46" t="s">
        <v>2614</v>
      </c>
      <c r="I662" s="46" t="s">
        <v>2616</v>
      </c>
      <c r="J662" s="46" t="s">
        <v>3078</v>
      </c>
      <c r="K662" s="46" t="s">
        <v>3310</v>
      </c>
      <c r="L662" s="46">
        <v>15</v>
      </c>
    </row>
    <row r="663" spans="1:12" x14ac:dyDescent="0.3">
      <c r="A663" s="46" t="s">
        <v>672</v>
      </c>
      <c r="B663" s="46">
        <f>LEN(Table2[[#This Row],[Employee ID]])</f>
        <v>7</v>
      </c>
      <c r="C663" s="46" t="s">
        <v>1967</v>
      </c>
      <c r="D663" s="47">
        <v>22272</v>
      </c>
      <c r="E663" s="47">
        <v>44160</v>
      </c>
      <c r="F663" s="46" t="s">
        <v>2604</v>
      </c>
      <c r="G663" s="46">
        <v>24766</v>
      </c>
      <c r="H663" s="46" t="s">
        <v>2614</v>
      </c>
      <c r="I663" s="46" t="s">
        <v>2617</v>
      </c>
      <c r="J663" s="46" t="s">
        <v>2927</v>
      </c>
      <c r="K663" s="46" t="s">
        <v>3304</v>
      </c>
      <c r="L663" s="46">
        <v>5</v>
      </c>
    </row>
    <row r="664" spans="1:12" x14ac:dyDescent="0.3">
      <c r="A664" s="46" t="s">
        <v>673</v>
      </c>
      <c r="B664" s="46">
        <f>LEN(Table2[[#This Row],[Employee ID]])</f>
        <v>7</v>
      </c>
      <c r="C664" s="46" t="s">
        <v>1968</v>
      </c>
      <c r="D664" s="47">
        <v>35080</v>
      </c>
      <c r="E664" s="47">
        <v>32543</v>
      </c>
      <c r="F664" s="46" t="s">
        <v>2605</v>
      </c>
      <c r="G664" s="46">
        <v>21391</v>
      </c>
      <c r="H664" s="46" t="s">
        <v>2612</v>
      </c>
      <c r="I664" s="46" t="s">
        <v>2616</v>
      </c>
      <c r="J664" s="46" t="s">
        <v>3079</v>
      </c>
      <c r="K664" s="46" t="s">
        <v>3308</v>
      </c>
      <c r="L664" s="46">
        <v>36</v>
      </c>
    </row>
    <row r="665" spans="1:12" x14ac:dyDescent="0.3">
      <c r="A665" s="46" t="s">
        <v>674</v>
      </c>
      <c r="B665" s="46">
        <f>LEN(Table2[[#This Row],[Employee ID]])</f>
        <v>7</v>
      </c>
      <c r="C665" s="46" t="s">
        <v>1969</v>
      </c>
      <c r="D665" s="47">
        <v>31100</v>
      </c>
      <c r="E665" s="47">
        <v>30609</v>
      </c>
      <c r="F665" s="46" t="s">
        <v>2599</v>
      </c>
      <c r="G665" s="46">
        <v>28194</v>
      </c>
      <c r="H665" s="46" t="s">
        <v>2606</v>
      </c>
      <c r="I665" s="46" t="s">
        <v>2617</v>
      </c>
      <c r="J665" s="46" t="s">
        <v>2953</v>
      </c>
      <c r="K665" s="46" t="s">
        <v>3305</v>
      </c>
      <c r="L665" s="46">
        <v>42</v>
      </c>
    </row>
    <row r="666" spans="1:12" x14ac:dyDescent="0.3">
      <c r="A666" s="46" t="s">
        <v>675</v>
      </c>
      <c r="B666" s="46">
        <f>LEN(Table2[[#This Row],[Employee ID]])</f>
        <v>7</v>
      </c>
      <c r="C666" s="46" t="s">
        <v>1970</v>
      </c>
      <c r="D666" s="47">
        <v>32045</v>
      </c>
      <c r="E666" s="47">
        <v>30022</v>
      </c>
      <c r="F666" s="46" t="s">
        <v>2604</v>
      </c>
      <c r="G666" s="46">
        <v>41829</v>
      </c>
      <c r="H666" s="46" t="s">
        <v>2609</v>
      </c>
      <c r="I666" s="46" t="s">
        <v>2617</v>
      </c>
      <c r="J666" s="46" t="s">
        <v>2690</v>
      </c>
      <c r="K666" s="46" t="s">
        <v>3309</v>
      </c>
      <c r="L666" s="46">
        <v>43</v>
      </c>
    </row>
    <row r="667" spans="1:12" x14ac:dyDescent="0.3">
      <c r="A667" s="46" t="s">
        <v>676</v>
      </c>
      <c r="B667" s="46">
        <f>LEN(Table2[[#This Row],[Employee ID]])</f>
        <v>7</v>
      </c>
      <c r="C667" s="46" t="s">
        <v>1971</v>
      </c>
      <c r="D667" s="47">
        <v>34507</v>
      </c>
      <c r="E667" s="47">
        <v>35009</v>
      </c>
      <c r="F667" s="46" t="s">
        <v>2605</v>
      </c>
      <c r="G667" s="46">
        <v>57851</v>
      </c>
      <c r="H667" s="46" t="s">
        <v>2607</v>
      </c>
      <c r="I667" s="46" t="s">
        <v>2617</v>
      </c>
      <c r="J667" s="46" t="s">
        <v>3080</v>
      </c>
      <c r="K667" s="46" t="s">
        <v>3308</v>
      </c>
      <c r="L667" s="46">
        <v>30</v>
      </c>
    </row>
    <row r="668" spans="1:12" x14ac:dyDescent="0.3">
      <c r="A668" s="46" t="s">
        <v>677</v>
      </c>
      <c r="B668" s="46">
        <f>LEN(Table2[[#This Row],[Employee ID]])</f>
        <v>7</v>
      </c>
      <c r="C668" s="46" t="s">
        <v>1972</v>
      </c>
      <c r="D668" s="47">
        <v>32993</v>
      </c>
      <c r="E668" s="47">
        <v>43731</v>
      </c>
      <c r="F668" s="46" t="s">
        <v>2605</v>
      </c>
      <c r="G668" s="46">
        <v>194247</v>
      </c>
      <c r="H668" s="46" t="s">
        <v>2607</v>
      </c>
      <c r="I668" s="46" t="s">
        <v>2617</v>
      </c>
      <c r="J668" s="46" t="s">
        <v>3081</v>
      </c>
      <c r="K668" s="46" t="s">
        <v>3308</v>
      </c>
      <c r="L668" s="46">
        <v>6</v>
      </c>
    </row>
    <row r="669" spans="1:12" x14ac:dyDescent="0.3">
      <c r="A669" s="46" t="s">
        <v>678</v>
      </c>
      <c r="B669" s="46">
        <f>LEN(Table2[[#This Row],[Employee ID]])</f>
        <v>7</v>
      </c>
      <c r="C669" s="46" t="s">
        <v>1973</v>
      </c>
      <c r="D669" s="47">
        <v>36480</v>
      </c>
      <c r="E669" s="47">
        <v>34845</v>
      </c>
      <c r="F669" s="46" t="s">
        <v>2602</v>
      </c>
      <c r="G669" s="46">
        <v>158948</v>
      </c>
      <c r="H669" s="46" t="s">
        <v>2610</v>
      </c>
      <c r="I669" s="46" t="s">
        <v>2616</v>
      </c>
      <c r="J669" s="46" t="s">
        <v>2925</v>
      </c>
      <c r="K669" s="46" t="s">
        <v>3310</v>
      </c>
      <c r="L669" s="46">
        <v>30</v>
      </c>
    </row>
    <row r="670" spans="1:12" x14ac:dyDescent="0.3">
      <c r="A670" s="46" t="s">
        <v>679</v>
      </c>
      <c r="B670" s="46">
        <f>LEN(Table2[[#This Row],[Employee ID]])</f>
        <v>7</v>
      </c>
      <c r="C670" s="46" t="s">
        <v>1974</v>
      </c>
      <c r="D670" s="47">
        <v>28319</v>
      </c>
      <c r="E670" s="47">
        <v>42990</v>
      </c>
      <c r="F670" s="46" t="s">
        <v>2605</v>
      </c>
      <c r="G670" s="46">
        <v>181689</v>
      </c>
      <c r="H670" s="46" t="s">
        <v>2606</v>
      </c>
      <c r="I670" s="46" t="s">
        <v>2616</v>
      </c>
      <c r="J670" s="46" t="s">
        <v>2710</v>
      </c>
      <c r="K670" s="46" t="s">
        <v>3308</v>
      </c>
      <c r="L670" s="46">
        <v>8</v>
      </c>
    </row>
    <row r="671" spans="1:12" x14ac:dyDescent="0.3">
      <c r="A671" s="46" t="s">
        <v>680</v>
      </c>
      <c r="B671" s="46">
        <f>LEN(Table2[[#This Row],[Employee ID]])</f>
        <v>7</v>
      </c>
      <c r="C671" s="46" t="s">
        <v>1975</v>
      </c>
      <c r="D671" s="47">
        <v>35591</v>
      </c>
      <c r="E671" s="47">
        <v>26963</v>
      </c>
      <c r="F671" s="46" t="s">
        <v>2602</v>
      </c>
      <c r="G671" s="46">
        <v>27472</v>
      </c>
      <c r="H671" s="46" t="s">
        <v>2608</v>
      </c>
      <c r="I671" s="46" t="s">
        <v>2616</v>
      </c>
      <c r="J671" s="46" t="s">
        <v>2839</v>
      </c>
      <c r="K671" s="46" t="s">
        <v>3306</v>
      </c>
      <c r="L671" s="46">
        <v>52</v>
      </c>
    </row>
    <row r="672" spans="1:12" x14ac:dyDescent="0.3">
      <c r="A672" s="46" t="s">
        <v>681</v>
      </c>
      <c r="B672" s="46">
        <f>LEN(Table2[[#This Row],[Employee ID]])</f>
        <v>7</v>
      </c>
      <c r="C672" s="46" t="s">
        <v>1976</v>
      </c>
      <c r="D672" s="47">
        <v>31480</v>
      </c>
      <c r="E672" s="47">
        <v>30121</v>
      </c>
      <c r="F672" s="46" t="s">
        <v>2602</v>
      </c>
      <c r="G672" s="46">
        <v>156192</v>
      </c>
      <c r="H672" s="46" t="s">
        <v>2609</v>
      </c>
      <c r="I672" s="46" t="s">
        <v>2616</v>
      </c>
      <c r="J672" s="46" t="s">
        <v>3082</v>
      </c>
      <c r="K672" s="46" t="s">
        <v>3307</v>
      </c>
      <c r="L672" s="46">
        <v>43</v>
      </c>
    </row>
    <row r="673" spans="1:12" x14ac:dyDescent="0.3">
      <c r="A673" s="46" t="s">
        <v>682</v>
      </c>
      <c r="B673" s="46">
        <f>LEN(Table2[[#This Row],[Employee ID]])</f>
        <v>7</v>
      </c>
      <c r="C673" s="46" t="s">
        <v>1977</v>
      </c>
      <c r="D673" s="47">
        <v>31086</v>
      </c>
      <c r="E673" s="47">
        <v>32440</v>
      </c>
      <c r="F673" s="46" t="s">
        <v>2605</v>
      </c>
      <c r="G673" s="46">
        <v>153147</v>
      </c>
      <c r="H673" s="46" t="s">
        <v>2615</v>
      </c>
      <c r="I673" s="46" t="s">
        <v>2617</v>
      </c>
      <c r="J673" s="46" t="s">
        <v>2627</v>
      </c>
      <c r="K673" s="46" t="s">
        <v>3309</v>
      </c>
      <c r="L673" s="46">
        <v>37</v>
      </c>
    </row>
    <row r="674" spans="1:12" x14ac:dyDescent="0.3">
      <c r="A674" s="46" t="s">
        <v>683</v>
      </c>
      <c r="B674" s="46">
        <f>LEN(Table2[[#This Row],[Employee ID]])</f>
        <v>7</v>
      </c>
      <c r="C674" s="46" t="s">
        <v>1978</v>
      </c>
      <c r="D674" s="47">
        <v>28473</v>
      </c>
      <c r="E674" s="47">
        <v>27431</v>
      </c>
      <c r="F674" s="46" t="s">
        <v>2600</v>
      </c>
      <c r="G674" s="46">
        <v>58070</v>
      </c>
      <c r="H674" s="46" t="s">
        <v>2608</v>
      </c>
      <c r="I674" s="46" t="s">
        <v>2616</v>
      </c>
      <c r="J674" s="46" t="s">
        <v>3083</v>
      </c>
      <c r="K674" s="46" t="s">
        <v>3310</v>
      </c>
      <c r="L674" s="46">
        <v>50</v>
      </c>
    </row>
    <row r="675" spans="1:12" x14ac:dyDescent="0.3">
      <c r="A675" s="46" t="s">
        <v>684</v>
      </c>
      <c r="B675" s="46">
        <f>LEN(Table2[[#This Row],[Employee ID]])</f>
        <v>7</v>
      </c>
      <c r="C675" s="46" t="s">
        <v>1979</v>
      </c>
      <c r="D675" s="47">
        <v>35304</v>
      </c>
      <c r="E675" s="47">
        <v>41220</v>
      </c>
      <c r="F675" s="46" t="s">
        <v>2601</v>
      </c>
      <c r="G675" s="46">
        <v>192542</v>
      </c>
      <c r="H675" s="46" t="s">
        <v>2612</v>
      </c>
      <c r="I675" s="46" t="s">
        <v>2616</v>
      </c>
      <c r="J675" s="46" t="s">
        <v>3084</v>
      </c>
      <c r="K675" s="46" t="s">
        <v>3304</v>
      </c>
      <c r="L675" s="46">
        <v>13</v>
      </c>
    </row>
    <row r="676" spans="1:12" x14ac:dyDescent="0.3">
      <c r="A676" s="46" t="s">
        <v>685</v>
      </c>
      <c r="B676" s="46">
        <f>LEN(Table2[[#This Row],[Employee ID]])</f>
        <v>7</v>
      </c>
      <c r="C676" s="46" t="s">
        <v>1980</v>
      </c>
      <c r="D676" s="47">
        <v>25944</v>
      </c>
      <c r="E676" s="47">
        <v>31681</v>
      </c>
      <c r="F676" s="46" t="s">
        <v>2603</v>
      </c>
      <c r="G676" s="46">
        <v>187789</v>
      </c>
      <c r="H676" s="46" t="s">
        <v>2611</v>
      </c>
      <c r="I676" s="46" t="s">
        <v>2616</v>
      </c>
      <c r="J676" s="46" t="s">
        <v>3085</v>
      </c>
      <c r="K676" s="46" t="s">
        <v>3305</v>
      </c>
      <c r="L676" s="46">
        <v>39</v>
      </c>
    </row>
    <row r="677" spans="1:12" x14ac:dyDescent="0.3">
      <c r="A677" s="46" t="s">
        <v>686</v>
      </c>
      <c r="B677" s="46">
        <f>LEN(Table2[[#This Row],[Employee ID]])</f>
        <v>7</v>
      </c>
      <c r="C677" s="46" t="s">
        <v>1981</v>
      </c>
      <c r="D677" s="47">
        <v>27325</v>
      </c>
      <c r="E677" s="47">
        <v>42816</v>
      </c>
      <c r="F677" s="46" t="s">
        <v>2602</v>
      </c>
      <c r="G677" s="46">
        <v>47765</v>
      </c>
      <c r="H677" s="46" t="s">
        <v>2607</v>
      </c>
      <c r="I677" s="46" t="s">
        <v>2617</v>
      </c>
      <c r="J677" s="46" t="s">
        <v>3086</v>
      </c>
      <c r="K677" s="46" t="s">
        <v>3307</v>
      </c>
      <c r="L677" s="46">
        <v>8</v>
      </c>
    </row>
    <row r="678" spans="1:12" x14ac:dyDescent="0.3">
      <c r="A678" s="46" t="s">
        <v>687</v>
      </c>
      <c r="B678" s="46">
        <f>LEN(Table2[[#This Row],[Employee ID]])</f>
        <v>7</v>
      </c>
      <c r="C678" s="46" t="s">
        <v>1982</v>
      </c>
      <c r="D678" s="47">
        <v>32265</v>
      </c>
      <c r="E678" s="47">
        <v>42364</v>
      </c>
      <c r="F678" s="46" t="s">
        <v>2602</v>
      </c>
      <c r="G678" s="46">
        <v>167034</v>
      </c>
      <c r="H678" s="46" t="s">
        <v>2615</v>
      </c>
      <c r="I678" s="46" t="s">
        <v>2616</v>
      </c>
      <c r="J678" s="46" t="s">
        <v>3063</v>
      </c>
      <c r="K678" s="46" t="s">
        <v>3307</v>
      </c>
      <c r="L678" s="46">
        <v>10</v>
      </c>
    </row>
    <row r="679" spans="1:12" x14ac:dyDescent="0.3">
      <c r="A679" s="46" t="s">
        <v>688</v>
      </c>
      <c r="B679" s="46">
        <f>LEN(Table2[[#This Row],[Employee ID]])</f>
        <v>7</v>
      </c>
      <c r="C679" s="46" t="s">
        <v>1983</v>
      </c>
      <c r="D679" s="47">
        <v>22921</v>
      </c>
      <c r="E679" s="47">
        <v>39417</v>
      </c>
      <c r="F679" s="46" t="s">
        <v>2600</v>
      </c>
      <c r="G679" s="46">
        <v>185949</v>
      </c>
      <c r="H679" s="46" t="s">
        <v>2613</v>
      </c>
      <c r="I679" s="46" t="s">
        <v>2616</v>
      </c>
      <c r="J679" s="46" t="s">
        <v>2681</v>
      </c>
      <c r="K679" s="46" t="s">
        <v>3307</v>
      </c>
      <c r="L679" s="46">
        <v>18</v>
      </c>
    </row>
    <row r="680" spans="1:12" x14ac:dyDescent="0.3">
      <c r="A680" s="46" t="s">
        <v>689</v>
      </c>
      <c r="B680" s="46">
        <f>LEN(Table2[[#This Row],[Employee ID]])</f>
        <v>7</v>
      </c>
      <c r="C680" s="46" t="s">
        <v>1984</v>
      </c>
      <c r="D680" s="47">
        <v>35671</v>
      </c>
      <c r="E680" s="47">
        <v>25709</v>
      </c>
      <c r="F680" s="46" t="s">
        <v>2605</v>
      </c>
      <c r="G680" s="46">
        <v>82540</v>
      </c>
      <c r="H680" s="46" t="s">
        <v>2606</v>
      </c>
      <c r="I680" s="46" t="s">
        <v>2617</v>
      </c>
      <c r="J680" s="46" t="s">
        <v>3087</v>
      </c>
      <c r="K680" s="46" t="s">
        <v>3307</v>
      </c>
      <c r="L680" s="46">
        <v>55</v>
      </c>
    </row>
    <row r="681" spans="1:12" x14ac:dyDescent="0.3">
      <c r="A681" s="46" t="s">
        <v>690</v>
      </c>
      <c r="B681" s="46">
        <f>LEN(Table2[[#This Row],[Employee ID]])</f>
        <v>7</v>
      </c>
      <c r="C681" s="46" t="s">
        <v>1985</v>
      </c>
      <c r="D681" s="47">
        <v>31855</v>
      </c>
      <c r="E681" s="47">
        <v>31074</v>
      </c>
      <c r="F681" s="46" t="s">
        <v>2599</v>
      </c>
      <c r="G681" s="46">
        <v>27995</v>
      </c>
      <c r="H681" s="46" t="s">
        <v>2614</v>
      </c>
      <c r="I681" s="46" t="s">
        <v>2617</v>
      </c>
      <c r="J681" s="46" t="s">
        <v>2768</v>
      </c>
      <c r="K681" s="46" t="s">
        <v>3305</v>
      </c>
      <c r="L681" s="46">
        <v>40</v>
      </c>
    </row>
    <row r="682" spans="1:12" x14ac:dyDescent="0.3">
      <c r="A682" s="46" t="s">
        <v>691</v>
      </c>
      <c r="B682" s="46">
        <f>LEN(Table2[[#This Row],[Employee ID]])</f>
        <v>7</v>
      </c>
      <c r="C682" s="46" t="s">
        <v>1986</v>
      </c>
      <c r="D682" s="47">
        <v>34445</v>
      </c>
      <c r="E682" s="47">
        <v>44160</v>
      </c>
      <c r="F682" s="46" t="s">
        <v>2605</v>
      </c>
      <c r="G682" s="46">
        <v>34879</v>
      </c>
      <c r="H682" s="46" t="s">
        <v>2608</v>
      </c>
      <c r="I682" s="46" t="s">
        <v>2617</v>
      </c>
      <c r="J682" s="46" t="s">
        <v>2756</v>
      </c>
      <c r="K682" s="46" t="s">
        <v>3309</v>
      </c>
      <c r="L682" s="46">
        <v>5</v>
      </c>
    </row>
    <row r="683" spans="1:12" x14ac:dyDescent="0.3">
      <c r="A683" s="46" t="s">
        <v>692</v>
      </c>
      <c r="B683" s="46">
        <f>LEN(Table2[[#This Row],[Employee ID]])</f>
        <v>7</v>
      </c>
      <c r="C683" s="46" t="s">
        <v>1987</v>
      </c>
      <c r="D683" s="47">
        <v>26168</v>
      </c>
      <c r="E683" s="47">
        <v>33114</v>
      </c>
      <c r="F683" s="46" t="s">
        <v>2600</v>
      </c>
      <c r="G683" s="46">
        <v>120072</v>
      </c>
      <c r="H683" s="46" t="s">
        <v>2608</v>
      </c>
      <c r="I683" s="46" t="s">
        <v>2616</v>
      </c>
      <c r="J683" s="46" t="s">
        <v>3088</v>
      </c>
      <c r="K683" s="46" t="s">
        <v>3308</v>
      </c>
      <c r="L683" s="46">
        <v>35</v>
      </c>
    </row>
    <row r="684" spans="1:12" x14ac:dyDescent="0.3">
      <c r="A684" s="46" t="s">
        <v>693</v>
      </c>
      <c r="B684" s="46">
        <f>LEN(Table2[[#This Row],[Employee ID]])</f>
        <v>7</v>
      </c>
      <c r="C684" s="46" t="s">
        <v>1988</v>
      </c>
      <c r="D684" s="47">
        <v>31789</v>
      </c>
      <c r="E684" s="47">
        <v>31619</v>
      </c>
      <c r="F684" s="46" t="s">
        <v>2599</v>
      </c>
      <c r="G684" s="46">
        <v>146385</v>
      </c>
      <c r="H684" s="46" t="s">
        <v>2608</v>
      </c>
      <c r="I684" s="46" t="s">
        <v>2616</v>
      </c>
      <c r="J684" s="46" t="s">
        <v>3089</v>
      </c>
      <c r="K684" s="46" t="s">
        <v>3308</v>
      </c>
      <c r="L684" s="46">
        <v>39</v>
      </c>
    </row>
    <row r="685" spans="1:12" x14ac:dyDescent="0.3">
      <c r="A685" s="46" t="s">
        <v>694</v>
      </c>
      <c r="B685" s="46">
        <f>LEN(Table2[[#This Row],[Employee ID]])</f>
        <v>7</v>
      </c>
      <c r="C685" s="46" t="s">
        <v>1989</v>
      </c>
      <c r="D685" s="47">
        <v>27878</v>
      </c>
      <c r="E685" s="47">
        <v>27524</v>
      </c>
      <c r="F685" s="46" t="s">
        <v>2605</v>
      </c>
      <c r="G685" s="46">
        <v>151939</v>
      </c>
      <c r="H685" s="46" t="s">
        <v>2613</v>
      </c>
      <c r="I685" s="46" t="s">
        <v>2617</v>
      </c>
      <c r="J685" s="46" t="s">
        <v>3090</v>
      </c>
      <c r="K685" s="46" t="s">
        <v>3309</v>
      </c>
      <c r="L685" s="46">
        <v>50</v>
      </c>
    </row>
    <row r="686" spans="1:12" x14ac:dyDescent="0.3">
      <c r="A686" s="46" t="s">
        <v>695</v>
      </c>
      <c r="B686" s="46">
        <f>LEN(Table2[[#This Row],[Employee ID]])</f>
        <v>7</v>
      </c>
      <c r="C686" s="46" t="s">
        <v>1990</v>
      </c>
      <c r="D686" s="47">
        <v>36535</v>
      </c>
      <c r="E686" s="47">
        <v>31945</v>
      </c>
      <c r="F686" s="46" t="s">
        <v>2601</v>
      </c>
      <c r="G686" s="46">
        <v>189293</v>
      </c>
      <c r="H686" s="46" t="s">
        <v>2607</v>
      </c>
      <c r="I686" s="46" t="s">
        <v>2616</v>
      </c>
      <c r="J686" s="46" t="s">
        <v>3091</v>
      </c>
      <c r="K686" s="46" t="s">
        <v>3310</v>
      </c>
      <c r="L686" s="46">
        <v>38</v>
      </c>
    </row>
    <row r="687" spans="1:12" x14ac:dyDescent="0.3">
      <c r="A687" s="46" t="s">
        <v>696</v>
      </c>
      <c r="B687" s="46">
        <f>LEN(Table2[[#This Row],[Employee ID]])</f>
        <v>7</v>
      </c>
      <c r="C687" s="46" t="s">
        <v>1991</v>
      </c>
      <c r="D687" s="47">
        <v>27484</v>
      </c>
      <c r="E687" s="47">
        <v>43906</v>
      </c>
      <c r="F687" s="46" t="s">
        <v>2601</v>
      </c>
      <c r="G687" s="46">
        <v>95332</v>
      </c>
      <c r="H687" s="46" t="s">
        <v>2611</v>
      </c>
      <c r="I687" s="46" t="s">
        <v>2617</v>
      </c>
      <c r="J687" s="46" t="s">
        <v>2780</v>
      </c>
      <c r="K687" s="46" t="s">
        <v>3308</v>
      </c>
      <c r="L687" s="46">
        <v>5</v>
      </c>
    </row>
    <row r="688" spans="1:12" x14ac:dyDescent="0.3">
      <c r="A688" s="46" t="s">
        <v>697</v>
      </c>
      <c r="B688" s="46">
        <f>LEN(Table2[[#This Row],[Employee ID]])</f>
        <v>7</v>
      </c>
      <c r="C688" s="46" t="s">
        <v>1992</v>
      </c>
      <c r="D688" s="47">
        <v>32611</v>
      </c>
      <c r="E688" s="47">
        <v>38109</v>
      </c>
      <c r="F688" s="46" t="s">
        <v>2605</v>
      </c>
      <c r="G688" s="46">
        <v>158878</v>
      </c>
      <c r="H688" s="46" t="s">
        <v>2608</v>
      </c>
      <c r="I688" s="46" t="s">
        <v>2616</v>
      </c>
      <c r="J688" s="46" t="s">
        <v>2710</v>
      </c>
      <c r="K688" s="46" t="s">
        <v>3307</v>
      </c>
      <c r="L688" s="46">
        <v>21</v>
      </c>
    </row>
    <row r="689" spans="1:12" x14ac:dyDescent="0.3">
      <c r="A689" s="46" t="s">
        <v>698</v>
      </c>
      <c r="B689" s="46">
        <f>LEN(Table2[[#This Row],[Employee ID]])</f>
        <v>7</v>
      </c>
      <c r="C689" s="46" t="s">
        <v>1993</v>
      </c>
      <c r="D689" s="47">
        <v>23888</v>
      </c>
      <c r="E689" s="47">
        <v>40385</v>
      </c>
      <c r="F689" s="46" t="s">
        <v>2603</v>
      </c>
      <c r="G689" s="46">
        <v>156965</v>
      </c>
      <c r="H689" s="46" t="s">
        <v>2613</v>
      </c>
      <c r="I689" s="46" t="s">
        <v>2616</v>
      </c>
      <c r="J689" s="46" t="s">
        <v>3092</v>
      </c>
      <c r="K689" s="46" t="s">
        <v>3306</v>
      </c>
      <c r="L689" s="46">
        <v>15</v>
      </c>
    </row>
    <row r="690" spans="1:12" x14ac:dyDescent="0.3">
      <c r="A690" s="46" t="s">
        <v>699</v>
      </c>
      <c r="B690" s="46">
        <f>LEN(Table2[[#This Row],[Employee ID]])</f>
        <v>7</v>
      </c>
      <c r="C690" s="46" t="s">
        <v>1994</v>
      </c>
      <c r="D690" s="47">
        <v>37021</v>
      </c>
      <c r="E690" s="47">
        <v>35132</v>
      </c>
      <c r="F690" s="46" t="s">
        <v>2605</v>
      </c>
      <c r="G690" s="46">
        <v>84433</v>
      </c>
      <c r="H690" s="46" t="s">
        <v>2615</v>
      </c>
      <c r="I690" s="46" t="s">
        <v>2616</v>
      </c>
      <c r="J690" s="46" t="s">
        <v>3005</v>
      </c>
      <c r="K690" s="46" t="s">
        <v>3305</v>
      </c>
      <c r="L690" s="46">
        <v>29</v>
      </c>
    </row>
    <row r="691" spans="1:12" x14ac:dyDescent="0.3">
      <c r="A691" s="46" t="s">
        <v>700</v>
      </c>
      <c r="B691" s="46">
        <f>LEN(Table2[[#This Row],[Employee ID]])</f>
        <v>7</v>
      </c>
      <c r="C691" s="46" t="s">
        <v>1995</v>
      </c>
      <c r="D691" s="47">
        <v>32825</v>
      </c>
      <c r="E691" s="47">
        <v>39773</v>
      </c>
      <c r="F691" s="46" t="s">
        <v>2602</v>
      </c>
      <c r="G691" s="46">
        <v>45619</v>
      </c>
      <c r="H691" s="46" t="s">
        <v>2611</v>
      </c>
      <c r="I691" s="46" t="s">
        <v>2617</v>
      </c>
      <c r="J691" s="46" t="s">
        <v>2981</v>
      </c>
      <c r="K691" s="46" t="s">
        <v>3307</v>
      </c>
      <c r="L691" s="46">
        <v>17</v>
      </c>
    </row>
    <row r="692" spans="1:12" x14ac:dyDescent="0.3">
      <c r="A692" s="46" t="s">
        <v>701</v>
      </c>
      <c r="B692" s="46">
        <f>LEN(Table2[[#This Row],[Employee ID]])</f>
        <v>7</v>
      </c>
      <c r="C692" s="46" t="s">
        <v>1996</v>
      </c>
      <c r="D692" s="47">
        <v>35974</v>
      </c>
      <c r="E692" s="47">
        <v>37182</v>
      </c>
      <c r="F692" s="46" t="s">
        <v>2601</v>
      </c>
      <c r="G692" s="46">
        <v>127297</v>
      </c>
      <c r="H692" s="46" t="s">
        <v>2613</v>
      </c>
      <c r="I692" s="46" t="s">
        <v>2616</v>
      </c>
      <c r="J692" s="46" t="s">
        <v>3093</v>
      </c>
      <c r="K692" s="46" t="s">
        <v>3308</v>
      </c>
      <c r="L692" s="46">
        <v>24</v>
      </c>
    </row>
    <row r="693" spans="1:12" x14ac:dyDescent="0.3">
      <c r="A693" s="46" t="s">
        <v>702</v>
      </c>
      <c r="B693" s="46">
        <f>LEN(Table2[[#This Row],[Employee ID]])</f>
        <v>7</v>
      </c>
      <c r="C693" s="46" t="s">
        <v>1997</v>
      </c>
      <c r="D693" s="47">
        <v>31185</v>
      </c>
      <c r="E693" s="47">
        <v>39623</v>
      </c>
      <c r="F693" s="46" t="s">
        <v>2600</v>
      </c>
      <c r="G693" s="46">
        <v>188052</v>
      </c>
      <c r="H693" s="46" t="s">
        <v>2615</v>
      </c>
      <c r="I693" s="46" t="s">
        <v>2617</v>
      </c>
      <c r="J693" s="46" t="s">
        <v>3094</v>
      </c>
      <c r="K693" s="46" t="s">
        <v>3306</v>
      </c>
      <c r="L693" s="46">
        <v>17</v>
      </c>
    </row>
    <row r="694" spans="1:12" x14ac:dyDescent="0.3">
      <c r="A694" s="46" t="s">
        <v>703</v>
      </c>
      <c r="B694" s="46">
        <f>LEN(Table2[[#This Row],[Employee ID]])</f>
        <v>7</v>
      </c>
      <c r="C694" s="46" t="s">
        <v>1998</v>
      </c>
      <c r="D694" s="47">
        <v>25504</v>
      </c>
      <c r="E694" s="47">
        <v>31648</v>
      </c>
      <c r="F694" s="46" t="s">
        <v>2604</v>
      </c>
      <c r="G694" s="46">
        <v>86401</v>
      </c>
      <c r="H694" s="46" t="s">
        <v>2610</v>
      </c>
      <c r="I694" s="46" t="s">
        <v>2617</v>
      </c>
      <c r="J694" s="46" t="s">
        <v>3095</v>
      </c>
      <c r="K694" s="46" t="s">
        <v>3308</v>
      </c>
      <c r="L694" s="46">
        <v>39</v>
      </c>
    </row>
    <row r="695" spans="1:12" x14ac:dyDescent="0.3">
      <c r="A695" s="46" t="s">
        <v>704</v>
      </c>
      <c r="B695" s="46">
        <f>LEN(Table2[[#This Row],[Employee ID]])</f>
        <v>7</v>
      </c>
      <c r="C695" s="46" t="s">
        <v>1999</v>
      </c>
      <c r="D695" s="47">
        <v>25480</v>
      </c>
      <c r="E695" s="47">
        <v>44057</v>
      </c>
      <c r="F695" s="46" t="s">
        <v>2601</v>
      </c>
      <c r="G695" s="46">
        <v>105665</v>
      </c>
      <c r="H695" s="46" t="s">
        <v>2614</v>
      </c>
      <c r="I695" s="46" t="s">
        <v>2616</v>
      </c>
      <c r="J695" s="46" t="s">
        <v>3096</v>
      </c>
      <c r="K695" s="46" t="s">
        <v>3305</v>
      </c>
      <c r="L695" s="46">
        <v>5</v>
      </c>
    </row>
    <row r="696" spans="1:12" x14ac:dyDescent="0.3">
      <c r="A696" s="46" t="s">
        <v>705</v>
      </c>
      <c r="B696" s="46">
        <f>LEN(Table2[[#This Row],[Employee ID]])</f>
        <v>7</v>
      </c>
      <c r="C696" s="46" t="s">
        <v>2000</v>
      </c>
      <c r="D696" s="47">
        <v>33874</v>
      </c>
      <c r="E696" s="47">
        <v>26499</v>
      </c>
      <c r="F696" s="46" t="s">
        <v>2604</v>
      </c>
      <c r="G696" s="46">
        <v>60928</v>
      </c>
      <c r="H696" s="46" t="s">
        <v>2615</v>
      </c>
      <c r="I696" s="46" t="s">
        <v>2616</v>
      </c>
      <c r="J696" s="46" t="s">
        <v>3097</v>
      </c>
      <c r="K696" s="46" t="s">
        <v>3304</v>
      </c>
      <c r="L696" s="46">
        <v>53</v>
      </c>
    </row>
    <row r="697" spans="1:12" x14ac:dyDescent="0.3">
      <c r="A697" s="46" t="s">
        <v>706</v>
      </c>
      <c r="B697" s="46">
        <f>LEN(Table2[[#This Row],[Employee ID]])</f>
        <v>7</v>
      </c>
      <c r="C697" s="46" t="s">
        <v>2001</v>
      </c>
      <c r="D697" s="47">
        <v>25115</v>
      </c>
      <c r="E697" s="47">
        <v>35629</v>
      </c>
      <c r="F697" s="46" t="s">
        <v>2599</v>
      </c>
      <c r="G697" s="46">
        <v>147190</v>
      </c>
      <c r="H697" s="46" t="s">
        <v>2610</v>
      </c>
      <c r="I697" s="46" t="s">
        <v>2616</v>
      </c>
      <c r="J697" s="46" t="s">
        <v>2655</v>
      </c>
      <c r="K697" s="46" t="s">
        <v>3305</v>
      </c>
      <c r="L697" s="46">
        <v>28</v>
      </c>
    </row>
    <row r="698" spans="1:12" x14ac:dyDescent="0.3">
      <c r="A698" s="46" t="s">
        <v>707</v>
      </c>
      <c r="B698" s="46">
        <f>LEN(Table2[[#This Row],[Employee ID]])</f>
        <v>7</v>
      </c>
      <c r="C698" s="46" t="s">
        <v>2002</v>
      </c>
      <c r="D698" s="47">
        <v>30188</v>
      </c>
      <c r="E698" s="47">
        <v>33771</v>
      </c>
      <c r="F698" s="46" t="s">
        <v>2605</v>
      </c>
      <c r="G698" s="46">
        <v>194442</v>
      </c>
      <c r="H698" s="46" t="s">
        <v>2606</v>
      </c>
      <c r="I698" s="46" t="s">
        <v>2616</v>
      </c>
      <c r="J698" s="46" t="s">
        <v>2874</v>
      </c>
      <c r="K698" s="46" t="s">
        <v>3309</v>
      </c>
      <c r="L698" s="46">
        <v>33</v>
      </c>
    </row>
    <row r="699" spans="1:12" x14ac:dyDescent="0.3">
      <c r="A699" s="46" t="s">
        <v>708</v>
      </c>
      <c r="B699" s="46">
        <f>LEN(Table2[[#This Row],[Employee ID]])</f>
        <v>7</v>
      </c>
      <c r="C699" s="46" t="s">
        <v>2003</v>
      </c>
      <c r="D699" s="47">
        <v>27010</v>
      </c>
      <c r="E699" s="47">
        <v>34241</v>
      </c>
      <c r="F699" s="46" t="s">
        <v>2600</v>
      </c>
      <c r="G699" s="46">
        <v>151751</v>
      </c>
      <c r="H699" s="46" t="s">
        <v>2613</v>
      </c>
      <c r="I699" s="46" t="s">
        <v>2617</v>
      </c>
      <c r="J699" s="46" t="s">
        <v>3098</v>
      </c>
      <c r="K699" s="46" t="s">
        <v>3304</v>
      </c>
      <c r="L699" s="46">
        <v>32</v>
      </c>
    </row>
    <row r="700" spans="1:12" x14ac:dyDescent="0.3">
      <c r="A700" s="46" t="s">
        <v>709</v>
      </c>
      <c r="B700" s="46">
        <f>LEN(Table2[[#This Row],[Employee ID]])</f>
        <v>7</v>
      </c>
      <c r="C700" s="46" t="s">
        <v>2004</v>
      </c>
      <c r="D700" s="47">
        <v>26668</v>
      </c>
      <c r="E700" s="47">
        <v>35810</v>
      </c>
      <c r="F700" s="46" t="s">
        <v>2605</v>
      </c>
      <c r="G700" s="46">
        <v>170449</v>
      </c>
      <c r="H700" s="46" t="s">
        <v>2612</v>
      </c>
      <c r="I700" s="46" t="s">
        <v>2617</v>
      </c>
      <c r="J700" s="46" t="s">
        <v>2874</v>
      </c>
      <c r="K700" s="46" t="s">
        <v>3307</v>
      </c>
      <c r="L700" s="46">
        <v>27</v>
      </c>
    </row>
    <row r="701" spans="1:12" x14ac:dyDescent="0.3">
      <c r="A701" s="46" t="s">
        <v>710</v>
      </c>
      <c r="B701" s="46">
        <f>LEN(Table2[[#This Row],[Employee ID]])</f>
        <v>7</v>
      </c>
      <c r="C701" s="46" t="s">
        <v>2005</v>
      </c>
      <c r="D701" s="47">
        <v>22079</v>
      </c>
      <c r="E701" s="47">
        <v>32602</v>
      </c>
      <c r="F701" s="46" t="s">
        <v>2604</v>
      </c>
      <c r="G701" s="46">
        <v>36772</v>
      </c>
      <c r="H701" s="46" t="s">
        <v>2607</v>
      </c>
      <c r="I701" s="46" t="s">
        <v>2616</v>
      </c>
      <c r="J701" s="46" t="s">
        <v>3003</v>
      </c>
      <c r="K701" s="46" t="s">
        <v>3304</v>
      </c>
      <c r="L701" s="46">
        <v>36</v>
      </c>
    </row>
    <row r="702" spans="1:12" x14ac:dyDescent="0.3">
      <c r="A702" s="46" t="s">
        <v>711</v>
      </c>
      <c r="B702" s="46">
        <f>LEN(Table2[[#This Row],[Employee ID]])</f>
        <v>7</v>
      </c>
      <c r="C702" s="46" t="s">
        <v>2006</v>
      </c>
      <c r="D702" s="47">
        <v>24114</v>
      </c>
      <c r="E702" s="47">
        <v>42952</v>
      </c>
      <c r="F702" s="46" t="s">
        <v>2601</v>
      </c>
      <c r="G702" s="46">
        <v>39095</v>
      </c>
      <c r="H702" s="46" t="s">
        <v>2607</v>
      </c>
      <c r="I702" s="46" t="s">
        <v>2617</v>
      </c>
      <c r="J702" s="46" t="s">
        <v>2879</v>
      </c>
      <c r="K702" s="46" t="s">
        <v>3308</v>
      </c>
      <c r="L702" s="46">
        <v>8</v>
      </c>
    </row>
    <row r="703" spans="1:12" x14ac:dyDescent="0.3">
      <c r="A703" s="46" t="s">
        <v>712</v>
      </c>
      <c r="B703" s="46">
        <f>LEN(Table2[[#This Row],[Employee ID]])</f>
        <v>7</v>
      </c>
      <c r="C703" s="46" t="s">
        <v>2007</v>
      </c>
      <c r="D703" s="47">
        <v>26628</v>
      </c>
      <c r="E703" s="47">
        <v>31406</v>
      </c>
      <c r="F703" s="46" t="s">
        <v>2601</v>
      </c>
      <c r="G703" s="46">
        <v>86640</v>
      </c>
      <c r="H703" s="46" t="s">
        <v>2608</v>
      </c>
      <c r="I703" s="46" t="s">
        <v>2617</v>
      </c>
      <c r="J703" s="46" t="s">
        <v>3099</v>
      </c>
      <c r="K703" s="46" t="s">
        <v>3308</v>
      </c>
      <c r="L703" s="46">
        <v>40</v>
      </c>
    </row>
    <row r="704" spans="1:12" x14ac:dyDescent="0.3">
      <c r="A704" s="46" t="s">
        <v>713</v>
      </c>
      <c r="B704" s="46">
        <f>LEN(Table2[[#This Row],[Employee ID]])</f>
        <v>7</v>
      </c>
      <c r="C704" s="46" t="s">
        <v>2008</v>
      </c>
      <c r="D704" s="47">
        <v>22735</v>
      </c>
      <c r="E704" s="47">
        <v>26514</v>
      </c>
      <c r="F704" s="46" t="s">
        <v>2602</v>
      </c>
      <c r="G704" s="46">
        <v>96426</v>
      </c>
      <c r="H704" s="46" t="s">
        <v>2609</v>
      </c>
      <c r="I704" s="46" t="s">
        <v>2617</v>
      </c>
      <c r="J704" s="46" t="s">
        <v>2659</v>
      </c>
      <c r="K704" s="46" t="s">
        <v>3304</v>
      </c>
      <c r="L704" s="46">
        <v>53</v>
      </c>
    </row>
    <row r="705" spans="1:12" x14ac:dyDescent="0.3">
      <c r="A705" s="46" t="s">
        <v>714</v>
      </c>
      <c r="B705" s="46">
        <f>LEN(Table2[[#This Row],[Employee ID]])</f>
        <v>7</v>
      </c>
      <c r="C705" s="46" t="s">
        <v>2009</v>
      </c>
      <c r="D705" s="47">
        <v>23012</v>
      </c>
      <c r="E705" s="47">
        <v>26366</v>
      </c>
      <c r="F705" s="46" t="s">
        <v>2599</v>
      </c>
      <c r="G705" s="46">
        <v>103855</v>
      </c>
      <c r="H705" s="46" t="s">
        <v>2613</v>
      </c>
      <c r="I705" s="46" t="s">
        <v>2616</v>
      </c>
      <c r="J705" s="46" t="s">
        <v>2786</v>
      </c>
      <c r="K705" s="46" t="s">
        <v>3306</v>
      </c>
      <c r="L705" s="46">
        <v>53</v>
      </c>
    </row>
    <row r="706" spans="1:12" x14ac:dyDescent="0.3">
      <c r="A706" s="46" t="s">
        <v>715</v>
      </c>
      <c r="B706" s="46">
        <f>LEN(Table2[[#This Row],[Employee ID]])</f>
        <v>7</v>
      </c>
      <c r="C706" s="46" t="s">
        <v>2010</v>
      </c>
      <c r="D706" s="47">
        <v>25309</v>
      </c>
      <c r="E706" s="47">
        <v>44422</v>
      </c>
      <c r="F706" s="46" t="s">
        <v>2601</v>
      </c>
      <c r="G706" s="46">
        <v>62201</v>
      </c>
      <c r="H706" s="46" t="s">
        <v>2610</v>
      </c>
      <c r="I706" s="46" t="s">
        <v>2617</v>
      </c>
      <c r="J706" s="46" t="s">
        <v>3100</v>
      </c>
      <c r="K706" s="46" t="s">
        <v>3306</v>
      </c>
      <c r="L706" s="46">
        <v>4</v>
      </c>
    </row>
    <row r="707" spans="1:12" x14ac:dyDescent="0.3">
      <c r="A707" s="46" t="s">
        <v>716</v>
      </c>
      <c r="B707" s="46">
        <f>LEN(Table2[[#This Row],[Employee ID]])</f>
        <v>7</v>
      </c>
      <c r="C707" s="46" t="s">
        <v>2011</v>
      </c>
      <c r="D707" s="47">
        <v>23741</v>
      </c>
      <c r="E707" s="47">
        <v>40003</v>
      </c>
      <c r="F707" s="46" t="s">
        <v>2605</v>
      </c>
      <c r="G707" s="46">
        <v>120888</v>
      </c>
      <c r="H707" s="46" t="s">
        <v>2607</v>
      </c>
      <c r="I707" s="46" t="s">
        <v>2617</v>
      </c>
      <c r="J707" s="46" t="s">
        <v>3101</v>
      </c>
      <c r="K707" s="46" t="s">
        <v>3307</v>
      </c>
      <c r="L707" s="46">
        <v>16</v>
      </c>
    </row>
    <row r="708" spans="1:12" x14ac:dyDescent="0.3">
      <c r="A708" s="46" t="s">
        <v>717</v>
      </c>
      <c r="B708" s="46">
        <f>LEN(Table2[[#This Row],[Employee ID]])</f>
        <v>7</v>
      </c>
      <c r="C708" s="46" t="s">
        <v>2012</v>
      </c>
      <c r="D708" s="47">
        <v>21796</v>
      </c>
      <c r="E708" s="47">
        <v>28393</v>
      </c>
      <c r="F708" s="46" t="s">
        <v>2604</v>
      </c>
      <c r="G708" s="46">
        <v>166456</v>
      </c>
      <c r="H708" s="46" t="s">
        <v>2613</v>
      </c>
      <c r="I708" s="46" t="s">
        <v>2617</v>
      </c>
      <c r="J708" s="46" t="s">
        <v>2869</v>
      </c>
      <c r="K708" s="46" t="s">
        <v>3304</v>
      </c>
      <c r="L708" s="46">
        <v>48</v>
      </c>
    </row>
    <row r="709" spans="1:12" x14ac:dyDescent="0.3">
      <c r="A709" s="46" t="s">
        <v>718</v>
      </c>
      <c r="B709" s="46">
        <f>LEN(Table2[[#This Row],[Employee ID]])</f>
        <v>7</v>
      </c>
      <c r="C709" s="46" t="s">
        <v>2013</v>
      </c>
      <c r="D709" s="47">
        <v>24645</v>
      </c>
      <c r="E709" s="47">
        <v>36902</v>
      </c>
      <c r="F709" s="46" t="s">
        <v>2602</v>
      </c>
      <c r="G709" s="46">
        <v>116946</v>
      </c>
      <c r="H709" s="46" t="s">
        <v>2609</v>
      </c>
      <c r="I709" s="46" t="s">
        <v>2616</v>
      </c>
      <c r="J709" s="46" t="s">
        <v>2752</v>
      </c>
      <c r="K709" s="46" t="s">
        <v>3309</v>
      </c>
      <c r="L709" s="46">
        <v>24</v>
      </c>
    </row>
    <row r="710" spans="1:12" x14ac:dyDescent="0.3">
      <c r="A710" s="46" t="s">
        <v>719</v>
      </c>
      <c r="B710" s="46">
        <f>LEN(Table2[[#This Row],[Employee ID]])</f>
        <v>7</v>
      </c>
      <c r="C710" s="46" t="s">
        <v>2014</v>
      </c>
      <c r="D710" s="47">
        <v>36045</v>
      </c>
      <c r="E710" s="47">
        <v>43769</v>
      </c>
      <c r="F710" s="46" t="s">
        <v>2599</v>
      </c>
      <c r="G710" s="46">
        <v>25052</v>
      </c>
      <c r="H710" s="46" t="s">
        <v>2612</v>
      </c>
      <c r="I710" s="46" t="s">
        <v>2617</v>
      </c>
      <c r="J710" s="46" t="s">
        <v>2892</v>
      </c>
      <c r="K710" s="46" t="s">
        <v>3308</v>
      </c>
      <c r="L710" s="46">
        <v>6</v>
      </c>
    </row>
    <row r="711" spans="1:12" x14ac:dyDescent="0.3">
      <c r="A711" s="46" t="s">
        <v>720</v>
      </c>
      <c r="B711" s="46">
        <f>LEN(Table2[[#This Row],[Employee ID]])</f>
        <v>7</v>
      </c>
      <c r="C711" s="46" t="s">
        <v>2015</v>
      </c>
      <c r="D711" s="47">
        <v>34533</v>
      </c>
      <c r="E711" s="47">
        <v>39744</v>
      </c>
      <c r="F711" s="46" t="s">
        <v>2605</v>
      </c>
      <c r="G711" s="46">
        <v>111939</v>
      </c>
      <c r="H711" s="46" t="s">
        <v>2611</v>
      </c>
      <c r="I711" s="46" t="s">
        <v>2616</v>
      </c>
      <c r="J711" s="46" t="s">
        <v>3102</v>
      </c>
      <c r="K711" s="46" t="s">
        <v>3306</v>
      </c>
      <c r="L711" s="46">
        <v>17</v>
      </c>
    </row>
    <row r="712" spans="1:12" x14ac:dyDescent="0.3">
      <c r="A712" s="46" t="s">
        <v>721</v>
      </c>
      <c r="B712" s="46">
        <f>LEN(Table2[[#This Row],[Employee ID]])</f>
        <v>7</v>
      </c>
      <c r="C712" s="46" t="s">
        <v>2016</v>
      </c>
      <c r="D712" s="47">
        <v>33789</v>
      </c>
      <c r="E712" s="47">
        <v>35244</v>
      </c>
      <c r="F712" s="46" t="s">
        <v>2604</v>
      </c>
      <c r="G712" s="46">
        <v>26139</v>
      </c>
      <c r="H712" s="46" t="s">
        <v>2615</v>
      </c>
      <c r="I712" s="46" t="s">
        <v>2617</v>
      </c>
      <c r="J712" s="46" t="s">
        <v>2817</v>
      </c>
      <c r="K712" s="46" t="s">
        <v>3305</v>
      </c>
      <c r="L712" s="46">
        <v>29</v>
      </c>
    </row>
    <row r="713" spans="1:12" x14ac:dyDescent="0.3">
      <c r="A713" s="46" t="s">
        <v>722</v>
      </c>
      <c r="B713" s="46">
        <f>LEN(Table2[[#This Row],[Employee ID]])</f>
        <v>7</v>
      </c>
      <c r="C713" s="46" t="s">
        <v>2017</v>
      </c>
      <c r="D713" s="47">
        <v>29288</v>
      </c>
      <c r="E713" s="47">
        <v>27596</v>
      </c>
      <c r="F713" s="46" t="s">
        <v>2600</v>
      </c>
      <c r="G713" s="46">
        <v>25580</v>
      </c>
      <c r="H713" s="46" t="s">
        <v>2609</v>
      </c>
      <c r="I713" s="46" t="s">
        <v>2616</v>
      </c>
      <c r="J713" s="46" t="s">
        <v>2644</v>
      </c>
      <c r="K713" s="46" t="s">
        <v>3304</v>
      </c>
      <c r="L713" s="46">
        <v>50</v>
      </c>
    </row>
    <row r="714" spans="1:12" x14ac:dyDescent="0.3">
      <c r="A714" s="46" t="s">
        <v>723</v>
      </c>
      <c r="B714" s="46">
        <f>LEN(Table2[[#This Row],[Employee ID]])</f>
        <v>7</v>
      </c>
      <c r="C714" s="46" t="s">
        <v>2018</v>
      </c>
      <c r="D714" s="47">
        <v>22939</v>
      </c>
      <c r="E714" s="47">
        <v>32922</v>
      </c>
      <c r="F714" s="46" t="s">
        <v>2605</v>
      </c>
      <c r="G714" s="46">
        <v>188480</v>
      </c>
      <c r="H714" s="46" t="s">
        <v>2610</v>
      </c>
      <c r="I714" s="46" t="s">
        <v>2616</v>
      </c>
      <c r="J714" s="46" t="s">
        <v>3103</v>
      </c>
      <c r="K714" s="46" t="s">
        <v>3308</v>
      </c>
      <c r="L714" s="46">
        <v>35</v>
      </c>
    </row>
    <row r="715" spans="1:12" x14ac:dyDescent="0.3">
      <c r="A715" s="46" t="s">
        <v>724</v>
      </c>
      <c r="B715" s="46">
        <f>LEN(Table2[[#This Row],[Employee ID]])</f>
        <v>7</v>
      </c>
      <c r="C715" s="46" t="s">
        <v>2019</v>
      </c>
      <c r="D715" s="47">
        <v>36163</v>
      </c>
      <c r="E715" s="47">
        <v>31170</v>
      </c>
      <c r="F715" s="46" t="s">
        <v>2600</v>
      </c>
      <c r="G715" s="46">
        <v>177666</v>
      </c>
      <c r="H715" s="46" t="s">
        <v>2615</v>
      </c>
      <c r="I715" s="46" t="s">
        <v>2616</v>
      </c>
      <c r="J715" s="46" t="s">
        <v>3104</v>
      </c>
      <c r="K715" s="46" t="s">
        <v>3310</v>
      </c>
      <c r="L715" s="46">
        <v>40</v>
      </c>
    </row>
    <row r="716" spans="1:12" x14ac:dyDescent="0.3">
      <c r="A716" s="46" t="s">
        <v>725</v>
      </c>
      <c r="B716" s="46">
        <f>LEN(Table2[[#This Row],[Employee ID]])</f>
        <v>7</v>
      </c>
      <c r="C716" s="46" t="s">
        <v>1570</v>
      </c>
      <c r="D716" s="47">
        <v>36075</v>
      </c>
      <c r="E716" s="47">
        <v>32367</v>
      </c>
      <c r="F716" s="46" t="s">
        <v>2601</v>
      </c>
      <c r="G716" s="46">
        <v>160253</v>
      </c>
      <c r="H716" s="46" t="s">
        <v>2612</v>
      </c>
      <c r="I716" s="46" t="s">
        <v>2617</v>
      </c>
      <c r="J716" s="46" t="s">
        <v>2671</v>
      </c>
      <c r="K716" s="46" t="s">
        <v>3310</v>
      </c>
      <c r="L716" s="46">
        <v>37</v>
      </c>
    </row>
    <row r="717" spans="1:12" x14ac:dyDescent="0.3">
      <c r="A717" s="46" t="s">
        <v>726</v>
      </c>
      <c r="B717" s="46">
        <f>LEN(Table2[[#This Row],[Employee ID]])</f>
        <v>7</v>
      </c>
      <c r="C717" s="46" t="s">
        <v>2020</v>
      </c>
      <c r="D717" s="47">
        <v>31345</v>
      </c>
      <c r="E717" s="47">
        <v>42142</v>
      </c>
      <c r="F717" s="46" t="s">
        <v>2602</v>
      </c>
      <c r="G717" s="46">
        <v>144045</v>
      </c>
      <c r="H717" s="46" t="s">
        <v>2607</v>
      </c>
      <c r="I717" s="46" t="s">
        <v>2616</v>
      </c>
      <c r="J717" s="46" t="s">
        <v>3041</v>
      </c>
      <c r="K717" s="46" t="s">
        <v>3308</v>
      </c>
      <c r="L717" s="46">
        <v>10</v>
      </c>
    </row>
    <row r="718" spans="1:12" x14ac:dyDescent="0.3">
      <c r="A718" s="46" t="s">
        <v>727</v>
      </c>
      <c r="B718" s="46">
        <f>LEN(Table2[[#This Row],[Employee ID]])</f>
        <v>7</v>
      </c>
      <c r="C718" s="46" t="s">
        <v>2021</v>
      </c>
      <c r="D718" s="47">
        <v>26974</v>
      </c>
      <c r="E718" s="47">
        <v>32922</v>
      </c>
      <c r="F718" s="46" t="s">
        <v>2605</v>
      </c>
      <c r="G718" s="46">
        <v>71965</v>
      </c>
      <c r="H718" s="46" t="s">
        <v>2614</v>
      </c>
      <c r="I718" s="46" t="s">
        <v>2616</v>
      </c>
      <c r="J718" s="46" t="s">
        <v>2997</v>
      </c>
      <c r="K718" s="46" t="s">
        <v>3304</v>
      </c>
      <c r="L718" s="46">
        <v>35</v>
      </c>
    </row>
    <row r="719" spans="1:12" x14ac:dyDescent="0.3">
      <c r="A719" s="46" t="s">
        <v>728</v>
      </c>
      <c r="B719" s="46">
        <f>LEN(Table2[[#This Row],[Employee ID]])</f>
        <v>7</v>
      </c>
      <c r="C719" s="46" t="s">
        <v>2022</v>
      </c>
      <c r="D719" s="47">
        <v>23564</v>
      </c>
      <c r="E719" s="47">
        <v>28779</v>
      </c>
      <c r="F719" s="46" t="s">
        <v>2604</v>
      </c>
      <c r="G719" s="46">
        <v>147791</v>
      </c>
      <c r="H719" s="46" t="s">
        <v>2614</v>
      </c>
      <c r="I719" s="46" t="s">
        <v>2616</v>
      </c>
      <c r="J719" s="46" t="s">
        <v>3105</v>
      </c>
      <c r="K719" s="46" t="s">
        <v>3310</v>
      </c>
      <c r="L719" s="46">
        <v>47</v>
      </c>
    </row>
    <row r="720" spans="1:12" x14ac:dyDescent="0.3">
      <c r="A720" s="46" t="s">
        <v>729</v>
      </c>
      <c r="B720" s="46">
        <f>LEN(Table2[[#This Row],[Employee ID]])</f>
        <v>7</v>
      </c>
      <c r="C720" s="46" t="s">
        <v>2023</v>
      </c>
      <c r="D720" s="47">
        <v>26187</v>
      </c>
      <c r="E720" s="47">
        <v>32838</v>
      </c>
      <c r="F720" s="46" t="s">
        <v>2603</v>
      </c>
      <c r="G720" s="46">
        <v>134077</v>
      </c>
      <c r="H720" s="46" t="s">
        <v>2615</v>
      </c>
      <c r="I720" s="46" t="s">
        <v>2617</v>
      </c>
      <c r="J720" s="46" t="s">
        <v>2948</v>
      </c>
      <c r="K720" s="46" t="s">
        <v>3304</v>
      </c>
      <c r="L720" s="46">
        <v>36</v>
      </c>
    </row>
    <row r="721" spans="1:12" x14ac:dyDescent="0.3">
      <c r="A721" s="46" t="s">
        <v>730</v>
      </c>
      <c r="B721" s="46">
        <f>LEN(Table2[[#This Row],[Employee ID]])</f>
        <v>7</v>
      </c>
      <c r="C721" s="46" t="s">
        <v>2024</v>
      </c>
      <c r="D721" s="47">
        <v>36412</v>
      </c>
      <c r="E721" s="47">
        <v>39973</v>
      </c>
      <c r="F721" s="46" t="s">
        <v>2603</v>
      </c>
      <c r="G721" s="46">
        <v>72780</v>
      </c>
      <c r="H721" s="46" t="s">
        <v>2612</v>
      </c>
      <c r="I721" s="46" t="s">
        <v>2617</v>
      </c>
      <c r="J721" s="46" t="s">
        <v>2667</v>
      </c>
      <c r="K721" s="46" t="s">
        <v>3307</v>
      </c>
      <c r="L721" s="46">
        <v>16</v>
      </c>
    </row>
    <row r="722" spans="1:12" x14ac:dyDescent="0.3">
      <c r="A722" s="46" t="s">
        <v>731</v>
      </c>
      <c r="B722" s="46">
        <f>LEN(Table2[[#This Row],[Employee ID]])</f>
        <v>7</v>
      </c>
      <c r="C722" s="46" t="s">
        <v>2025</v>
      </c>
      <c r="D722" s="47">
        <v>37062</v>
      </c>
      <c r="E722" s="47">
        <v>38371</v>
      </c>
      <c r="F722" s="46" t="s">
        <v>2600</v>
      </c>
      <c r="G722" s="46">
        <v>90411</v>
      </c>
      <c r="H722" s="46" t="s">
        <v>2608</v>
      </c>
      <c r="I722" s="46" t="s">
        <v>2617</v>
      </c>
      <c r="J722" s="46" t="s">
        <v>2987</v>
      </c>
      <c r="K722" s="46" t="s">
        <v>3304</v>
      </c>
      <c r="L722" s="46">
        <v>20</v>
      </c>
    </row>
    <row r="723" spans="1:12" x14ac:dyDescent="0.3">
      <c r="A723" s="46" t="s">
        <v>732</v>
      </c>
      <c r="B723" s="46">
        <f>LEN(Table2[[#This Row],[Employee ID]])</f>
        <v>7</v>
      </c>
      <c r="C723" s="46" t="s">
        <v>2026</v>
      </c>
      <c r="D723" s="47">
        <v>24026</v>
      </c>
      <c r="E723" s="47">
        <v>27876</v>
      </c>
      <c r="F723" s="46" t="s">
        <v>2600</v>
      </c>
      <c r="G723" s="46">
        <v>49440</v>
      </c>
      <c r="H723" s="46" t="s">
        <v>2614</v>
      </c>
      <c r="I723" s="46" t="s">
        <v>2616</v>
      </c>
      <c r="J723" s="46" t="s">
        <v>3106</v>
      </c>
      <c r="K723" s="46" t="s">
        <v>3304</v>
      </c>
      <c r="L723" s="46">
        <v>49</v>
      </c>
    </row>
    <row r="724" spans="1:12" x14ac:dyDescent="0.3">
      <c r="A724" s="46" t="s">
        <v>733</v>
      </c>
      <c r="B724" s="46">
        <f>LEN(Table2[[#This Row],[Employee ID]])</f>
        <v>7</v>
      </c>
      <c r="C724" s="46" t="s">
        <v>2027</v>
      </c>
      <c r="D724" s="47">
        <v>32277</v>
      </c>
      <c r="E724" s="47">
        <v>35847</v>
      </c>
      <c r="F724" s="46" t="s">
        <v>2601</v>
      </c>
      <c r="G724" s="46">
        <v>190876</v>
      </c>
      <c r="H724" s="46" t="s">
        <v>2607</v>
      </c>
      <c r="I724" s="46" t="s">
        <v>2617</v>
      </c>
      <c r="J724" s="46" t="s">
        <v>3015</v>
      </c>
      <c r="K724" s="46" t="s">
        <v>3310</v>
      </c>
      <c r="L724" s="46">
        <v>27</v>
      </c>
    </row>
    <row r="725" spans="1:12" x14ac:dyDescent="0.3">
      <c r="A725" s="46" t="s">
        <v>734</v>
      </c>
      <c r="B725" s="46">
        <f>LEN(Table2[[#This Row],[Employee ID]])</f>
        <v>7</v>
      </c>
      <c r="C725" s="46" t="s">
        <v>2028</v>
      </c>
      <c r="D725" s="47">
        <v>25256</v>
      </c>
      <c r="E725" s="47">
        <v>25703</v>
      </c>
      <c r="F725" s="46" t="s">
        <v>2603</v>
      </c>
      <c r="G725" s="46">
        <v>139503</v>
      </c>
      <c r="H725" s="46" t="s">
        <v>2614</v>
      </c>
      <c r="I725" s="46" t="s">
        <v>2617</v>
      </c>
      <c r="J725" s="46" t="s">
        <v>3107</v>
      </c>
      <c r="K725" s="46" t="s">
        <v>3306</v>
      </c>
      <c r="L725" s="46">
        <v>55</v>
      </c>
    </row>
    <row r="726" spans="1:12" x14ac:dyDescent="0.3">
      <c r="A726" s="46" t="s">
        <v>735</v>
      </c>
      <c r="B726" s="46">
        <f>LEN(Table2[[#This Row],[Employee ID]])</f>
        <v>7</v>
      </c>
      <c r="C726" s="46" t="s">
        <v>2029</v>
      </c>
      <c r="D726" s="47">
        <v>37454</v>
      </c>
      <c r="E726" s="47">
        <v>44597</v>
      </c>
      <c r="F726" s="46" t="s">
        <v>2603</v>
      </c>
      <c r="G726" s="46">
        <v>163562</v>
      </c>
      <c r="H726" s="46" t="s">
        <v>2607</v>
      </c>
      <c r="I726" s="46" t="s">
        <v>2617</v>
      </c>
      <c r="J726" s="46" t="s">
        <v>2683</v>
      </c>
      <c r="K726" s="46" t="s">
        <v>3305</v>
      </c>
      <c r="L726" s="46">
        <v>3</v>
      </c>
    </row>
    <row r="727" spans="1:12" x14ac:dyDescent="0.3">
      <c r="A727" s="46" t="s">
        <v>736</v>
      </c>
      <c r="B727" s="46">
        <f>LEN(Table2[[#This Row],[Employee ID]])</f>
        <v>7</v>
      </c>
      <c r="C727" s="46" t="s">
        <v>2030</v>
      </c>
      <c r="D727" s="47">
        <v>37218</v>
      </c>
      <c r="E727" s="47">
        <v>28637</v>
      </c>
      <c r="F727" s="46" t="s">
        <v>2601</v>
      </c>
      <c r="G727" s="46">
        <v>153203</v>
      </c>
      <c r="H727" s="46" t="s">
        <v>2613</v>
      </c>
      <c r="I727" s="46" t="s">
        <v>2616</v>
      </c>
      <c r="J727" s="46" t="s">
        <v>3104</v>
      </c>
      <c r="K727" s="46" t="s">
        <v>3308</v>
      </c>
      <c r="L727" s="46">
        <v>47</v>
      </c>
    </row>
    <row r="728" spans="1:12" x14ac:dyDescent="0.3">
      <c r="A728" s="46" t="s">
        <v>737</v>
      </c>
      <c r="B728" s="46">
        <f>LEN(Table2[[#This Row],[Employee ID]])</f>
        <v>7</v>
      </c>
      <c r="C728" s="46" t="s">
        <v>2031</v>
      </c>
      <c r="D728" s="47">
        <v>34924</v>
      </c>
      <c r="E728" s="47">
        <v>30206</v>
      </c>
      <c r="F728" s="46" t="s">
        <v>2600</v>
      </c>
      <c r="G728" s="46">
        <v>53905</v>
      </c>
      <c r="H728" s="46" t="s">
        <v>2615</v>
      </c>
      <c r="I728" s="46" t="s">
        <v>2616</v>
      </c>
      <c r="J728" s="46" t="s">
        <v>3108</v>
      </c>
      <c r="K728" s="46" t="s">
        <v>3309</v>
      </c>
      <c r="L728" s="46">
        <v>43</v>
      </c>
    </row>
    <row r="729" spans="1:12" x14ac:dyDescent="0.3">
      <c r="A729" s="46" t="s">
        <v>738</v>
      </c>
      <c r="B729" s="46">
        <f>LEN(Table2[[#This Row],[Employee ID]])</f>
        <v>7</v>
      </c>
      <c r="C729" s="46" t="s">
        <v>2032</v>
      </c>
      <c r="D729" s="47">
        <v>34279</v>
      </c>
      <c r="E729" s="47">
        <v>41879</v>
      </c>
      <c r="F729" s="46" t="s">
        <v>2605</v>
      </c>
      <c r="G729" s="46">
        <v>180258</v>
      </c>
      <c r="H729" s="46" t="s">
        <v>2606</v>
      </c>
      <c r="I729" s="46" t="s">
        <v>2616</v>
      </c>
      <c r="J729" s="46" t="s">
        <v>2643</v>
      </c>
      <c r="K729" s="46" t="s">
        <v>3304</v>
      </c>
      <c r="L729" s="46">
        <v>11</v>
      </c>
    </row>
    <row r="730" spans="1:12" x14ac:dyDescent="0.3">
      <c r="A730" s="46" t="s">
        <v>739</v>
      </c>
      <c r="B730" s="46">
        <f>LEN(Table2[[#This Row],[Employee ID]])</f>
        <v>7</v>
      </c>
      <c r="C730" s="46" t="s">
        <v>2033</v>
      </c>
      <c r="D730" s="47">
        <v>27777</v>
      </c>
      <c r="E730" s="47">
        <v>36267</v>
      </c>
      <c r="F730" s="46" t="s">
        <v>2600</v>
      </c>
      <c r="G730" s="46">
        <v>162968</v>
      </c>
      <c r="H730" s="46" t="s">
        <v>2606</v>
      </c>
      <c r="I730" s="46" t="s">
        <v>2617</v>
      </c>
      <c r="J730" s="46" t="s">
        <v>2891</v>
      </c>
      <c r="K730" s="46" t="s">
        <v>3308</v>
      </c>
      <c r="L730" s="46">
        <v>26</v>
      </c>
    </row>
    <row r="731" spans="1:12" x14ac:dyDescent="0.3">
      <c r="A731" s="46" t="s">
        <v>740</v>
      </c>
      <c r="B731" s="46">
        <f>LEN(Table2[[#This Row],[Employee ID]])</f>
        <v>7</v>
      </c>
      <c r="C731" s="46" t="s">
        <v>2034</v>
      </c>
      <c r="D731" s="47">
        <v>24933</v>
      </c>
      <c r="E731" s="47">
        <v>40434</v>
      </c>
      <c r="F731" s="46" t="s">
        <v>2599</v>
      </c>
      <c r="G731" s="46">
        <v>170167</v>
      </c>
      <c r="H731" s="46" t="s">
        <v>2612</v>
      </c>
      <c r="I731" s="46" t="s">
        <v>2616</v>
      </c>
      <c r="J731" s="46" t="s">
        <v>3109</v>
      </c>
      <c r="K731" s="46" t="s">
        <v>3309</v>
      </c>
      <c r="L731" s="46">
        <v>15</v>
      </c>
    </row>
    <row r="732" spans="1:12" x14ac:dyDescent="0.3">
      <c r="A732" s="46" t="s">
        <v>741</v>
      </c>
      <c r="B732" s="46">
        <f>LEN(Table2[[#This Row],[Employee ID]])</f>
        <v>7</v>
      </c>
      <c r="C732" s="46" t="s">
        <v>2035</v>
      </c>
      <c r="D732" s="47">
        <v>26401</v>
      </c>
      <c r="E732" s="47">
        <v>40538</v>
      </c>
      <c r="F732" s="46" t="s">
        <v>2599</v>
      </c>
      <c r="G732" s="46">
        <v>118129</v>
      </c>
      <c r="H732" s="46" t="s">
        <v>2606</v>
      </c>
      <c r="I732" s="46" t="s">
        <v>2616</v>
      </c>
      <c r="J732" s="46" t="s">
        <v>3110</v>
      </c>
      <c r="K732" s="46" t="s">
        <v>3305</v>
      </c>
      <c r="L732" s="46">
        <v>15</v>
      </c>
    </row>
    <row r="733" spans="1:12" x14ac:dyDescent="0.3">
      <c r="A733" s="46" t="s">
        <v>742</v>
      </c>
      <c r="B733" s="46">
        <f>LEN(Table2[[#This Row],[Employee ID]])</f>
        <v>7</v>
      </c>
      <c r="C733" s="46" t="s">
        <v>2036</v>
      </c>
      <c r="D733" s="47">
        <v>31045</v>
      </c>
      <c r="E733" s="47">
        <v>31132</v>
      </c>
      <c r="F733" s="46" t="s">
        <v>2604</v>
      </c>
      <c r="G733" s="46">
        <v>52279</v>
      </c>
      <c r="H733" s="46" t="s">
        <v>2608</v>
      </c>
      <c r="I733" s="46" t="s">
        <v>2617</v>
      </c>
      <c r="J733" s="46" t="s">
        <v>2664</v>
      </c>
      <c r="K733" s="46" t="s">
        <v>3306</v>
      </c>
      <c r="L733" s="46">
        <v>40</v>
      </c>
    </row>
    <row r="734" spans="1:12" x14ac:dyDescent="0.3">
      <c r="A734" s="46" t="s">
        <v>743</v>
      </c>
      <c r="B734" s="46">
        <f>LEN(Table2[[#This Row],[Employee ID]])</f>
        <v>7</v>
      </c>
      <c r="C734" s="46" t="s">
        <v>2037</v>
      </c>
      <c r="D734" s="47">
        <v>32488</v>
      </c>
      <c r="E734" s="47">
        <v>33506</v>
      </c>
      <c r="F734" s="46" t="s">
        <v>2604</v>
      </c>
      <c r="G734" s="46">
        <v>186040</v>
      </c>
      <c r="H734" s="46" t="s">
        <v>2612</v>
      </c>
      <c r="I734" s="46" t="s">
        <v>2616</v>
      </c>
      <c r="J734" s="46" t="s">
        <v>2933</v>
      </c>
      <c r="K734" s="46" t="s">
        <v>3308</v>
      </c>
      <c r="L734" s="46">
        <v>34</v>
      </c>
    </row>
    <row r="735" spans="1:12" x14ac:dyDescent="0.3">
      <c r="A735" s="46" t="s">
        <v>744</v>
      </c>
      <c r="B735" s="46">
        <f>LEN(Table2[[#This Row],[Employee ID]])</f>
        <v>7</v>
      </c>
      <c r="C735" s="46" t="s">
        <v>1704</v>
      </c>
      <c r="D735" s="47">
        <v>26033</v>
      </c>
      <c r="E735" s="47">
        <v>26292</v>
      </c>
      <c r="F735" s="46" t="s">
        <v>2603</v>
      </c>
      <c r="G735" s="46">
        <v>24186</v>
      </c>
      <c r="H735" s="46" t="s">
        <v>2606</v>
      </c>
      <c r="I735" s="46" t="s">
        <v>2616</v>
      </c>
      <c r="J735" s="46" t="s">
        <v>3111</v>
      </c>
      <c r="K735" s="46" t="s">
        <v>3304</v>
      </c>
      <c r="L735" s="46">
        <v>54</v>
      </c>
    </row>
    <row r="736" spans="1:12" x14ac:dyDescent="0.3">
      <c r="A736" s="46" t="s">
        <v>745</v>
      </c>
      <c r="B736" s="46">
        <f>LEN(Table2[[#This Row],[Employee ID]])</f>
        <v>7</v>
      </c>
      <c r="C736" s="46" t="s">
        <v>2038</v>
      </c>
      <c r="D736" s="47">
        <v>22893</v>
      </c>
      <c r="E736" s="47">
        <v>31788</v>
      </c>
      <c r="F736" s="46" t="s">
        <v>2605</v>
      </c>
      <c r="G736" s="46">
        <v>158612</v>
      </c>
      <c r="H736" s="46" t="s">
        <v>2608</v>
      </c>
      <c r="I736" s="46" t="s">
        <v>2617</v>
      </c>
      <c r="J736" s="46" t="s">
        <v>3112</v>
      </c>
      <c r="K736" s="46" t="s">
        <v>3304</v>
      </c>
      <c r="L736" s="46">
        <v>38</v>
      </c>
    </row>
    <row r="737" spans="1:12" x14ac:dyDescent="0.3">
      <c r="A737" s="46" t="s">
        <v>746</v>
      </c>
      <c r="B737" s="46">
        <f>LEN(Table2[[#This Row],[Employee ID]])</f>
        <v>7</v>
      </c>
      <c r="C737" s="46" t="s">
        <v>2039</v>
      </c>
      <c r="D737" s="47">
        <v>23044</v>
      </c>
      <c r="E737" s="47">
        <v>35493</v>
      </c>
      <c r="F737" s="46" t="s">
        <v>2602</v>
      </c>
      <c r="G737" s="46">
        <v>168819</v>
      </c>
      <c r="H737" s="46" t="s">
        <v>2610</v>
      </c>
      <c r="I737" s="46" t="s">
        <v>2617</v>
      </c>
      <c r="J737" s="46" t="s">
        <v>2796</v>
      </c>
      <c r="K737" s="46" t="s">
        <v>3305</v>
      </c>
      <c r="L737" s="46">
        <v>28</v>
      </c>
    </row>
    <row r="738" spans="1:12" x14ac:dyDescent="0.3">
      <c r="A738" s="46" t="s">
        <v>747</v>
      </c>
      <c r="B738" s="46">
        <f>LEN(Table2[[#This Row],[Employee ID]])</f>
        <v>7</v>
      </c>
      <c r="C738" s="46" t="s">
        <v>2040</v>
      </c>
      <c r="D738" s="47">
        <v>29590</v>
      </c>
      <c r="E738" s="47">
        <v>41880</v>
      </c>
      <c r="F738" s="46" t="s">
        <v>2599</v>
      </c>
      <c r="G738" s="46">
        <v>189671</v>
      </c>
      <c r="H738" s="46" t="s">
        <v>2614</v>
      </c>
      <c r="I738" s="46" t="s">
        <v>2616</v>
      </c>
      <c r="J738" s="46" t="s">
        <v>2838</v>
      </c>
      <c r="K738" s="46" t="s">
        <v>3305</v>
      </c>
      <c r="L738" s="46">
        <v>11</v>
      </c>
    </row>
    <row r="739" spans="1:12" x14ac:dyDescent="0.3">
      <c r="A739" s="46" t="s">
        <v>748</v>
      </c>
      <c r="B739" s="46">
        <f>LEN(Table2[[#This Row],[Employee ID]])</f>
        <v>7</v>
      </c>
      <c r="C739" s="46" t="s">
        <v>2041</v>
      </c>
      <c r="D739" s="47">
        <v>35787</v>
      </c>
      <c r="E739" s="47">
        <v>32882</v>
      </c>
      <c r="F739" s="46" t="s">
        <v>2604</v>
      </c>
      <c r="G739" s="46">
        <v>164382</v>
      </c>
      <c r="H739" s="46" t="s">
        <v>2606</v>
      </c>
      <c r="I739" s="46" t="s">
        <v>2616</v>
      </c>
      <c r="J739" s="46" t="s">
        <v>3104</v>
      </c>
      <c r="K739" s="46" t="s">
        <v>3310</v>
      </c>
      <c r="L739" s="46">
        <v>35</v>
      </c>
    </row>
    <row r="740" spans="1:12" x14ac:dyDescent="0.3">
      <c r="A740" s="46" t="s">
        <v>749</v>
      </c>
      <c r="B740" s="46">
        <f>LEN(Table2[[#This Row],[Employee ID]])</f>
        <v>7</v>
      </c>
      <c r="C740" s="46" t="s">
        <v>2042</v>
      </c>
      <c r="D740" s="47">
        <v>35327</v>
      </c>
      <c r="E740" s="47">
        <v>27622</v>
      </c>
      <c r="F740" s="46" t="s">
        <v>2601</v>
      </c>
      <c r="G740" s="46">
        <v>87118</v>
      </c>
      <c r="H740" s="46" t="s">
        <v>2607</v>
      </c>
      <c r="I740" s="46" t="s">
        <v>2617</v>
      </c>
      <c r="J740" s="46" t="s">
        <v>3113</v>
      </c>
      <c r="K740" s="46" t="s">
        <v>3304</v>
      </c>
      <c r="L740" s="46">
        <v>50</v>
      </c>
    </row>
    <row r="741" spans="1:12" x14ac:dyDescent="0.3">
      <c r="A741" s="46" t="s">
        <v>750</v>
      </c>
      <c r="B741" s="46">
        <f>LEN(Table2[[#This Row],[Employee ID]])</f>
        <v>7</v>
      </c>
      <c r="C741" s="46" t="s">
        <v>2043</v>
      </c>
      <c r="D741" s="47">
        <v>24733</v>
      </c>
      <c r="E741" s="47">
        <v>31387</v>
      </c>
      <c r="F741" s="46" t="s">
        <v>2603</v>
      </c>
      <c r="G741" s="46">
        <v>144406</v>
      </c>
      <c r="H741" s="46" t="s">
        <v>2612</v>
      </c>
      <c r="I741" s="46" t="s">
        <v>2616</v>
      </c>
      <c r="J741" s="46" t="s">
        <v>3028</v>
      </c>
      <c r="K741" s="46" t="s">
        <v>3310</v>
      </c>
      <c r="L741" s="46">
        <v>40</v>
      </c>
    </row>
    <row r="742" spans="1:12" x14ac:dyDescent="0.3">
      <c r="A742" s="46" t="s">
        <v>751</v>
      </c>
      <c r="B742" s="46">
        <f>LEN(Table2[[#This Row],[Employee ID]])</f>
        <v>7</v>
      </c>
      <c r="C742" s="46" t="s">
        <v>2044</v>
      </c>
      <c r="D742" s="47">
        <v>31027</v>
      </c>
      <c r="E742" s="47">
        <v>43445</v>
      </c>
      <c r="F742" s="46" t="s">
        <v>2601</v>
      </c>
      <c r="G742" s="46">
        <v>99771</v>
      </c>
      <c r="H742" s="46" t="s">
        <v>2615</v>
      </c>
      <c r="I742" s="46" t="s">
        <v>2617</v>
      </c>
      <c r="J742" s="46" t="s">
        <v>3036</v>
      </c>
      <c r="K742" s="46" t="s">
        <v>3308</v>
      </c>
      <c r="L742" s="46">
        <v>7</v>
      </c>
    </row>
    <row r="743" spans="1:12" x14ac:dyDescent="0.3">
      <c r="A743" s="46" t="s">
        <v>752</v>
      </c>
      <c r="B743" s="46">
        <f>LEN(Table2[[#This Row],[Employee ID]])</f>
        <v>7</v>
      </c>
      <c r="C743" s="46" t="s">
        <v>2045</v>
      </c>
      <c r="D743" s="47">
        <v>35010</v>
      </c>
      <c r="E743" s="47">
        <v>30212</v>
      </c>
      <c r="F743" s="46" t="s">
        <v>2600</v>
      </c>
      <c r="G743" s="46">
        <v>131689</v>
      </c>
      <c r="H743" s="46" t="s">
        <v>2612</v>
      </c>
      <c r="I743" s="46" t="s">
        <v>2616</v>
      </c>
      <c r="J743" s="46" t="s">
        <v>3114</v>
      </c>
      <c r="K743" s="46" t="s">
        <v>3310</v>
      </c>
      <c r="L743" s="46">
        <v>43</v>
      </c>
    </row>
    <row r="744" spans="1:12" x14ac:dyDescent="0.3">
      <c r="A744" s="46" t="s">
        <v>753</v>
      </c>
      <c r="B744" s="46">
        <f>LEN(Table2[[#This Row],[Employee ID]])</f>
        <v>7</v>
      </c>
      <c r="C744" s="46" t="s">
        <v>2046</v>
      </c>
      <c r="D744" s="47">
        <v>33305</v>
      </c>
      <c r="E744" s="47">
        <v>27233</v>
      </c>
      <c r="F744" s="46" t="s">
        <v>2600</v>
      </c>
      <c r="G744" s="46">
        <v>59211</v>
      </c>
      <c r="H744" s="46" t="s">
        <v>2613</v>
      </c>
      <c r="I744" s="46" t="s">
        <v>2616</v>
      </c>
      <c r="J744" s="46" t="s">
        <v>3115</v>
      </c>
      <c r="K744" s="46" t="s">
        <v>3309</v>
      </c>
      <c r="L744" s="46">
        <v>51</v>
      </c>
    </row>
    <row r="745" spans="1:12" x14ac:dyDescent="0.3">
      <c r="A745" s="46" t="s">
        <v>754</v>
      </c>
      <c r="B745" s="46">
        <f>LEN(Table2[[#This Row],[Employee ID]])</f>
        <v>7</v>
      </c>
      <c r="C745" s="46" t="s">
        <v>2047</v>
      </c>
      <c r="D745" s="47">
        <v>30192</v>
      </c>
      <c r="E745" s="47">
        <v>28860</v>
      </c>
      <c r="F745" s="46" t="s">
        <v>2601</v>
      </c>
      <c r="G745" s="46">
        <v>115990</v>
      </c>
      <c r="H745" s="46" t="s">
        <v>2607</v>
      </c>
      <c r="I745" s="46" t="s">
        <v>2617</v>
      </c>
      <c r="J745" s="46" t="s">
        <v>3116</v>
      </c>
      <c r="K745" s="46" t="s">
        <v>3306</v>
      </c>
      <c r="L745" s="46">
        <v>46</v>
      </c>
    </row>
    <row r="746" spans="1:12" x14ac:dyDescent="0.3">
      <c r="A746" s="46" t="s">
        <v>755</v>
      </c>
      <c r="B746" s="46">
        <f>LEN(Table2[[#This Row],[Employee ID]])</f>
        <v>7</v>
      </c>
      <c r="C746" s="46" t="s">
        <v>2048</v>
      </c>
      <c r="D746" s="47">
        <v>30709</v>
      </c>
      <c r="E746" s="47">
        <v>41308</v>
      </c>
      <c r="F746" s="46" t="s">
        <v>2600</v>
      </c>
      <c r="G746" s="46">
        <v>83292</v>
      </c>
      <c r="H746" s="46" t="s">
        <v>2611</v>
      </c>
      <c r="I746" s="46" t="s">
        <v>2617</v>
      </c>
      <c r="J746" s="46" t="s">
        <v>3117</v>
      </c>
      <c r="K746" s="46" t="s">
        <v>3309</v>
      </c>
      <c r="L746" s="46">
        <v>12</v>
      </c>
    </row>
    <row r="747" spans="1:12" x14ac:dyDescent="0.3">
      <c r="A747" s="46" t="s">
        <v>756</v>
      </c>
      <c r="B747" s="46">
        <f>LEN(Table2[[#This Row],[Employee ID]])</f>
        <v>7</v>
      </c>
      <c r="C747" s="46" t="s">
        <v>2049</v>
      </c>
      <c r="D747" s="47">
        <v>21762</v>
      </c>
      <c r="E747" s="47">
        <v>43168</v>
      </c>
      <c r="F747" s="46" t="s">
        <v>2602</v>
      </c>
      <c r="G747" s="46">
        <v>25230</v>
      </c>
      <c r="H747" s="46" t="s">
        <v>2607</v>
      </c>
      <c r="I747" s="46" t="s">
        <v>2616</v>
      </c>
      <c r="J747" s="46" t="s">
        <v>3118</v>
      </c>
      <c r="K747" s="46" t="s">
        <v>3305</v>
      </c>
      <c r="L747" s="46">
        <v>7</v>
      </c>
    </row>
    <row r="748" spans="1:12" x14ac:dyDescent="0.3">
      <c r="A748" s="46" t="s">
        <v>757</v>
      </c>
      <c r="B748" s="46">
        <f>LEN(Table2[[#This Row],[Employee ID]])</f>
        <v>7</v>
      </c>
      <c r="C748" s="46" t="s">
        <v>2050</v>
      </c>
      <c r="D748" s="47">
        <v>32372</v>
      </c>
      <c r="E748" s="47">
        <v>31667</v>
      </c>
      <c r="F748" s="46" t="s">
        <v>2599</v>
      </c>
      <c r="G748" s="46">
        <v>192350</v>
      </c>
      <c r="H748" s="46" t="s">
        <v>2612</v>
      </c>
      <c r="I748" s="46" t="s">
        <v>2616</v>
      </c>
      <c r="J748" s="46" t="s">
        <v>2824</v>
      </c>
      <c r="K748" s="46" t="s">
        <v>3307</v>
      </c>
      <c r="L748" s="46">
        <v>39</v>
      </c>
    </row>
    <row r="749" spans="1:12" x14ac:dyDescent="0.3">
      <c r="A749" s="46" t="s">
        <v>758</v>
      </c>
      <c r="B749" s="46">
        <f>LEN(Table2[[#This Row],[Employee ID]])</f>
        <v>7</v>
      </c>
      <c r="C749" s="46" t="s">
        <v>2051</v>
      </c>
      <c r="D749" s="47">
        <v>35907</v>
      </c>
      <c r="E749" s="47">
        <v>34113</v>
      </c>
      <c r="F749" s="46" t="s">
        <v>2600</v>
      </c>
      <c r="G749" s="46">
        <v>154630</v>
      </c>
      <c r="H749" s="46" t="s">
        <v>2609</v>
      </c>
      <c r="I749" s="46" t="s">
        <v>2616</v>
      </c>
      <c r="J749" s="46" t="s">
        <v>3119</v>
      </c>
      <c r="K749" s="46" t="s">
        <v>3309</v>
      </c>
      <c r="L749" s="46">
        <v>32</v>
      </c>
    </row>
    <row r="750" spans="1:12" x14ac:dyDescent="0.3">
      <c r="A750" s="46" t="s">
        <v>759</v>
      </c>
      <c r="B750" s="46">
        <f>LEN(Table2[[#This Row],[Employee ID]])</f>
        <v>7</v>
      </c>
      <c r="C750" s="46" t="s">
        <v>2052</v>
      </c>
      <c r="D750" s="47">
        <v>23721</v>
      </c>
      <c r="E750" s="47">
        <v>38294</v>
      </c>
      <c r="F750" s="46" t="s">
        <v>2604</v>
      </c>
      <c r="G750" s="46">
        <v>139908</v>
      </c>
      <c r="H750" s="46" t="s">
        <v>2614</v>
      </c>
      <c r="I750" s="46" t="s">
        <v>2617</v>
      </c>
      <c r="J750" s="46" t="s">
        <v>2619</v>
      </c>
      <c r="K750" s="46" t="s">
        <v>3305</v>
      </c>
      <c r="L750" s="46">
        <v>21</v>
      </c>
    </row>
    <row r="751" spans="1:12" x14ac:dyDescent="0.3">
      <c r="A751" s="46" t="s">
        <v>760</v>
      </c>
      <c r="B751" s="46">
        <f>LEN(Table2[[#This Row],[Employee ID]])</f>
        <v>7</v>
      </c>
      <c r="C751" s="46" t="s">
        <v>2053</v>
      </c>
      <c r="D751" s="47">
        <v>30041</v>
      </c>
      <c r="E751" s="47">
        <v>28889</v>
      </c>
      <c r="F751" s="46" t="s">
        <v>2601</v>
      </c>
      <c r="G751" s="46">
        <v>150406</v>
      </c>
      <c r="H751" s="46" t="s">
        <v>2613</v>
      </c>
      <c r="I751" s="46" t="s">
        <v>2617</v>
      </c>
      <c r="J751" s="46" t="s">
        <v>2963</v>
      </c>
      <c r="K751" s="46" t="s">
        <v>3306</v>
      </c>
      <c r="L751" s="46">
        <v>46</v>
      </c>
    </row>
    <row r="752" spans="1:12" x14ac:dyDescent="0.3">
      <c r="A752" s="46" t="s">
        <v>761</v>
      </c>
      <c r="B752" s="46">
        <f>LEN(Table2[[#This Row],[Employee ID]])</f>
        <v>7</v>
      </c>
      <c r="C752" s="46" t="s">
        <v>2054</v>
      </c>
      <c r="D752" s="47">
        <v>27873</v>
      </c>
      <c r="E752" s="47">
        <v>36343</v>
      </c>
      <c r="F752" s="46" t="s">
        <v>2602</v>
      </c>
      <c r="G752" s="46">
        <v>26774</v>
      </c>
      <c r="H752" s="46" t="s">
        <v>2611</v>
      </c>
      <c r="I752" s="46" t="s">
        <v>2617</v>
      </c>
      <c r="J752" s="46" t="s">
        <v>3120</v>
      </c>
      <c r="K752" s="46" t="s">
        <v>3309</v>
      </c>
      <c r="L752" s="46">
        <v>26</v>
      </c>
    </row>
    <row r="753" spans="1:12" x14ac:dyDescent="0.3">
      <c r="A753" s="46" t="s">
        <v>762</v>
      </c>
      <c r="B753" s="46">
        <f>LEN(Table2[[#This Row],[Employee ID]])</f>
        <v>7</v>
      </c>
      <c r="C753" s="46" t="s">
        <v>2055</v>
      </c>
      <c r="D753" s="47">
        <v>27080</v>
      </c>
      <c r="E753" s="47">
        <v>44924</v>
      </c>
      <c r="F753" s="46" t="s">
        <v>2600</v>
      </c>
      <c r="G753" s="46">
        <v>176446</v>
      </c>
      <c r="H753" s="46" t="s">
        <v>2609</v>
      </c>
      <c r="I753" s="46" t="s">
        <v>2617</v>
      </c>
      <c r="J753" s="46" t="s">
        <v>3025</v>
      </c>
      <c r="K753" s="46" t="s">
        <v>3308</v>
      </c>
      <c r="L753" s="46">
        <v>3</v>
      </c>
    </row>
    <row r="754" spans="1:12" x14ac:dyDescent="0.3">
      <c r="A754" s="46" t="s">
        <v>763</v>
      </c>
      <c r="B754" s="46">
        <f>LEN(Table2[[#This Row],[Employee ID]])</f>
        <v>7</v>
      </c>
      <c r="C754" s="46" t="s">
        <v>2056</v>
      </c>
      <c r="D754" s="47">
        <v>23137</v>
      </c>
      <c r="E754" s="47">
        <v>38169</v>
      </c>
      <c r="F754" s="46" t="s">
        <v>2605</v>
      </c>
      <c r="G754" s="46">
        <v>108500</v>
      </c>
      <c r="H754" s="46" t="s">
        <v>2608</v>
      </c>
      <c r="I754" s="46" t="s">
        <v>2617</v>
      </c>
      <c r="J754" s="46" t="s">
        <v>2923</v>
      </c>
      <c r="K754" s="46" t="s">
        <v>3308</v>
      </c>
      <c r="L754" s="46">
        <v>21</v>
      </c>
    </row>
    <row r="755" spans="1:12" x14ac:dyDescent="0.3">
      <c r="A755" s="46" t="s">
        <v>764</v>
      </c>
      <c r="B755" s="46">
        <f>LEN(Table2[[#This Row],[Employee ID]])</f>
        <v>7</v>
      </c>
      <c r="C755" s="46" t="s">
        <v>2057</v>
      </c>
      <c r="D755" s="47">
        <v>24309</v>
      </c>
      <c r="E755" s="47">
        <v>43119</v>
      </c>
      <c r="F755" s="46" t="s">
        <v>2605</v>
      </c>
      <c r="G755" s="46">
        <v>85792</v>
      </c>
      <c r="H755" s="46" t="s">
        <v>2610</v>
      </c>
      <c r="I755" s="46" t="s">
        <v>2617</v>
      </c>
      <c r="J755" s="46" t="s">
        <v>3090</v>
      </c>
      <c r="K755" s="46" t="s">
        <v>3309</v>
      </c>
      <c r="L755" s="46">
        <v>7</v>
      </c>
    </row>
    <row r="756" spans="1:12" x14ac:dyDescent="0.3">
      <c r="A756" s="46" t="s">
        <v>765</v>
      </c>
      <c r="B756" s="46">
        <f>LEN(Table2[[#This Row],[Employee ID]])</f>
        <v>7</v>
      </c>
      <c r="C756" s="46" t="s">
        <v>2058</v>
      </c>
      <c r="D756" s="47">
        <v>34643</v>
      </c>
      <c r="E756" s="47">
        <v>41003</v>
      </c>
      <c r="F756" s="46" t="s">
        <v>2602</v>
      </c>
      <c r="G756" s="46">
        <v>196628</v>
      </c>
      <c r="H756" s="46" t="s">
        <v>2609</v>
      </c>
      <c r="I756" s="46" t="s">
        <v>2617</v>
      </c>
      <c r="J756" s="46" t="s">
        <v>3121</v>
      </c>
      <c r="K756" s="46" t="s">
        <v>3305</v>
      </c>
      <c r="L756" s="46">
        <v>13</v>
      </c>
    </row>
    <row r="757" spans="1:12" x14ac:dyDescent="0.3">
      <c r="A757" s="46" t="s">
        <v>766</v>
      </c>
      <c r="B757" s="46">
        <f>LEN(Table2[[#This Row],[Employee ID]])</f>
        <v>7</v>
      </c>
      <c r="C757" s="46" t="s">
        <v>2059</v>
      </c>
      <c r="D757" s="47">
        <v>31786</v>
      </c>
      <c r="E757" s="47">
        <v>34108</v>
      </c>
      <c r="F757" s="46" t="s">
        <v>2599</v>
      </c>
      <c r="G757" s="46">
        <v>133570</v>
      </c>
      <c r="H757" s="46" t="s">
        <v>2613</v>
      </c>
      <c r="I757" s="46" t="s">
        <v>2617</v>
      </c>
      <c r="J757" s="46" t="s">
        <v>3122</v>
      </c>
      <c r="K757" s="46" t="s">
        <v>3310</v>
      </c>
      <c r="L757" s="46">
        <v>32</v>
      </c>
    </row>
    <row r="758" spans="1:12" x14ac:dyDescent="0.3">
      <c r="A758" s="46" t="s">
        <v>767</v>
      </c>
      <c r="B758" s="46">
        <f>LEN(Table2[[#This Row],[Employee ID]])</f>
        <v>7</v>
      </c>
      <c r="C758" s="46" t="s">
        <v>2060</v>
      </c>
      <c r="D758" s="47">
        <v>35336</v>
      </c>
      <c r="E758" s="47">
        <v>40420</v>
      </c>
      <c r="F758" s="46" t="s">
        <v>2605</v>
      </c>
      <c r="G758" s="46">
        <v>63538</v>
      </c>
      <c r="H758" s="46" t="s">
        <v>2610</v>
      </c>
      <c r="I758" s="46" t="s">
        <v>2616</v>
      </c>
      <c r="J758" s="46" t="s">
        <v>3100</v>
      </c>
      <c r="K758" s="46" t="s">
        <v>3305</v>
      </c>
      <c r="L758" s="46">
        <v>15</v>
      </c>
    </row>
    <row r="759" spans="1:12" x14ac:dyDescent="0.3">
      <c r="A759" s="46" t="s">
        <v>768</v>
      </c>
      <c r="B759" s="46">
        <f>LEN(Table2[[#This Row],[Employee ID]])</f>
        <v>7</v>
      </c>
      <c r="C759" s="46" t="s">
        <v>2061</v>
      </c>
      <c r="D759" s="47">
        <v>28125</v>
      </c>
      <c r="E759" s="47">
        <v>43441</v>
      </c>
      <c r="F759" s="46" t="s">
        <v>2602</v>
      </c>
      <c r="G759" s="46">
        <v>167573</v>
      </c>
      <c r="H759" s="46" t="s">
        <v>2611</v>
      </c>
      <c r="I759" s="46" t="s">
        <v>2617</v>
      </c>
      <c r="J759" s="46" t="s">
        <v>3095</v>
      </c>
      <c r="K759" s="46" t="s">
        <v>3306</v>
      </c>
      <c r="L759" s="46">
        <v>7</v>
      </c>
    </row>
    <row r="760" spans="1:12" x14ac:dyDescent="0.3">
      <c r="A760" s="46" t="s">
        <v>769</v>
      </c>
      <c r="B760" s="46">
        <f>LEN(Table2[[#This Row],[Employee ID]])</f>
        <v>7</v>
      </c>
      <c r="C760" s="46" t="s">
        <v>2062</v>
      </c>
      <c r="D760" s="47">
        <v>27576</v>
      </c>
      <c r="E760" s="47">
        <v>40996</v>
      </c>
      <c r="F760" s="46" t="s">
        <v>2599</v>
      </c>
      <c r="G760" s="46">
        <v>180601</v>
      </c>
      <c r="H760" s="46" t="s">
        <v>2612</v>
      </c>
      <c r="I760" s="46" t="s">
        <v>2616</v>
      </c>
      <c r="J760" s="46" t="s">
        <v>3123</v>
      </c>
      <c r="K760" s="46" t="s">
        <v>3304</v>
      </c>
      <c r="L760" s="46">
        <v>13</v>
      </c>
    </row>
    <row r="761" spans="1:12" x14ac:dyDescent="0.3">
      <c r="A761" s="46" t="s">
        <v>770</v>
      </c>
      <c r="B761" s="46">
        <f>LEN(Table2[[#This Row],[Employee ID]])</f>
        <v>7</v>
      </c>
      <c r="C761" s="46" t="s">
        <v>2063</v>
      </c>
      <c r="D761" s="47">
        <v>26223</v>
      </c>
      <c r="E761" s="47">
        <v>33041</v>
      </c>
      <c r="F761" s="46" t="s">
        <v>2604</v>
      </c>
      <c r="G761" s="46">
        <v>68903</v>
      </c>
      <c r="H761" s="46" t="s">
        <v>2609</v>
      </c>
      <c r="I761" s="46" t="s">
        <v>2616</v>
      </c>
      <c r="J761" s="46" t="s">
        <v>3082</v>
      </c>
      <c r="K761" s="46" t="s">
        <v>3306</v>
      </c>
      <c r="L761" s="46">
        <v>35</v>
      </c>
    </row>
    <row r="762" spans="1:12" x14ac:dyDescent="0.3">
      <c r="A762" s="46" t="s">
        <v>771</v>
      </c>
      <c r="B762" s="46">
        <f>LEN(Table2[[#This Row],[Employee ID]])</f>
        <v>7</v>
      </c>
      <c r="C762" s="46" t="s">
        <v>2064</v>
      </c>
      <c r="D762" s="47">
        <v>25987</v>
      </c>
      <c r="E762" s="47">
        <v>27257</v>
      </c>
      <c r="F762" s="46" t="s">
        <v>2604</v>
      </c>
      <c r="G762" s="46">
        <v>183986</v>
      </c>
      <c r="H762" s="46" t="s">
        <v>2615</v>
      </c>
      <c r="I762" s="46" t="s">
        <v>2616</v>
      </c>
      <c r="J762" s="46" t="s">
        <v>2814</v>
      </c>
      <c r="K762" s="46" t="s">
        <v>3304</v>
      </c>
      <c r="L762" s="46">
        <v>51</v>
      </c>
    </row>
    <row r="763" spans="1:12" x14ac:dyDescent="0.3">
      <c r="A763" s="46" t="s">
        <v>772</v>
      </c>
      <c r="B763" s="46">
        <f>LEN(Table2[[#This Row],[Employee ID]])</f>
        <v>7</v>
      </c>
      <c r="C763" s="46" t="s">
        <v>2065</v>
      </c>
      <c r="D763" s="47">
        <v>24321</v>
      </c>
      <c r="E763" s="47">
        <v>35208</v>
      </c>
      <c r="F763" s="46" t="s">
        <v>2601</v>
      </c>
      <c r="G763" s="46">
        <v>25571</v>
      </c>
      <c r="H763" s="46" t="s">
        <v>2610</v>
      </c>
      <c r="I763" s="46" t="s">
        <v>2616</v>
      </c>
      <c r="J763" s="46" t="s">
        <v>3124</v>
      </c>
      <c r="K763" s="46" t="s">
        <v>3308</v>
      </c>
      <c r="L763" s="46">
        <v>29</v>
      </c>
    </row>
    <row r="764" spans="1:12" x14ac:dyDescent="0.3">
      <c r="A764" s="46" t="s">
        <v>773</v>
      </c>
      <c r="B764" s="46">
        <f>LEN(Table2[[#This Row],[Employee ID]])</f>
        <v>7</v>
      </c>
      <c r="C764" s="46" t="s">
        <v>2066</v>
      </c>
      <c r="D764" s="47">
        <v>33982</v>
      </c>
      <c r="E764" s="47">
        <v>30496</v>
      </c>
      <c r="F764" s="46" t="s">
        <v>2601</v>
      </c>
      <c r="G764" s="46">
        <v>63265</v>
      </c>
      <c r="H764" s="46" t="s">
        <v>2606</v>
      </c>
      <c r="I764" s="46" t="s">
        <v>2616</v>
      </c>
      <c r="J764" s="46" t="s">
        <v>2822</v>
      </c>
      <c r="K764" s="46" t="s">
        <v>3306</v>
      </c>
      <c r="L764" s="46">
        <v>42</v>
      </c>
    </row>
    <row r="765" spans="1:12" x14ac:dyDescent="0.3">
      <c r="A765" s="46" t="s">
        <v>774</v>
      </c>
      <c r="B765" s="46">
        <f>LEN(Table2[[#This Row],[Employee ID]])</f>
        <v>7</v>
      </c>
      <c r="C765" s="46" t="s">
        <v>2067</v>
      </c>
      <c r="D765" s="47">
        <v>22536</v>
      </c>
      <c r="E765" s="47">
        <v>43466</v>
      </c>
      <c r="F765" s="46" t="s">
        <v>2600</v>
      </c>
      <c r="G765" s="46">
        <v>67494</v>
      </c>
      <c r="H765" s="46" t="s">
        <v>2606</v>
      </c>
      <c r="I765" s="46" t="s">
        <v>2616</v>
      </c>
      <c r="J765" s="46" t="s">
        <v>2793</v>
      </c>
      <c r="K765" s="46" t="s">
        <v>3304</v>
      </c>
      <c r="L765" s="46">
        <v>6</v>
      </c>
    </row>
    <row r="766" spans="1:12" x14ac:dyDescent="0.3">
      <c r="A766" s="46" t="s">
        <v>775</v>
      </c>
      <c r="B766" s="46">
        <f>LEN(Table2[[#This Row],[Employee ID]])</f>
        <v>7</v>
      </c>
      <c r="C766" s="46" t="s">
        <v>2068</v>
      </c>
      <c r="D766" s="47">
        <v>25253</v>
      </c>
      <c r="E766" s="47">
        <v>43159</v>
      </c>
      <c r="F766" s="46" t="s">
        <v>2600</v>
      </c>
      <c r="G766" s="46">
        <v>107329</v>
      </c>
      <c r="H766" s="46" t="s">
        <v>2611</v>
      </c>
      <c r="I766" s="46" t="s">
        <v>2616</v>
      </c>
      <c r="J766" s="46" t="s">
        <v>3100</v>
      </c>
      <c r="K766" s="46" t="s">
        <v>3305</v>
      </c>
      <c r="L766" s="46">
        <v>7</v>
      </c>
    </row>
    <row r="767" spans="1:12" x14ac:dyDescent="0.3">
      <c r="A767" s="46" t="s">
        <v>776</v>
      </c>
      <c r="B767" s="46">
        <f>LEN(Table2[[#This Row],[Employee ID]])</f>
        <v>7</v>
      </c>
      <c r="C767" s="46" t="s">
        <v>2069</v>
      </c>
      <c r="D767" s="47">
        <v>31468</v>
      </c>
      <c r="E767" s="47">
        <v>38983</v>
      </c>
      <c r="F767" s="46" t="s">
        <v>2599</v>
      </c>
      <c r="G767" s="46">
        <v>25235</v>
      </c>
      <c r="H767" s="46" t="s">
        <v>2614</v>
      </c>
      <c r="I767" s="46" t="s">
        <v>2617</v>
      </c>
      <c r="J767" s="46" t="s">
        <v>3125</v>
      </c>
      <c r="K767" s="46" t="s">
        <v>3309</v>
      </c>
      <c r="L767" s="46">
        <v>19</v>
      </c>
    </row>
    <row r="768" spans="1:12" x14ac:dyDescent="0.3">
      <c r="A768" s="46" t="s">
        <v>777</v>
      </c>
      <c r="B768" s="46">
        <f>LEN(Table2[[#This Row],[Employee ID]])</f>
        <v>7</v>
      </c>
      <c r="C768" s="46" t="s">
        <v>2070</v>
      </c>
      <c r="D768" s="47">
        <v>32839</v>
      </c>
      <c r="E768" s="47">
        <v>26273</v>
      </c>
      <c r="F768" s="46" t="s">
        <v>2600</v>
      </c>
      <c r="G768" s="46">
        <v>91211</v>
      </c>
      <c r="H768" s="46" t="s">
        <v>2611</v>
      </c>
      <c r="I768" s="46" t="s">
        <v>2617</v>
      </c>
      <c r="J768" s="46" t="s">
        <v>2844</v>
      </c>
      <c r="K768" s="46" t="s">
        <v>3305</v>
      </c>
      <c r="L768" s="46">
        <v>54</v>
      </c>
    </row>
    <row r="769" spans="1:12" x14ac:dyDescent="0.3">
      <c r="A769" s="46" t="s">
        <v>778</v>
      </c>
      <c r="B769" s="46">
        <f>LEN(Table2[[#This Row],[Employee ID]])</f>
        <v>7</v>
      </c>
      <c r="C769" s="46" t="s">
        <v>2071</v>
      </c>
      <c r="D769" s="47">
        <v>23669</v>
      </c>
      <c r="E769" s="47">
        <v>41655</v>
      </c>
      <c r="F769" s="46" t="s">
        <v>2605</v>
      </c>
      <c r="G769" s="46">
        <v>77633</v>
      </c>
      <c r="H769" s="46" t="s">
        <v>2611</v>
      </c>
      <c r="I769" s="46" t="s">
        <v>2617</v>
      </c>
      <c r="J769" s="46" t="s">
        <v>3126</v>
      </c>
      <c r="K769" s="46" t="s">
        <v>3309</v>
      </c>
      <c r="L769" s="46">
        <v>11</v>
      </c>
    </row>
    <row r="770" spans="1:12" x14ac:dyDescent="0.3">
      <c r="A770" s="46" t="s">
        <v>779</v>
      </c>
      <c r="B770" s="46">
        <f>LEN(Table2[[#This Row],[Employee ID]])</f>
        <v>7</v>
      </c>
      <c r="C770" s="46" t="s">
        <v>2072</v>
      </c>
      <c r="D770" s="47">
        <v>28162</v>
      </c>
      <c r="E770" s="47">
        <v>39131</v>
      </c>
      <c r="F770" s="46" t="s">
        <v>2605</v>
      </c>
      <c r="G770" s="46">
        <v>166208</v>
      </c>
      <c r="H770" s="46" t="s">
        <v>2612</v>
      </c>
      <c r="I770" s="46" t="s">
        <v>2616</v>
      </c>
      <c r="J770" s="46" t="s">
        <v>3127</v>
      </c>
      <c r="K770" s="46" t="s">
        <v>3306</v>
      </c>
      <c r="L770" s="46">
        <v>18</v>
      </c>
    </row>
    <row r="771" spans="1:12" x14ac:dyDescent="0.3">
      <c r="A771" s="46" t="s">
        <v>780</v>
      </c>
      <c r="B771" s="46">
        <f>LEN(Table2[[#This Row],[Employee ID]])</f>
        <v>7</v>
      </c>
      <c r="C771" s="46" t="s">
        <v>2073</v>
      </c>
      <c r="D771" s="47">
        <v>27454</v>
      </c>
      <c r="E771" s="47">
        <v>36689</v>
      </c>
      <c r="F771" s="46" t="s">
        <v>2605</v>
      </c>
      <c r="G771" s="46">
        <v>125803</v>
      </c>
      <c r="H771" s="46" t="s">
        <v>2608</v>
      </c>
      <c r="I771" s="46" t="s">
        <v>2616</v>
      </c>
      <c r="J771" s="46" t="s">
        <v>2630</v>
      </c>
      <c r="K771" s="46" t="s">
        <v>3309</v>
      </c>
      <c r="L771" s="46">
        <v>25</v>
      </c>
    </row>
    <row r="772" spans="1:12" x14ac:dyDescent="0.3">
      <c r="A772" s="46" t="s">
        <v>781</v>
      </c>
      <c r="B772" s="46">
        <f>LEN(Table2[[#This Row],[Employee ID]])</f>
        <v>7</v>
      </c>
      <c r="C772" s="46" t="s">
        <v>2074</v>
      </c>
      <c r="D772" s="47">
        <v>27872</v>
      </c>
      <c r="E772" s="47">
        <v>37756</v>
      </c>
      <c r="F772" s="46" t="s">
        <v>2603</v>
      </c>
      <c r="G772" s="46">
        <v>64412</v>
      </c>
      <c r="H772" s="46" t="s">
        <v>2610</v>
      </c>
      <c r="I772" s="46" t="s">
        <v>2616</v>
      </c>
      <c r="J772" s="46" t="s">
        <v>3128</v>
      </c>
      <c r="K772" s="46" t="s">
        <v>3309</v>
      </c>
      <c r="L772" s="46">
        <v>22</v>
      </c>
    </row>
    <row r="773" spans="1:12" x14ac:dyDescent="0.3">
      <c r="A773" s="46" t="s">
        <v>782</v>
      </c>
      <c r="B773" s="46">
        <f>LEN(Table2[[#This Row],[Employee ID]])</f>
        <v>7</v>
      </c>
      <c r="C773" s="46" t="s">
        <v>2075</v>
      </c>
      <c r="D773" s="47">
        <v>30866</v>
      </c>
      <c r="E773" s="47">
        <v>44112</v>
      </c>
      <c r="F773" s="46" t="s">
        <v>2604</v>
      </c>
      <c r="G773" s="46">
        <v>31264</v>
      </c>
      <c r="H773" s="46" t="s">
        <v>2613</v>
      </c>
      <c r="I773" s="46" t="s">
        <v>2617</v>
      </c>
      <c r="J773" s="46" t="s">
        <v>2865</v>
      </c>
      <c r="K773" s="46" t="s">
        <v>3305</v>
      </c>
      <c r="L773" s="46">
        <v>5</v>
      </c>
    </row>
    <row r="774" spans="1:12" x14ac:dyDescent="0.3">
      <c r="A774" s="46" t="s">
        <v>783</v>
      </c>
      <c r="B774" s="46">
        <f>LEN(Table2[[#This Row],[Employee ID]])</f>
        <v>7</v>
      </c>
      <c r="C774" s="46" t="s">
        <v>2076</v>
      </c>
      <c r="D774" s="47">
        <v>31836</v>
      </c>
      <c r="E774" s="47">
        <v>30055</v>
      </c>
      <c r="F774" s="46" t="s">
        <v>2604</v>
      </c>
      <c r="G774" s="46">
        <v>57477</v>
      </c>
      <c r="H774" s="46" t="s">
        <v>2610</v>
      </c>
      <c r="I774" s="46" t="s">
        <v>2616</v>
      </c>
      <c r="J774" s="46" t="s">
        <v>3129</v>
      </c>
      <c r="K774" s="46" t="s">
        <v>3310</v>
      </c>
      <c r="L774" s="46">
        <v>43</v>
      </c>
    </row>
    <row r="775" spans="1:12" x14ac:dyDescent="0.3">
      <c r="A775" s="46" t="s">
        <v>784</v>
      </c>
      <c r="B775" s="46">
        <f>LEN(Table2[[#This Row],[Employee ID]])</f>
        <v>7</v>
      </c>
      <c r="C775" s="46" t="s">
        <v>2077</v>
      </c>
      <c r="D775" s="47">
        <v>28548</v>
      </c>
      <c r="E775" s="47">
        <v>42805</v>
      </c>
      <c r="F775" s="46" t="s">
        <v>2604</v>
      </c>
      <c r="G775" s="46">
        <v>121624</v>
      </c>
      <c r="H775" s="46" t="s">
        <v>2609</v>
      </c>
      <c r="I775" s="46" t="s">
        <v>2616</v>
      </c>
      <c r="J775" s="46" t="s">
        <v>2742</v>
      </c>
      <c r="K775" s="46" t="s">
        <v>3308</v>
      </c>
      <c r="L775" s="46">
        <v>8</v>
      </c>
    </row>
    <row r="776" spans="1:12" x14ac:dyDescent="0.3">
      <c r="A776" s="46" t="s">
        <v>785</v>
      </c>
      <c r="B776" s="46">
        <f>LEN(Table2[[#This Row],[Employee ID]])</f>
        <v>7</v>
      </c>
      <c r="C776" s="46" t="s">
        <v>2078</v>
      </c>
      <c r="D776" s="47">
        <v>34582</v>
      </c>
      <c r="E776" s="47">
        <v>42219</v>
      </c>
      <c r="F776" s="46" t="s">
        <v>2600</v>
      </c>
      <c r="G776" s="46">
        <v>138619</v>
      </c>
      <c r="H776" s="46" t="s">
        <v>2614</v>
      </c>
      <c r="I776" s="46" t="s">
        <v>2616</v>
      </c>
      <c r="J776" s="46" t="s">
        <v>3130</v>
      </c>
      <c r="K776" s="46" t="s">
        <v>3310</v>
      </c>
      <c r="L776" s="46">
        <v>10</v>
      </c>
    </row>
    <row r="777" spans="1:12" x14ac:dyDescent="0.3">
      <c r="A777" s="46" t="s">
        <v>786</v>
      </c>
      <c r="B777" s="46">
        <f>LEN(Table2[[#This Row],[Employee ID]])</f>
        <v>7</v>
      </c>
      <c r="C777" s="46" t="s">
        <v>2079</v>
      </c>
      <c r="D777" s="47">
        <v>32316</v>
      </c>
      <c r="E777" s="47">
        <v>31981</v>
      </c>
      <c r="F777" s="46" t="s">
        <v>2605</v>
      </c>
      <c r="G777" s="46">
        <v>67980</v>
      </c>
      <c r="H777" s="46" t="s">
        <v>2610</v>
      </c>
      <c r="I777" s="46" t="s">
        <v>2617</v>
      </c>
      <c r="J777" s="46" t="s">
        <v>3131</v>
      </c>
      <c r="K777" s="46" t="s">
        <v>3306</v>
      </c>
      <c r="L777" s="46">
        <v>38</v>
      </c>
    </row>
    <row r="778" spans="1:12" x14ac:dyDescent="0.3">
      <c r="A778" s="46" t="s">
        <v>787</v>
      </c>
      <c r="B778" s="46">
        <f>LEN(Table2[[#This Row],[Employee ID]])</f>
        <v>7</v>
      </c>
      <c r="C778" s="46" t="s">
        <v>2080</v>
      </c>
      <c r="D778" s="47">
        <v>33684</v>
      </c>
      <c r="E778" s="47">
        <v>41107</v>
      </c>
      <c r="F778" s="46" t="s">
        <v>2601</v>
      </c>
      <c r="G778" s="46">
        <v>21555</v>
      </c>
      <c r="H778" s="46" t="s">
        <v>2606</v>
      </c>
      <c r="I778" s="46" t="s">
        <v>2617</v>
      </c>
      <c r="J778" s="46" t="s">
        <v>3132</v>
      </c>
      <c r="K778" s="46" t="s">
        <v>3306</v>
      </c>
      <c r="L778" s="46">
        <v>13</v>
      </c>
    </row>
    <row r="779" spans="1:12" x14ac:dyDescent="0.3">
      <c r="A779" s="46" t="s">
        <v>788</v>
      </c>
      <c r="B779" s="46">
        <f>LEN(Table2[[#This Row],[Employee ID]])</f>
        <v>7</v>
      </c>
      <c r="C779" s="46" t="s">
        <v>2081</v>
      </c>
      <c r="D779" s="47">
        <v>32307</v>
      </c>
      <c r="E779" s="47">
        <v>28097</v>
      </c>
      <c r="F779" s="46" t="s">
        <v>2599</v>
      </c>
      <c r="G779" s="46">
        <v>132347</v>
      </c>
      <c r="H779" s="46" t="s">
        <v>2610</v>
      </c>
      <c r="I779" s="46" t="s">
        <v>2617</v>
      </c>
      <c r="J779" s="46" t="s">
        <v>3133</v>
      </c>
      <c r="K779" s="46" t="s">
        <v>3309</v>
      </c>
      <c r="L779" s="46">
        <v>49</v>
      </c>
    </row>
    <row r="780" spans="1:12" x14ac:dyDescent="0.3">
      <c r="A780" s="46" t="s">
        <v>789</v>
      </c>
      <c r="B780" s="46">
        <f>LEN(Table2[[#This Row],[Employee ID]])</f>
        <v>7</v>
      </c>
      <c r="C780" s="46" t="s">
        <v>2082</v>
      </c>
      <c r="D780" s="47">
        <v>27900</v>
      </c>
      <c r="E780" s="47">
        <v>33667</v>
      </c>
      <c r="F780" s="46" t="s">
        <v>2599</v>
      </c>
      <c r="G780" s="46">
        <v>192227</v>
      </c>
      <c r="H780" s="46" t="s">
        <v>2609</v>
      </c>
      <c r="I780" s="46" t="s">
        <v>2617</v>
      </c>
      <c r="J780" s="46" t="s">
        <v>3134</v>
      </c>
      <c r="K780" s="46" t="s">
        <v>3308</v>
      </c>
      <c r="L780" s="46">
        <v>33</v>
      </c>
    </row>
    <row r="781" spans="1:12" x14ac:dyDescent="0.3">
      <c r="A781" s="46" t="s">
        <v>790</v>
      </c>
      <c r="B781" s="46">
        <f>LEN(Table2[[#This Row],[Employee ID]])</f>
        <v>7</v>
      </c>
      <c r="C781" s="46" t="s">
        <v>2083</v>
      </c>
      <c r="D781" s="47">
        <v>22643</v>
      </c>
      <c r="E781" s="47">
        <v>32230</v>
      </c>
      <c r="F781" s="46" t="s">
        <v>2600</v>
      </c>
      <c r="G781" s="46">
        <v>159626</v>
      </c>
      <c r="H781" s="46" t="s">
        <v>2607</v>
      </c>
      <c r="I781" s="46" t="s">
        <v>2617</v>
      </c>
      <c r="J781" s="46" t="s">
        <v>3135</v>
      </c>
      <c r="K781" s="46" t="s">
        <v>3309</v>
      </c>
      <c r="L781" s="46">
        <v>37</v>
      </c>
    </row>
    <row r="782" spans="1:12" x14ac:dyDescent="0.3">
      <c r="A782" s="46" t="s">
        <v>791</v>
      </c>
      <c r="B782" s="46">
        <f>LEN(Table2[[#This Row],[Employee ID]])</f>
        <v>7</v>
      </c>
      <c r="C782" s="46" t="s">
        <v>2084</v>
      </c>
      <c r="D782" s="47">
        <v>29235</v>
      </c>
      <c r="E782" s="47">
        <v>37846</v>
      </c>
      <c r="F782" s="46" t="s">
        <v>2601</v>
      </c>
      <c r="G782" s="46">
        <v>64261</v>
      </c>
      <c r="H782" s="46" t="s">
        <v>2608</v>
      </c>
      <c r="I782" s="46" t="s">
        <v>2616</v>
      </c>
      <c r="J782" s="46" t="s">
        <v>3136</v>
      </c>
      <c r="K782" s="46" t="s">
        <v>3305</v>
      </c>
      <c r="L782" s="46">
        <v>22</v>
      </c>
    </row>
    <row r="783" spans="1:12" x14ac:dyDescent="0.3">
      <c r="A783" s="46" t="s">
        <v>792</v>
      </c>
      <c r="B783" s="46">
        <f>LEN(Table2[[#This Row],[Employee ID]])</f>
        <v>7</v>
      </c>
      <c r="C783" s="46" t="s">
        <v>2085</v>
      </c>
      <c r="D783" s="47">
        <v>25030</v>
      </c>
      <c r="E783" s="47">
        <v>38115</v>
      </c>
      <c r="F783" s="46" t="s">
        <v>2604</v>
      </c>
      <c r="G783" s="46">
        <v>175954</v>
      </c>
      <c r="H783" s="46" t="s">
        <v>2612</v>
      </c>
      <c r="I783" s="46" t="s">
        <v>2617</v>
      </c>
      <c r="J783" s="46" t="s">
        <v>3137</v>
      </c>
      <c r="K783" s="46" t="s">
        <v>3306</v>
      </c>
      <c r="L783" s="46">
        <v>21</v>
      </c>
    </row>
    <row r="784" spans="1:12" x14ac:dyDescent="0.3">
      <c r="A784" s="46" t="s">
        <v>793</v>
      </c>
      <c r="B784" s="46">
        <f>LEN(Table2[[#This Row],[Employee ID]])</f>
        <v>7</v>
      </c>
      <c r="C784" s="46" t="s">
        <v>2086</v>
      </c>
      <c r="D784" s="47">
        <v>23710</v>
      </c>
      <c r="E784" s="47">
        <v>30829</v>
      </c>
      <c r="F784" s="46" t="s">
        <v>2604</v>
      </c>
      <c r="G784" s="46">
        <v>82528</v>
      </c>
      <c r="H784" s="46" t="s">
        <v>2613</v>
      </c>
      <c r="I784" s="46" t="s">
        <v>2617</v>
      </c>
      <c r="J784" s="46" t="s">
        <v>2995</v>
      </c>
      <c r="K784" s="46" t="s">
        <v>3310</v>
      </c>
      <c r="L784" s="46">
        <v>41</v>
      </c>
    </row>
    <row r="785" spans="1:12" x14ac:dyDescent="0.3">
      <c r="A785" s="46" t="s">
        <v>794</v>
      </c>
      <c r="B785" s="46">
        <f>LEN(Table2[[#This Row],[Employee ID]])</f>
        <v>7</v>
      </c>
      <c r="C785" s="46" t="s">
        <v>2087</v>
      </c>
      <c r="D785" s="47">
        <v>36747</v>
      </c>
      <c r="E785" s="47">
        <v>34154</v>
      </c>
      <c r="F785" s="46" t="s">
        <v>2603</v>
      </c>
      <c r="G785" s="46">
        <v>103637</v>
      </c>
      <c r="H785" s="46" t="s">
        <v>2606</v>
      </c>
      <c r="I785" s="46" t="s">
        <v>2617</v>
      </c>
      <c r="J785" s="46" t="s">
        <v>3138</v>
      </c>
      <c r="K785" s="46" t="s">
        <v>3310</v>
      </c>
      <c r="L785" s="46">
        <v>32</v>
      </c>
    </row>
    <row r="786" spans="1:12" x14ac:dyDescent="0.3">
      <c r="A786" s="46" t="s">
        <v>795</v>
      </c>
      <c r="B786" s="46">
        <f>LEN(Table2[[#This Row],[Employee ID]])</f>
        <v>7</v>
      </c>
      <c r="C786" s="46" t="s">
        <v>2088</v>
      </c>
      <c r="D786" s="47">
        <v>36721</v>
      </c>
      <c r="E786" s="47">
        <v>26366</v>
      </c>
      <c r="F786" s="46" t="s">
        <v>2601</v>
      </c>
      <c r="G786" s="46">
        <v>160685</v>
      </c>
      <c r="H786" s="46" t="s">
        <v>2612</v>
      </c>
      <c r="I786" s="46" t="s">
        <v>2616</v>
      </c>
      <c r="J786" s="46" t="s">
        <v>3093</v>
      </c>
      <c r="K786" s="46" t="s">
        <v>3308</v>
      </c>
      <c r="L786" s="46">
        <v>53</v>
      </c>
    </row>
    <row r="787" spans="1:12" x14ac:dyDescent="0.3">
      <c r="A787" s="46" t="s">
        <v>796</v>
      </c>
      <c r="B787" s="46">
        <f>LEN(Table2[[#This Row],[Employee ID]])</f>
        <v>7</v>
      </c>
      <c r="C787" s="46" t="s">
        <v>2089</v>
      </c>
      <c r="D787" s="47">
        <v>26810</v>
      </c>
      <c r="E787" s="47">
        <v>38399</v>
      </c>
      <c r="F787" s="46" t="s">
        <v>2601</v>
      </c>
      <c r="G787" s="46">
        <v>193236</v>
      </c>
      <c r="H787" s="46" t="s">
        <v>2612</v>
      </c>
      <c r="I787" s="46" t="s">
        <v>2616</v>
      </c>
      <c r="J787" s="46" t="s">
        <v>3139</v>
      </c>
      <c r="K787" s="46" t="s">
        <v>3310</v>
      </c>
      <c r="L787" s="46">
        <v>20</v>
      </c>
    </row>
    <row r="788" spans="1:12" x14ac:dyDescent="0.3">
      <c r="A788" s="46" t="s">
        <v>797</v>
      </c>
      <c r="B788" s="46">
        <f>LEN(Table2[[#This Row],[Employee ID]])</f>
        <v>7</v>
      </c>
      <c r="C788" s="46" t="s">
        <v>2090</v>
      </c>
      <c r="D788" s="47">
        <v>24803</v>
      </c>
      <c r="E788" s="47">
        <v>40972</v>
      </c>
      <c r="F788" s="46" t="s">
        <v>2599</v>
      </c>
      <c r="G788" s="46">
        <v>24901</v>
      </c>
      <c r="H788" s="46" t="s">
        <v>2607</v>
      </c>
      <c r="I788" s="46" t="s">
        <v>2617</v>
      </c>
      <c r="J788" s="46" t="s">
        <v>3090</v>
      </c>
      <c r="K788" s="46" t="s">
        <v>3307</v>
      </c>
      <c r="L788" s="46">
        <v>13</v>
      </c>
    </row>
    <row r="789" spans="1:12" x14ac:dyDescent="0.3">
      <c r="A789" s="46" t="s">
        <v>798</v>
      </c>
      <c r="B789" s="46">
        <f>LEN(Table2[[#This Row],[Employee ID]])</f>
        <v>7</v>
      </c>
      <c r="C789" s="46" t="s">
        <v>2091</v>
      </c>
      <c r="D789" s="47">
        <v>24234</v>
      </c>
      <c r="E789" s="47">
        <v>28828</v>
      </c>
      <c r="F789" s="46" t="s">
        <v>2601</v>
      </c>
      <c r="G789" s="46">
        <v>83935</v>
      </c>
      <c r="H789" s="46" t="s">
        <v>2610</v>
      </c>
      <c r="I789" s="46" t="s">
        <v>2616</v>
      </c>
      <c r="J789" s="46" t="s">
        <v>3140</v>
      </c>
      <c r="K789" s="46" t="s">
        <v>3307</v>
      </c>
      <c r="L789" s="46">
        <v>47</v>
      </c>
    </row>
    <row r="790" spans="1:12" x14ac:dyDescent="0.3">
      <c r="A790" s="46" t="s">
        <v>799</v>
      </c>
      <c r="B790" s="46">
        <f>LEN(Table2[[#This Row],[Employee ID]])</f>
        <v>7</v>
      </c>
      <c r="C790" s="46" t="s">
        <v>2092</v>
      </c>
      <c r="D790" s="47">
        <v>31087</v>
      </c>
      <c r="E790" s="47">
        <v>29753</v>
      </c>
      <c r="F790" s="46" t="s">
        <v>2599</v>
      </c>
      <c r="G790" s="46">
        <v>85811</v>
      </c>
      <c r="H790" s="46" t="s">
        <v>2609</v>
      </c>
      <c r="I790" s="46" t="s">
        <v>2617</v>
      </c>
      <c r="J790" s="46" t="s">
        <v>3141</v>
      </c>
      <c r="K790" s="46" t="s">
        <v>3306</v>
      </c>
      <c r="L790" s="46">
        <v>44</v>
      </c>
    </row>
    <row r="791" spans="1:12" x14ac:dyDescent="0.3">
      <c r="A791" s="46" t="s">
        <v>800</v>
      </c>
      <c r="B791" s="46">
        <f>LEN(Table2[[#This Row],[Employee ID]])</f>
        <v>7</v>
      </c>
      <c r="C791" s="46" t="s">
        <v>2093</v>
      </c>
      <c r="D791" s="47">
        <v>24953</v>
      </c>
      <c r="E791" s="47">
        <v>39427</v>
      </c>
      <c r="F791" s="46" t="s">
        <v>2605</v>
      </c>
      <c r="G791" s="46">
        <v>198705</v>
      </c>
      <c r="H791" s="46" t="s">
        <v>2612</v>
      </c>
      <c r="I791" s="46" t="s">
        <v>2616</v>
      </c>
      <c r="J791" s="46" t="s">
        <v>3142</v>
      </c>
      <c r="K791" s="46" t="s">
        <v>3307</v>
      </c>
      <c r="L791" s="46">
        <v>18</v>
      </c>
    </row>
    <row r="792" spans="1:12" x14ac:dyDescent="0.3">
      <c r="A792" s="46" t="s">
        <v>801</v>
      </c>
      <c r="B792" s="46">
        <f>LEN(Table2[[#This Row],[Employee ID]])</f>
        <v>7</v>
      </c>
      <c r="C792" s="46" t="s">
        <v>2094</v>
      </c>
      <c r="D792" s="47">
        <v>33839</v>
      </c>
      <c r="E792" s="47">
        <v>29054</v>
      </c>
      <c r="F792" s="46" t="s">
        <v>2602</v>
      </c>
      <c r="G792" s="46">
        <v>65020</v>
      </c>
      <c r="H792" s="46" t="s">
        <v>2615</v>
      </c>
      <c r="I792" s="46" t="s">
        <v>2616</v>
      </c>
      <c r="J792" s="46" t="s">
        <v>2683</v>
      </c>
      <c r="K792" s="46" t="s">
        <v>3306</v>
      </c>
      <c r="L792" s="46">
        <v>46</v>
      </c>
    </row>
    <row r="793" spans="1:12" x14ac:dyDescent="0.3">
      <c r="A793" s="46" t="s">
        <v>802</v>
      </c>
      <c r="B793" s="46">
        <f>LEN(Table2[[#This Row],[Employee ID]])</f>
        <v>7</v>
      </c>
      <c r="C793" s="46" t="s">
        <v>2095</v>
      </c>
      <c r="D793" s="47">
        <v>21626</v>
      </c>
      <c r="E793" s="47">
        <v>32900</v>
      </c>
      <c r="F793" s="46" t="s">
        <v>2603</v>
      </c>
      <c r="G793" s="46">
        <v>141609</v>
      </c>
      <c r="H793" s="46" t="s">
        <v>2613</v>
      </c>
      <c r="I793" s="46" t="s">
        <v>2617</v>
      </c>
      <c r="J793" s="46" t="s">
        <v>2623</v>
      </c>
      <c r="K793" s="46" t="s">
        <v>3309</v>
      </c>
      <c r="L793" s="46">
        <v>35</v>
      </c>
    </row>
    <row r="794" spans="1:12" x14ac:dyDescent="0.3">
      <c r="A794" s="46" t="s">
        <v>803</v>
      </c>
      <c r="B794" s="46">
        <f>LEN(Table2[[#This Row],[Employee ID]])</f>
        <v>7</v>
      </c>
      <c r="C794" s="46" t="s">
        <v>2096</v>
      </c>
      <c r="D794" s="47">
        <v>25671</v>
      </c>
      <c r="E794" s="47">
        <v>37415</v>
      </c>
      <c r="F794" s="46" t="s">
        <v>2602</v>
      </c>
      <c r="G794" s="46">
        <v>84291</v>
      </c>
      <c r="H794" s="46" t="s">
        <v>2609</v>
      </c>
      <c r="I794" s="46" t="s">
        <v>2617</v>
      </c>
      <c r="J794" s="46" t="s">
        <v>3143</v>
      </c>
      <c r="K794" s="46" t="s">
        <v>3310</v>
      </c>
      <c r="L794" s="46">
        <v>23</v>
      </c>
    </row>
    <row r="795" spans="1:12" x14ac:dyDescent="0.3">
      <c r="A795" s="46" t="s">
        <v>804</v>
      </c>
      <c r="B795" s="46">
        <f>LEN(Table2[[#This Row],[Employee ID]])</f>
        <v>7</v>
      </c>
      <c r="C795" s="46" t="s">
        <v>2097</v>
      </c>
      <c r="D795" s="47">
        <v>32906</v>
      </c>
      <c r="E795" s="47">
        <v>39837</v>
      </c>
      <c r="F795" s="46" t="s">
        <v>2602</v>
      </c>
      <c r="G795" s="46">
        <v>79841</v>
      </c>
      <c r="H795" s="46" t="s">
        <v>2607</v>
      </c>
      <c r="I795" s="46" t="s">
        <v>2617</v>
      </c>
      <c r="J795" s="46" t="s">
        <v>3144</v>
      </c>
      <c r="K795" s="46" t="s">
        <v>3304</v>
      </c>
      <c r="L795" s="46">
        <v>16</v>
      </c>
    </row>
    <row r="796" spans="1:12" x14ac:dyDescent="0.3">
      <c r="A796" s="46" t="s">
        <v>805</v>
      </c>
      <c r="B796" s="46">
        <f>LEN(Table2[[#This Row],[Employee ID]])</f>
        <v>7</v>
      </c>
      <c r="C796" s="46" t="s">
        <v>2098</v>
      </c>
      <c r="D796" s="47">
        <v>32430</v>
      </c>
      <c r="E796" s="47">
        <v>30366</v>
      </c>
      <c r="F796" s="46" t="s">
        <v>2601</v>
      </c>
      <c r="G796" s="46">
        <v>94226</v>
      </c>
      <c r="H796" s="46" t="s">
        <v>2609</v>
      </c>
      <c r="I796" s="46" t="s">
        <v>2617</v>
      </c>
      <c r="J796" s="46" t="s">
        <v>3011</v>
      </c>
      <c r="K796" s="46" t="s">
        <v>3306</v>
      </c>
      <c r="L796" s="46">
        <v>42</v>
      </c>
    </row>
    <row r="797" spans="1:12" x14ac:dyDescent="0.3">
      <c r="A797" s="46" t="s">
        <v>806</v>
      </c>
      <c r="B797" s="46">
        <f>LEN(Table2[[#This Row],[Employee ID]])</f>
        <v>7</v>
      </c>
      <c r="C797" s="46" t="s">
        <v>2099</v>
      </c>
      <c r="D797" s="47">
        <v>36339</v>
      </c>
      <c r="E797" s="47">
        <v>31098</v>
      </c>
      <c r="F797" s="46" t="s">
        <v>2603</v>
      </c>
      <c r="G797" s="46">
        <v>85464</v>
      </c>
      <c r="H797" s="46" t="s">
        <v>2608</v>
      </c>
      <c r="I797" s="46" t="s">
        <v>2617</v>
      </c>
      <c r="J797" s="46" t="s">
        <v>3145</v>
      </c>
      <c r="K797" s="46" t="s">
        <v>3306</v>
      </c>
      <c r="L797" s="46">
        <v>40</v>
      </c>
    </row>
    <row r="798" spans="1:12" x14ac:dyDescent="0.3">
      <c r="A798" s="46" t="s">
        <v>807</v>
      </c>
      <c r="B798" s="46">
        <f>LEN(Table2[[#This Row],[Employee ID]])</f>
        <v>7</v>
      </c>
      <c r="C798" s="46" t="s">
        <v>2100</v>
      </c>
      <c r="D798" s="47">
        <v>26718</v>
      </c>
      <c r="E798" s="47">
        <v>28114</v>
      </c>
      <c r="F798" s="46" t="s">
        <v>2601</v>
      </c>
      <c r="G798" s="46">
        <v>64379</v>
      </c>
      <c r="H798" s="46" t="s">
        <v>2610</v>
      </c>
      <c r="I798" s="46" t="s">
        <v>2616</v>
      </c>
      <c r="J798" s="46" t="s">
        <v>2770</v>
      </c>
      <c r="K798" s="46" t="s">
        <v>3310</v>
      </c>
      <c r="L798" s="46">
        <v>49</v>
      </c>
    </row>
    <row r="799" spans="1:12" x14ac:dyDescent="0.3">
      <c r="A799" s="46" t="s">
        <v>808</v>
      </c>
      <c r="B799" s="46">
        <f>LEN(Table2[[#This Row],[Employee ID]])</f>
        <v>7</v>
      </c>
      <c r="C799" s="46" t="s">
        <v>2101</v>
      </c>
      <c r="D799" s="47">
        <v>21634</v>
      </c>
      <c r="E799" s="47">
        <v>29565</v>
      </c>
      <c r="F799" s="46" t="s">
        <v>2602</v>
      </c>
      <c r="G799" s="46">
        <v>179230</v>
      </c>
      <c r="H799" s="46" t="s">
        <v>2615</v>
      </c>
      <c r="I799" s="46" t="s">
        <v>2617</v>
      </c>
      <c r="J799" s="46" t="s">
        <v>2813</v>
      </c>
      <c r="K799" s="46" t="s">
        <v>3305</v>
      </c>
      <c r="L799" s="46">
        <v>45</v>
      </c>
    </row>
    <row r="800" spans="1:12" x14ac:dyDescent="0.3">
      <c r="A800" s="46" t="s">
        <v>809</v>
      </c>
      <c r="B800" s="46">
        <f>LEN(Table2[[#This Row],[Employee ID]])</f>
        <v>7</v>
      </c>
      <c r="C800" s="46" t="s">
        <v>2102</v>
      </c>
      <c r="D800" s="47">
        <v>22245</v>
      </c>
      <c r="E800" s="47">
        <v>26727</v>
      </c>
      <c r="F800" s="46" t="s">
        <v>2604</v>
      </c>
      <c r="G800" s="46">
        <v>58884</v>
      </c>
      <c r="H800" s="46" t="s">
        <v>2615</v>
      </c>
      <c r="I800" s="46" t="s">
        <v>2617</v>
      </c>
      <c r="J800" s="46" t="s">
        <v>3146</v>
      </c>
      <c r="K800" s="46" t="s">
        <v>3306</v>
      </c>
      <c r="L800" s="46">
        <v>52</v>
      </c>
    </row>
    <row r="801" spans="1:12" x14ac:dyDescent="0.3">
      <c r="A801" s="46" t="s">
        <v>810</v>
      </c>
      <c r="B801" s="46">
        <f>LEN(Table2[[#This Row],[Employee ID]])</f>
        <v>7</v>
      </c>
      <c r="C801" s="46" t="s">
        <v>2103</v>
      </c>
      <c r="D801" s="47">
        <v>31120</v>
      </c>
      <c r="E801" s="47">
        <v>26658</v>
      </c>
      <c r="F801" s="46" t="s">
        <v>2604</v>
      </c>
      <c r="G801" s="46">
        <v>129143</v>
      </c>
      <c r="H801" s="46" t="s">
        <v>2615</v>
      </c>
      <c r="I801" s="46" t="s">
        <v>2617</v>
      </c>
      <c r="J801" s="46" t="s">
        <v>3147</v>
      </c>
      <c r="K801" s="46" t="s">
        <v>3308</v>
      </c>
      <c r="L801" s="46">
        <v>53</v>
      </c>
    </row>
    <row r="802" spans="1:12" x14ac:dyDescent="0.3">
      <c r="A802" s="46" t="s">
        <v>811</v>
      </c>
      <c r="B802" s="46">
        <f>LEN(Table2[[#This Row],[Employee ID]])</f>
        <v>7</v>
      </c>
      <c r="C802" s="46" t="s">
        <v>2104</v>
      </c>
      <c r="D802" s="47">
        <v>26956</v>
      </c>
      <c r="E802" s="47">
        <v>44781</v>
      </c>
      <c r="F802" s="46" t="s">
        <v>2602</v>
      </c>
      <c r="G802" s="46">
        <v>100309</v>
      </c>
      <c r="H802" s="46" t="s">
        <v>2612</v>
      </c>
      <c r="I802" s="46" t="s">
        <v>2616</v>
      </c>
      <c r="J802" s="46" t="s">
        <v>3148</v>
      </c>
      <c r="K802" s="46" t="s">
        <v>3304</v>
      </c>
      <c r="L802" s="46">
        <v>3</v>
      </c>
    </row>
    <row r="803" spans="1:12" x14ac:dyDescent="0.3">
      <c r="A803" s="46" t="s">
        <v>812</v>
      </c>
      <c r="B803" s="46">
        <f>LEN(Table2[[#This Row],[Employee ID]])</f>
        <v>7</v>
      </c>
      <c r="C803" s="46" t="s">
        <v>2105</v>
      </c>
      <c r="D803" s="47">
        <v>22332</v>
      </c>
      <c r="E803" s="47">
        <v>41706</v>
      </c>
      <c r="F803" s="46" t="s">
        <v>2599</v>
      </c>
      <c r="G803" s="46">
        <v>160413</v>
      </c>
      <c r="H803" s="46" t="s">
        <v>2614</v>
      </c>
      <c r="I803" s="46" t="s">
        <v>2616</v>
      </c>
      <c r="J803" s="46" t="s">
        <v>2966</v>
      </c>
      <c r="K803" s="46" t="s">
        <v>3306</v>
      </c>
      <c r="L803" s="46">
        <v>11</v>
      </c>
    </row>
    <row r="804" spans="1:12" x14ac:dyDescent="0.3">
      <c r="A804" s="46" t="s">
        <v>813</v>
      </c>
      <c r="B804" s="46">
        <f>LEN(Table2[[#This Row],[Employee ID]])</f>
        <v>7</v>
      </c>
      <c r="C804" s="46" t="s">
        <v>2106</v>
      </c>
      <c r="D804" s="47">
        <v>31556</v>
      </c>
      <c r="E804" s="47">
        <v>27191</v>
      </c>
      <c r="F804" s="46" t="s">
        <v>2601</v>
      </c>
      <c r="G804" s="46">
        <v>132858</v>
      </c>
      <c r="H804" s="46" t="s">
        <v>2610</v>
      </c>
      <c r="I804" s="46" t="s">
        <v>2617</v>
      </c>
      <c r="J804" s="46" t="s">
        <v>2647</v>
      </c>
      <c r="K804" s="46" t="s">
        <v>3305</v>
      </c>
      <c r="L804" s="46">
        <v>51</v>
      </c>
    </row>
    <row r="805" spans="1:12" x14ac:dyDescent="0.3">
      <c r="A805" s="46" t="s">
        <v>814</v>
      </c>
      <c r="B805" s="46">
        <f>LEN(Table2[[#This Row],[Employee ID]])</f>
        <v>7</v>
      </c>
      <c r="C805" s="46" t="s">
        <v>2107</v>
      </c>
      <c r="D805" s="47">
        <v>25759</v>
      </c>
      <c r="E805" s="47">
        <v>31501</v>
      </c>
      <c r="F805" s="46" t="s">
        <v>2604</v>
      </c>
      <c r="G805" s="46">
        <v>77177</v>
      </c>
      <c r="H805" s="46" t="s">
        <v>2609</v>
      </c>
      <c r="I805" s="46" t="s">
        <v>2617</v>
      </c>
      <c r="J805" s="46" t="s">
        <v>3149</v>
      </c>
      <c r="K805" s="46" t="s">
        <v>3309</v>
      </c>
      <c r="L805" s="46">
        <v>39</v>
      </c>
    </row>
    <row r="806" spans="1:12" x14ac:dyDescent="0.3">
      <c r="A806" s="46" t="s">
        <v>815</v>
      </c>
      <c r="B806" s="46">
        <f>LEN(Table2[[#This Row],[Employee ID]])</f>
        <v>7</v>
      </c>
      <c r="C806" s="46" t="s">
        <v>2108</v>
      </c>
      <c r="D806" s="47">
        <v>35376</v>
      </c>
      <c r="E806" s="47">
        <v>26556</v>
      </c>
      <c r="F806" s="46" t="s">
        <v>2603</v>
      </c>
      <c r="G806" s="46">
        <v>70122</v>
      </c>
      <c r="H806" s="46" t="s">
        <v>2613</v>
      </c>
      <c r="I806" s="46" t="s">
        <v>2616</v>
      </c>
      <c r="J806" s="46" t="s">
        <v>3150</v>
      </c>
      <c r="K806" s="46" t="s">
        <v>3310</v>
      </c>
      <c r="L806" s="46">
        <v>53</v>
      </c>
    </row>
    <row r="807" spans="1:12" x14ac:dyDescent="0.3">
      <c r="A807" s="46" t="s">
        <v>816</v>
      </c>
      <c r="B807" s="46">
        <f>LEN(Table2[[#This Row],[Employee ID]])</f>
        <v>7</v>
      </c>
      <c r="C807" s="46" t="s">
        <v>2109</v>
      </c>
      <c r="D807" s="47">
        <v>35739</v>
      </c>
      <c r="E807" s="47">
        <v>44614</v>
      </c>
      <c r="F807" s="46" t="s">
        <v>2604</v>
      </c>
      <c r="G807" s="46">
        <v>196913</v>
      </c>
      <c r="H807" s="46" t="s">
        <v>2609</v>
      </c>
      <c r="I807" s="46" t="s">
        <v>2616</v>
      </c>
      <c r="J807" s="46" t="s">
        <v>3144</v>
      </c>
      <c r="K807" s="46" t="s">
        <v>3307</v>
      </c>
      <c r="L807" s="46">
        <v>3</v>
      </c>
    </row>
    <row r="808" spans="1:12" x14ac:dyDescent="0.3">
      <c r="A808" s="46" t="s">
        <v>817</v>
      </c>
      <c r="B808" s="46">
        <f>LEN(Table2[[#This Row],[Employee ID]])</f>
        <v>7</v>
      </c>
      <c r="C808" s="46" t="s">
        <v>2110</v>
      </c>
      <c r="D808" s="47">
        <v>36171</v>
      </c>
      <c r="E808" s="47">
        <v>40216</v>
      </c>
      <c r="F808" s="46" t="s">
        <v>2605</v>
      </c>
      <c r="G808" s="46">
        <v>141454</v>
      </c>
      <c r="H808" s="46" t="s">
        <v>2606</v>
      </c>
      <c r="I808" s="46" t="s">
        <v>2616</v>
      </c>
      <c r="J808" s="46" t="s">
        <v>2718</v>
      </c>
      <c r="K808" s="46" t="s">
        <v>3309</v>
      </c>
      <c r="L808" s="46">
        <v>15</v>
      </c>
    </row>
    <row r="809" spans="1:12" x14ac:dyDescent="0.3">
      <c r="A809" s="46" t="s">
        <v>818</v>
      </c>
      <c r="B809" s="46">
        <f>LEN(Table2[[#This Row],[Employee ID]])</f>
        <v>7</v>
      </c>
      <c r="C809" s="46" t="s">
        <v>2111</v>
      </c>
      <c r="D809" s="47">
        <v>32835</v>
      </c>
      <c r="E809" s="47">
        <v>40813</v>
      </c>
      <c r="F809" s="46" t="s">
        <v>2601</v>
      </c>
      <c r="G809" s="46">
        <v>67914</v>
      </c>
      <c r="H809" s="46" t="s">
        <v>2606</v>
      </c>
      <c r="I809" s="46" t="s">
        <v>2616</v>
      </c>
      <c r="J809" s="46" t="s">
        <v>3141</v>
      </c>
      <c r="K809" s="46" t="s">
        <v>3304</v>
      </c>
      <c r="L809" s="46">
        <v>14</v>
      </c>
    </row>
    <row r="810" spans="1:12" x14ac:dyDescent="0.3">
      <c r="A810" s="46" t="s">
        <v>819</v>
      </c>
      <c r="B810" s="46">
        <f>LEN(Table2[[#This Row],[Employee ID]])</f>
        <v>7</v>
      </c>
      <c r="C810" s="46" t="s">
        <v>2112</v>
      </c>
      <c r="D810" s="47">
        <v>32711</v>
      </c>
      <c r="E810" s="47">
        <v>33657</v>
      </c>
      <c r="F810" s="46" t="s">
        <v>2599</v>
      </c>
      <c r="G810" s="46">
        <v>196348</v>
      </c>
      <c r="H810" s="46" t="s">
        <v>2615</v>
      </c>
      <c r="I810" s="46" t="s">
        <v>2616</v>
      </c>
      <c r="J810" s="46" t="s">
        <v>2700</v>
      </c>
      <c r="K810" s="46" t="s">
        <v>3305</v>
      </c>
      <c r="L810" s="46">
        <v>33</v>
      </c>
    </row>
    <row r="811" spans="1:12" x14ac:dyDescent="0.3">
      <c r="A811" s="46" t="s">
        <v>820</v>
      </c>
      <c r="B811" s="46">
        <f>LEN(Table2[[#This Row],[Employee ID]])</f>
        <v>7</v>
      </c>
      <c r="C811" s="46" t="s">
        <v>2113</v>
      </c>
      <c r="D811" s="47">
        <v>30768</v>
      </c>
      <c r="E811" s="47">
        <v>26219</v>
      </c>
      <c r="F811" s="46" t="s">
        <v>2603</v>
      </c>
      <c r="G811" s="46">
        <v>125083</v>
      </c>
      <c r="H811" s="46" t="s">
        <v>2607</v>
      </c>
      <c r="I811" s="46" t="s">
        <v>2616</v>
      </c>
      <c r="J811" s="46" t="s">
        <v>2635</v>
      </c>
      <c r="K811" s="46" t="s">
        <v>3308</v>
      </c>
      <c r="L811" s="46">
        <v>54</v>
      </c>
    </row>
    <row r="812" spans="1:12" x14ac:dyDescent="0.3">
      <c r="A812" s="46" t="s">
        <v>821</v>
      </c>
      <c r="B812" s="46">
        <f>LEN(Table2[[#This Row],[Employee ID]])</f>
        <v>7</v>
      </c>
      <c r="C812" s="46" t="s">
        <v>2114</v>
      </c>
      <c r="D812" s="47">
        <v>24947</v>
      </c>
      <c r="E812" s="47">
        <v>33313</v>
      </c>
      <c r="F812" s="46" t="s">
        <v>2601</v>
      </c>
      <c r="G812" s="46">
        <v>87323</v>
      </c>
      <c r="H812" s="46" t="s">
        <v>2607</v>
      </c>
      <c r="I812" s="46" t="s">
        <v>2617</v>
      </c>
      <c r="J812" s="46" t="s">
        <v>3151</v>
      </c>
      <c r="K812" s="46" t="s">
        <v>3308</v>
      </c>
      <c r="L812" s="46">
        <v>34</v>
      </c>
    </row>
    <row r="813" spans="1:12" x14ac:dyDescent="0.3">
      <c r="A813" s="46" t="s">
        <v>822</v>
      </c>
      <c r="B813" s="46">
        <f>LEN(Table2[[#This Row],[Employee ID]])</f>
        <v>7</v>
      </c>
      <c r="C813" s="46" t="s">
        <v>2115</v>
      </c>
      <c r="D813" s="47">
        <v>32600</v>
      </c>
      <c r="E813" s="47">
        <v>33891</v>
      </c>
      <c r="F813" s="46" t="s">
        <v>2602</v>
      </c>
      <c r="G813" s="46">
        <v>194390</v>
      </c>
      <c r="H813" s="46" t="s">
        <v>2612</v>
      </c>
      <c r="I813" s="46" t="s">
        <v>2616</v>
      </c>
      <c r="J813" s="46" t="s">
        <v>3095</v>
      </c>
      <c r="K813" s="46" t="s">
        <v>3310</v>
      </c>
      <c r="L813" s="46">
        <v>33</v>
      </c>
    </row>
    <row r="814" spans="1:12" x14ac:dyDescent="0.3">
      <c r="A814" s="46" t="s">
        <v>823</v>
      </c>
      <c r="B814" s="46">
        <f>LEN(Table2[[#This Row],[Employee ID]])</f>
        <v>7</v>
      </c>
      <c r="C814" s="46" t="s">
        <v>2116</v>
      </c>
      <c r="D814" s="47">
        <v>31799</v>
      </c>
      <c r="E814" s="47">
        <v>36354</v>
      </c>
      <c r="F814" s="46" t="s">
        <v>2601</v>
      </c>
      <c r="G814" s="46">
        <v>176374</v>
      </c>
      <c r="H814" s="46" t="s">
        <v>2610</v>
      </c>
      <c r="I814" s="46" t="s">
        <v>2616</v>
      </c>
      <c r="J814" s="46" t="s">
        <v>3050</v>
      </c>
      <c r="K814" s="46" t="s">
        <v>3307</v>
      </c>
      <c r="L814" s="46">
        <v>26</v>
      </c>
    </row>
    <row r="815" spans="1:12" x14ac:dyDescent="0.3">
      <c r="A815" s="46" t="s">
        <v>824</v>
      </c>
      <c r="B815" s="46">
        <f>LEN(Table2[[#This Row],[Employee ID]])</f>
        <v>7</v>
      </c>
      <c r="C815" s="46" t="s">
        <v>2117</v>
      </c>
      <c r="D815" s="47">
        <v>23964</v>
      </c>
      <c r="E815" s="47">
        <v>44243</v>
      </c>
      <c r="F815" s="46" t="s">
        <v>2600</v>
      </c>
      <c r="G815" s="46">
        <v>50911</v>
      </c>
      <c r="H815" s="46" t="s">
        <v>2608</v>
      </c>
      <c r="I815" s="46" t="s">
        <v>2616</v>
      </c>
      <c r="J815" s="46" t="s">
        <v>3152</v>
      </c>
      <c r="K815" s="46" t="s">
        <v>3310</v>
      </c>
      <c r="L815" s="46">
        <v>4</v>
      </c>
    </row>
    <row r="816" spans="1:12" x14ac:dyDescent="0.3">
      <c r="A816" s="46" t="s">
        <v>825</v>
      </c>
      <c r="B816" s="46">
        <f>LEN(Table2[[#This Row],[Employee ID]])</f>
        <v>7</v>
      </c>
      <c r="C816" s="46" t="s">
        <v>2118</v>
      </c>
      <c r="D816" s="47">
        <v>35364</v>
      </c>
      <c r="E816" s="47">
        <v>36833</v>
      </c>
      <c r="F816" s="46" t="s">
        <v>2601</v>
      </c>
      <c r="G816" s="46">
        <v>49092</v>
      </c>
      <c r="H816" s="46" t="s">
        <v>2615</v>
      </c>
      <c r="I816" s="46" t="s">
        <v>2617</v>
      </c>
      <c r="J816" s="46" t="s">
        <v>3095</v>
      </c>
      <c r="K816" s="46" t="s">
        <v>3304</v>
      </c>
      <c r="L816" s="46">
        <v>25</v>
      </c>
    </row>
    <row r="817" spans="1:12" x14ac:dyDescent="0.3">
      <c r="A817" s="46" t="s">
        <v>826</v>
      </c>
      <c r="B817" s="46">
        <f>LEN(Table2[[#This Row],[Employee ID]])</f>
        <v>7</v>
      </c>
      <c r="C817" s="46" t="s">
        <v>2119</v>
      </c>
      <c r="D817" s="47">
        <v>24594</v>
      </c>
      <c r="E817" s="47">
        <v>28276</v>
      </c>
      <c r="F817" s="46" t="s">
        <v>2599</v>
      </c>
      <c r="G817" s="46">
        <v>197625</v>
      </c>
      <c r="H817" s="46" t="s">
        <v>2613</v>
      </c>
      <c r="I817" s="46" t="s">
        <v>2616</v>
      </c>
      <c r="J817" s="46" t="s">
        <v>2691</v>
      </c>
      <c r="K817" s="46" t="s">
        <v>3309</v>
      </c>
      <c r="L817" s="46">
        <v>48</v>
      </c>
    </row>
    <row r="818" spans="1:12" x14ac:dyDescent="0.3">
      <c r="A818" s="46" t="s">
        <v>827</v>
      </c>
      <c r="B818" s="46">
        <f>LEN(Table2[[#This Row],[Employee ID]])</f>
        <v>7</v>
      </c>
      <c r="C818" s="46" t="s">
        <v>2120</v>
      </c>
      <c r="D818" s="47">
        <v>25454</v>
      </c>
      <c r="E818" s="47">
        <v>33814</v>
      </c>
      <c r="F818" s="46" t="s">
        <v>2599</v>
      </c>
      <c r="G818" s="46">
        <v>99610</v>
      </c>
      <c r="H818" s="46" t="s">
        <v>2615</v>
      </c>
      <c r="I818" s="46" t="s">
        <v>2617</v>
      </c>
      <c r="J818" s="46" t="s">
        <v>3153</v>
      </c>
      <c r="K818" s="46" t="s">
        <v>3308</v>
      </c>
      <c r="L818" s="46">
        <v>33</v>
      </c>
    </row>
    <row r="819" spans="1:12" x14ac:dyDescent="0.3">
      <c r="A819" s="46" t="s">
        <v>828</v>
      </c>
      <c r="B819" s="46">
        <f>LEN(Table2[[#This Row],[Employee ID]])</f>
        <v>7</v>
      </c>
      <c r="C819" s="46" t="s">
        <v>2121</v>
      </c>
      <c r="D819" s="47">
        <v>24735</v>
      </c>
      <c r="E819" s="47">
        <v>44821</v>
      </c>
      <c r="F819" s="46" t="s">
        <v>2604</v>
      </c>
      <c r="G819" s="46">
        <v>157099</v>
      </c>
      <c r="H819" s="46" t="s">
        <v>2615</v>
      </c>
      <c r="I819" s="46" t="s">
        <v>2617</v>
      </c>
      <c r="J819" s="46" t="s">
        <v>3154</v>
      </c>
      <c r="K819" s="46" t="s">
        <v>3307</v>
      </c>
      <c r="L819" s="46">
        <v>3</v>
      </c>
    </row>
    <row r="820" spans="1:12" x14ac:dyDescent="0.3">
      <c r="A820" s="46" t="s">
        <v>829</v>
      </c>
      <c r="B820" s="46">
        <f>LEN(Table2[[#This Row],[Employee ID]])</f>
        <v>7</v>
      </c>
      <c r="C820" s="46" t="s">
        <v>2122</v>
      </c>
      <c r="D820" s="47">
        <v>21940</v>
      </c>
      <c r="E820" s="47">
        <v>35923</v>
      </c>
      <c r="F820" s="46" t="s">
        <v>2600</v>
      </c>
      <c r="G820" s="46">
        <v>199975</v>
      </c>
      <c r="H820" s="46" t="s">
        <v>2610</v>
      </c>
      <c r="I820" s="46" t="s">
        <v>2617</v>
      </c>
      <c r="J820" s="46" t="s">
        <v>3155</v>
      </c>
      <c r="K820" s="46" t="s">
        <v>3308</v>
      </c>
      <c r="L820" s="46">
        <v>27</v>
      </c>
    </row>
    <row r="821" spans="1:12" x14ac:dyDescent="0.3">
      <c r="A821" s="46" t="s">
        <v>830</v>
      </c>
      <c r="B821" s="46">
        <f>LEN(Table2[[#This Row],[Employee ID]])</f>
        <v>7</v>
      </c>
      <c r="C821" s="46" t="s">
        <v>2123</v>
      </c>
      <c r="D821" s="47">
        <v>36659</v>
      </c>
      <c r="E821" s="47">
        <v>27775</v>
      </c>
      <c r="F821" s="46" t="s">
        <v>2604</v>
      </c>
      <c r="G821" s="46">
        <v>68135</v>
      </c>
      <c r="H821" s="46" t="s">
        <v>2613</v>
      </c>
      <c r="I821" s="46" t="s">
        <v>2616</v>
      </c>
      <c r="J821" s="46" t="s">
        <v>2829</v>
      </c>
      <c r="K821" s="46" t="s">
        <v>3310</v>
      </c>
      <c r="L821" s="46">
        <v>49</v>
      </c>
    </row>
    <row r="822" spans="1:12" x14ac:dyDescent="0.3">
      <c r="A822" s="46" t="s">
        <v>831</v>
      </c>
      <c r="B822" s="46">
        <f>LEN(Table2[[#This Row],[Employee ID]])</f>
        <v>7</v>
      </c>
      <c r="C822" s="46" t="s">
        <v>2124</v>
      </c>
      <c r="D822" s="47">
        <v>33794</v>
      </c>
      <c r="E822" s="47">
        <v>30788</v>
      </c>
      <c r="F822" s="46" t="s">
        <v>2601</v>
      </c>
      <c r="G822" s="46">
        <v>167981</v>
      </c>
      <c r="H822" s="46" t="s">
        <v>2609</v>
      </c>
      <c r="I822" s="46" t="s">
        <v>2617</v>
      </c>
      <c r="J822" s="46" t="s">
        <v>2782</v>
      </c>
      <c r="K822" s="46" t="s">
        <v>3309</v>
      </c>
      <c r="L822" s="46">
        <v>41</v>
      </c>
    </row>
    <row r="823" spans="1:12" x14ac:dyDescent="0.3">
      <c r="A823" s="46" t="s">
        <v>832</v>
      </c>
      <c r="B823" s="46">
        <f>LEN(Table2[[#This Row],[Employee ID]])</f>
        <v>7</v>
      </c>
      <c r="C823" s="46" t="s">
        <v>2125</v>
      </c>
      <c r="D823" s="47">
        <v>27219</v>
      </c>
      <c r="E823" s="47">
        <v>33466</v>
      </c>
      <c r="F823" s="46" t="s">
        <v>2600</v>
      </c>
      <c r="G823" s="46">
        <v>118124</v>
      </c>
      <c r="H823" s="46" t="s">
        <v>2607</v>
      </c>
      <c r="I823" s="46" t="s">
        <v>2616</v>
      </c>
      <c r="J823" s="46" t="s">
        <v>3089</v>
      </c>
      <c r="K823" s="46" t="s">
        <v>3305</v>
      </c>
      <c r="L823" s="46">
        <v>34</v>
      </c>
    </row>
    <row r="824" spans="1:12" x14ac:dyDescent="0.3">
      <c r="A824" s="46" t="s">
        <v>833</v>
      </c>
      <c r="B824" s="46">
        <f>LEN(Table2[[#This Row],[Employee ID]])</f>
        <v>7</v>
      </c>
      <c r="C824" s="46" t="s">
        <v>2126</v>
      </c>
      <c r="D824" s="47">
        <v>36726</v>
      </c>
      <c r="E824" s="47">
        <v>43157</v>
      </c>
      <c r="F824" s="46" t="s">
        <v>2602</v>
      </c>
      <c r="G824" s="46">
        <v>177784</v>
      </c>
      <c r="H824" s="46" t="s">
        <v>2610</v>
      </c>
      <c r="I824" s="46" t="s">
        <v>2616</v>
      </c>
      <c r="J824" s="46" t="s">
        <v>2997</v>
      </c>
      <c r="K824" s="46" t="s">
        <v>3310</v>
      </c>
      <c r="L824" s="46">
        <v>7</v>
      </c>
    </row>
    <row r="825" spans="1:12" x14ac:dyDescent="0.3">
      <c r="A825" s="46" t="s">
        <v>834</v>
      </c>
      <c r="B825" s="46">
        <f>LEN(Table2[[#This Row],[Employee ID]])</f>
        <v>7</v>
      </c>
      <c r="C825" s="46" t="s">
        <v>2127</v>
      </c>
      <c r="D825" s="47">
        <v>29971</v>
      </c>
      <c r="E825" s="47">
        <v>29701</v>
      </c>
      <c r="F825" s="46" t="s">
        <v>2601</v>
      </c>
      <c r="G825" s="46">
        <v>109589</v>
      </c>
      <c r="H825" s="46" t="s">
        <v>2613</v>
      </c>
      <c r="I825" s="46" t="s">
        <v>2617</v>
      </c>
      <c r="J825" s="46" t="s">
        <v>3156</v>
      </c>
      <c r="K825" s="46" t="s">
        <v>3310</v>
      </c>
      <c r="L825" s="46">
        <v>44</v>
      </c>
    </row>
    <row r="826" spans="1:12" x14ac:dyDescent="0.3">
      <c r="A826" s="46" t="s">
        <v>835</v>
      </c>
      <c r="B826" s="46">
        <f>LEN(Table2[[#This Row],[Employee ID]])</f>
        <v>7</v>
      </c>
      <c r="C826" s="46" t="s">
        <v>2128</v>
      </c>
      <c r="D826" s="47">
        <v>26097</v>
      </c>
      <c r="E826" s="47">
        <v>41972</v>
      </c>
      <c r="F826" s="46" t="s">
        <v>2603</v>
      </c>
      <c r="G826" s="46">
        <v>120950</v>
      </c>
      <c r="H826" s="46" t="s">
        <v>2611</v>
      </c>
      <c r="I826" s="46" t="s">
        <v>2617</v>
      </c>
      <c r="J826" s="46" t="s">
        <v>3065</v>
      </c>
      <c r="K826" s="46" t="s">
        <v>3308</v>
      </c>
      <c r="L826" s="46">
        <v>11</v>
      </c>
    </row>
    <row r="827" spans="1:12" x14ac:dyDescent="0.3">
      <c r="A827" s="46" t="s">
        <v>836</v>
      </c>
      <c r="B827" s="46">
        <f>LEN(Table2[[#This Row],[Employee ID]])</f>
        <v>7</v>
      </c>
      <c r="C827" s="46" t="s">
        <v>2129</v>
      </c>
      <c r="D827" s="47">
        <v>28612</v>
      </c>
      <c r="E827" s="47">
        <v>33284</v>
      </c>
      <c r="F827" s="46" t="s">
        <v>2600</v>
      </c>
      <c r="G827" s="46">
        <v>133000</v>
      </c>
      <c r="H827" s="46" t="s">
        <v>2608</v>
      </c>
      <c r="I827" s="46" t="s">
        <v>2616</v>
      </c>
      <c r="J827" s="46" t="s">
        <v>2938</v>
      </c>
      <c r="K827" s="46" t="s">
        <v>3306</v>
      </c>
      <c r="L827" s="46">
        <v>34</v>
      </c>
    </row>
    <row r="828" spans="1:12" x14ac:dyDescent="0.3">
      <c r="A828" s="46" t="s">
        <v>837</v>
      </c>
      <c r="B828" s="46">
        <f>LEN(Table2[[#This Row],[Employee ID]])</f>
        <v>7</v>
      </c>
      <c r="C828" s="46" t="s">
        <v>2130</v>
      </c>
      <c r="D828" s="47">
        <v>22574</v>
      </c>
      <c r="E828" s="47">
        <v>35675</v>
      </c>
      <c r="F828" s="46" t="s">
        <v>2601</v>
      </c>
      <c r="G828" s="46">
        <v>33767</v>
      </c>
      <c r="H828" s="46" t="s">
        <v>2609</v>
      </c>
      <c r="I828" s="46" t="s">
        <v>2617</v>
      </c>
      <c r="J828" s="46" t="s">
        <v>3157</v>
      </c>
      <c r="K828" s="46" t="s">
        <v>3309</v>
      </c>
      <c r="L828" s="46">
        <v>28</v>
      </c>
    </row>
    <row r="829" spans="1:12" x14ac:dyDescent="0.3">
      <c r="A829" s="46" t="s">
        <v>838</v>
      </c>
      <c r="B829" s="46">
        <f>LEN(Table2[[#This Row],[Employee ID]])</f>
        <v>7</v>
      </c>
      <c r="C829" s="46" t="s">
        <v>2131</v>
      </c>
      <c r="D829" s="47">
        <v>21907</v>
      </c>
      <c r="E829" s="47">
        <v>26388</v>
      </c>
      <c r="F829" s="46" t="s">
        <v>2604</v>
      </c>
      <c r="G829" s="46">
        <v>196094</v>
      </c>
      <c r="H829" s="46" t="s">
        <v>2610</v>
      </c>
      <c r="I829" s="46" t="s">
        <v>2616</v>
      </c>
      <c r="J829" s="46" t="s">
        <v>3158</v>
      </c>
      <c r="K829" s="46" t="s">
        <v>3306</v>
      </c>
      <c r="L829" s="46">
        <v>53</v>
      </c>
    </row>
    <row r="830" spans="1:12" x14ac:dyDescent="0.3">
      <c r="A830" s="46" t="s">
        <v>839</v>
      </c>
      <c r="B830" s="46">
        <f>LEN(Table2[[#This Row],[Employee ID]])</f>
        <v>7</v>
      </c>
      <c r="C830" s="46" t="s">
        <v>2132</v>
      </c>
      <c r="D830" s="47">
        <v>32474</v>
      </c>
      <c r="E830" s="47">
        <v>29122</v>
      </c>
      <c r="F830" s="46" t="s">
        <v>2605</v>
      </c>
      <c r="G830" s="46">
        <v>136784</v>
      </c>
      <c r="H830" s="46" t="s">
        <v>2607</v>
      </c>
      <c r="I830" s="46" t="s">
        <v>2616</v>
      </c>
      <c r="J830" s="46" t="s">
        <v>2799</v>
      </c>
      <c r="K830" s="46" t="s">
        <v>3306</v>
      </c>
      <c r="L830" s="46">
        <v>46</v>
      </c>
    </row>
    <row r="831" spans="1:12" x14ac:dyDescent="0.3">
      <c r="A831" s="46" t="s">
        <v>840</v>
      </c>
      <c r="B831" s="46">
        <f>LEN(Table2[[#This Row],[Employee ID]])</f>
        <v>7</v>
      </c>
      <c r="C831" s="46" t="s">
        <v>2133</v>
      </c>
      <c r="D831" s="47">
        <v>25264</v>
      </c>
      <c r="E831" s="47">
        <v>31076</v>
      </c>
      <c r="F831" s="46" t="s">
        <v>2604</v>
      </c>
      <c r="G831" s="46">
        <v>133185</v>
      </c>
      <c r="H831" s="46" t="s">
        <v>2613</v>
      </c>
      <c r="I831" s="46" t="s">
        <v>2617</v>
      </c>
      <c r="J831" s="46" t="s">
        <v>3159</v>
      </c>
      <c r="K831" s="46" t="s">
        <v>3304</v>
      </c>
      <c r="L831" s="46">
        <v>40</v>
      </c>
    </row>
    <row r="832" spans="1:12" x14ac:dyDescent="0.3">
      <c r="A832" s="46" t="s">
        <v>841</v>
      </c>
      <c r="B832" s="46">
        <f>LEN(Table2[[#This Row],[Employee ID]])</f>
        <v>7</v>
      </c>
      <c r="C832" s="46" t="s">
        <v>2134</v>
      </c>
      <c r="D832" s="47">
        <v>32840</v>
      </c>
      <c r="E832" s="47">
        <v>41855</v>
      </c>
      <c r="F832" s="46" t="s">
        <v>2599</v>
      </c>
      <c r="G832" s="46">
        <v>107711</v>
      </c>
      <c r="H832" s="46" t="s">
        <v>2609</v>
      </c>
      <c r="I832" s="46" t="s">
        <v>2616</v>
      </c>
      <c r="J832" s="46" t="s">
        <v>2899</v>
      </c>
      <c r="K832" s="46" t="s">
        <v>3305</v>
      </c>
      <c r="L832" s="46">
        <v>11</v>
      </c>
    </row>
    <row r="833" spans="1:12" x14ac:dyDescent="0.3">
      <c r="A833" s="46" t="s">
        <v>842</v>
      </c>
      <c r="B833" s="46">
        <f>LEN(Table2[[#This Row],[Employee ID]])</f>
        <v>7</v>
      </c>
      <c r="C833" s="46" t="s">
        <v>2135</v>
      </c>
      <c r="D833" s="47">
        <v>29552</v>
      </c>
      <c r="E833" s="47">
        <v>38501</v>
      </c>
      <c r="F833" s="46" t="s">
        <v>2600</v>
      </c>
      <c r="G833" s="46">
        <v>102222</v>
      </c>
      <c r="H833" s="46" t="s">
        <v>2611</v>
      </c>
      <c r="I833" s="46" t="s">
        <v>2617</v>
      </c>
      <c r="J833" s="46" t="s">
        <v>3133</v>
      </c>
      <c r="K833" s="46" t="s">
        <v>3307</v>
      </c>
      <c r="L833" s="46">
        <v>20</v>
      </c>
    </row>
    <row r="834" spans="1:12" x14ac:dyDescent="0.3">
      <c r="A834" s="46" t="s">
        <v>843</v>
      </c>
      <c r="B834" s="46">
        <f>LEN(Table2[[#This Row],[Employee ID]])</f>
        <v>7</v>
      </c>
      <c r="C834" s="46" t="s">
        <v>2136</v>
      </c>
      <c r="D834" s="47">
        <v>22032</v>
      </c>
      <c r="E834" s="47">
        <v>39873</v>
      </c>
      <c r="F834" s="46" t="s">
        <v>2599</v>
      </c>
      <c r="G834" s="46">
        <v>93367</v>
      </c>
      <c r="H834" s="46" t="s">
        <v>2606</v>
      </c>
      <c r="I834" s="46" t="s">
        <v>2616</v>
      </c>
      <c r="J834" s="46" t="s">
        <v>3160</v>
      </c>
      <c r="K834" s="46" t="s">
        <v>3307</v>
      </c>
      <c r="L834" s="46">
        <v>16</v>
      </c>
    </row>
    <row r="835" spans="1:12" x14ac:dyDescent="0.3">
      <c r="A835" s="46" t="s">
        <v>844</v>
      </c>
      <c r="B835" s="46">
        <f>LEN(Table2[[#This Row],[Employee ID]])</f>
        <v>7</v>
      </c>
      <c r="C835" s="46" t="s">
        <v>2137</v>
      </c>
      <c r="D835" s="47">
        <v>28692</v>
      </c>
      <c r="E835" s="47">
        <v>32128</v>
      </c>
      <c r="F835" s="46" t="s">
        <v>2604</v>
      </c>
      <c r="G835" s="46">
        <v>179427</v>
      </c>
      <c r="H835" s="46" t="s">
        <v>2607</v>
      </c>
      <c r="I835" s="46" t="s">
        <v>2617</v>
      </c>
      <c r="J835" s="46" t="s">
        <v>2849</v>
      </c>
      <c r="K835" s="46" t="s">
        <v>3310</v>
      </c>
      <c r="L835" s="46">
        <v>38</v>
      </c>
    </row>
    <row r="836" spans="1:12" x14ac:dyDescent="0.3">
      <c r="A836" s="46" t="s">
        <v>845</v>
      </c>
      <c r="B836" s="46">
        <f>LEN(Table2[[#This Row],[Employee ID]])</f>
        <v>7</v>
      </c>
      <c r="C836" s="46" t="s">
        <v>2138</v>
      </c>
      <c r="D836" s="47">
        <v>27560</v>
      </c>
      <c r="E836" s="47">
        <v>30614</v>
      </c>
      <c r="F836" s="46" t="s">
        <v>2599</v>
      </c>
      <c r="G836" s="46">
        <v>159215</v>
      </c>
      <c r="H836" s="46" t="s">
        <v>2610</v>
      </c>
      <c r="I836" s="46" t="s">
        <v>2617</v>
      </c>
      <c r="J836" s="46" t="s">
        <v>2695</v>
      </c>
      <c r="K836" s="46" t="s">
        <v>3310</v>
      </c>
      <c r="L836" s="46">
        <v>42</v>
      </c>
    </row>
    <row r="837" spans="1:12" x14ac:dyDescent="0.3">
      <c r="A837" s="46" t="s">
        <v>846</v>
      </c>
      <c r="B837" s="46">
        <f>LEN(Table2[[#This Row],[Employee ID]])</f>
        <v>7</v>
      </c>
      <c r="C837" s="46" t="s">
        <v>2139</v>
      </c>
      <c r="D837" s="47">
        <v>34087</v>
      </c>
      <c r="E837" s="47">
        <v>31637</v>
      </c>
      <c r="F837" s="46" t="s">
        <v>2603</v>
      </c>
      <c r="G837" s="46">
        <v>187225</v>
      </c>
      <c r="H837" s="46" t="s">
        <v>2608</v>
      </c>
      <c r="I837" s="46" t="s">
        <v>2616</v>
      </c>
      <c r="J837" s="46" t="s">
        <v>2909</v>
      </c>
      <c r="K837" s="46" t="s">
        <v>3308</v>
      </c>
      <c r="L837" s="46">
        <v>39</v>
      </c>
    </row>
    <row r="838" spans="1:12" x14ac:dyDescent="0.3">
      <c r="A838" s="46" t="s">
        <v>847</v>
      </c>
      <c r="B838" s="46">
        <f>LEN(Table2[[#This Row],[Employee ID]])</f>
        <v>7</v>
      </c>
      <c r="C838" s="46" t="s">
        <v>2140</v>
      </c>
      <c r="D838" s="47">
        <v>34826</v>
      </c>
      <c r="E838" s="47">
        <v>40185</v>
      </c>
      <c r="F838" s="46" t="s">
        <v>2600</v>
      </c>
      <c r="G838" s="46">
        <v>43120</v>
      </c>
      <c r="H838" s="46" t="s">
        <v>2613</v>
      </c>
      <c r="I838" s="46" t="s">
        <v>2617</v>
      </c>
      <c r="J838" s="46" t="s">
        <v>3069</v>
      </c>
      <c r="K838" s="46" t="s">
        <v>3310</v>
      </c>
      <c r="L838" s="46">
        <v>15</v>
      </c>
    </row>
    <row r="839" spans="1:12" x14ac:dyDescent="0.3">
      <c r="A839" s="46" t="s">
        <v>848</v>
      </c>
      <c r="B839" s="46">
        <f>LEN(Table2[[#This Row],[Employee ID]])</f>
        <v>7</v>
      </c>
      <c r="C839" s="46" t="s">
        <v>2141</v>
      </c>
      <c r="D839" s="47">
        <v>29984</v>
      </c>
      <c r="E839" s="47">
        <v>41221</v>
      </c>
      <c r="F839" s="46" t="s">
        <v>2603</v>
      </c>
      <c r="G839" s="46">
        <v>145199</v>
      </c>
      <c r="H839" s="46" t="s">
        <v>2608</v>
      </c>
      <c r="I839" s="46" t="s">
        <v>2616</v>
      </c>
      <c r="J839" s="46" t="s">
        <v>3161</v>
      </c>
      <c r="K839" s="46" t="s">
        <v>3305</v>
      </c>
      <c r="L839" s="46">
        <v>13</v>
      </c>
    </row>
    <row r="840" spans="1:12" x14ac:dyDescent="0.3">
      <c r="A840" s="46" t="s">
        <v>849</v>
      </c>
      <c r="B840" s="46">
        <f>LEN(Table2[[#This Row],[Employee ID]])</f>
        <v>7</v>
      </c>
      <c r="C840" s="46" t="s">
        <v>2142</v>
      </c>
      <c r="D840" s="47">
        <v>28248</v>
      </c>
      <c r="E840" s="47">
        <v>36896</v>
      </c>
      <c r="F840" s="46" t="s">
        <v>2602</v>
      </c>
      <c r="G840" s="46">
        <v>164358</v>
      </c>
      <c r="H840" s="46" t="s">
        <v>2610</v>
      </c>
      <c r="I840" s="46" t="s">
        <v>2617</v>
      </c>
      <c r="J840" s="46" t="s">
        <v>3162</v>
      </c>
      <c r="K840" s="46" t="s">
        <v>3309</v>
      </c>
      <c r="L840" s="46">
        <v>24</v>
      </c>
    </row>
    <row r="841" spans="1:12" x14ac:dyDescent="0.3">
      <c r="A841" s="46" t="s">
        <v>850</v>
      </c>
      <c r="B841" s="46">
        <f>LEN(Table2[[#This Row],[Employee ID]])</f>
        <v>7</v>
      </c>
      <c r="C841" s="46" t="s">
        <v>2143</v>
      </c>
      <c r="D841" s="47">
        <v>25988</v>
      </c>
      <c r="E841" s="47">
        <v>36247</v>
      </c>
      <c r="F841" s="46" t="s">
        <v>2605</v>
      </c>
      <c r="G841" s="46">
        <v>47919</v>
      </c>
      <c r="H841" s="46" t="s">
        <v>2608</v>
      </c>
      <c r="I841" s="46" t="s">
        <v>2616</v>
      </c>
      <c r="J841" s="46" t="s">
        <v>3163</v>
      </c>
      <c r="K841" s="46" t="s">
        <v>3308</v>
      </c>
      <c r="L841" s="46">
        <v>26</v>
      </c>
    </row>
    <row r="842" spans="1:12" x14ac:dyDescent="0.3">
      <c r="A842" s="46" t="s">
        <v>851</v>
      </c>
      <c r="B842" s="46">
        <f>LEN(Table2[[#This Row],[Employee ID]])</f>
        <v>7</v>
      </c>
      <c r="C842" s="46" t="s">
        <v>2144</v>
      </c>
      <c r="D842" s="47">
        <v>28283</v>
      </c>
      <c r="E842" s="47">
        <v>31304</v>
      </c>
      <c r="F842" s="46" t="s">
        <v>2602</v>
      </c>
      <c r="G842" s="46">
        <v>176807</v>
      </c>
      <c r="H842" s="46" t="s">
        <v>2608</v>
      </c>
      <c r="I842" s="46" t="s">
        <v>2616</v>
      </c>
      <c r="J842" s="46" t="s">
        <v>2653</v>
      </c>
      <c r="K842" s="46" t="s">
        <v>3310</v>
      </c>
      <c r="L842" s="46">
        <v>40</v>
      </c>
    </row>
    <row r="843" spans="1:12" x14ac:dyDescent="0.3">
      <c r="A843" s="46" t="s">
        <v>852</v>
      </c>
      <c r="B843" s="46">
        <f>LEN(Table2[[#This Row],[Employee ID]])</f>
        <v>7</v>
      </c>
      <c r="C843" s="46" t="s">
        <v>2145</v>
      </c>
      <c r="D843" s="47">
        <v>25025</v>
      </c>
      <c r="E843" s="47">
        <v>26549</v>
      </c>
      <c r="F843" s="46" t="s">
        <v>2601</v>
      </c>
      <c r="G843" s="46">
        <v>59615</v>
      </c>
      <c r="H843" s="46" t="s">
        <v>2610</v>
      </c>
      <c r="I843" s="46" t="s">
        <v>2617</v>
      </c>
      <c r="J843" s="46" t="s">
        <v>3164</v>
      </c>
      <c r="K843" s="46" t="s">
        <v>3306</v>
      </c>
      <c r="L843" s="46">
        <v>53</v>
      </c>
    </row>
    <row r="844" spans="1:12" x14ac:dyDescent="0.3">
      <c r="A844" s="46" t="s">
        <v>853</v>
      </c>
      <c r="B844" s="46">
        <f>LEN(Table2[[#This Row],[Employee ID]])</f>
        <v>7</v>
      </c>
      <c r="C844" s="46" t="s">
        <v>2146</v>
      </c>
      <c r="D844" s="47">
        <v>24008</v>
      </c>
      <c r="E844" s="47">
        <v>33143</v>
      </c>
      <c r="F844" s="46" t="s">
        <v>2604</v>
      </c>
      <c r="G844" s="46">
        <v>95159</v>
      </c>
      <c r="H844" s="46" t="s">
        <v>2611</v>
      </c>
      <c r="I844" s="46" t="s">
        <v>2616</v>
      </c>
      <c r="J844" s="46" t="s">
        <v>2742</v>
      </c>
      <c r="K844" s="46" t="s">
        <v>3310</v>
      </c>
      <c r="L844" s="46">
        <v>35</v>
      </c>
    </row>
    <row r="845" spans="1:12" x14ac:dyDescent="0.3">
      <c r="A845" s="46" t="s">
        <v>854</v>
      </c>
      <c r="B845" s="46">
        <f>LEN(Table2[[#This Row],[Employee ID]])</f>
        <v>7</v>
      </c>
      <c r="C845" s="46" t="s">
        <v>2147</v>
      </c>
      <c r="D845" s="47">
        <v>27032</v>
      </c>
      <c r="E845" s="47">
        <v>30906</v>
      </c>
      <c r="F845" s="46" t="s">
        <v>2600</v>
      </c>
      <c r="G845" s="46">
        <v>102745</v>
      </c>
      <c r="H845" s="46" t="s">
        <v>2613</v>
      </c>
      <c r="I845" s="46" t="s">
        <v>2617</v>
      </c>
      <c r="J845" s="46" t="s">
        <v>3159</v>
      </c>
      <c r="K845" s="46" t="s">
        <v>3306</v>
      </c>
      <c r="L845" s="46">
        <v>41</v>
      </c>
    </row>
    <row r="846" spans="1:12" x14ac:dyDescent="0.3">
      <c r="A846" s="46" t="s">
        <v>855</v>
      </c>
      <c r="B846" s="46">
        <f>LEN(Table2[[#This Row],[Employee ID]])</f>
        <v>7</v>
      </c>
      <c r="C846" s="46" t="s">
        <v>2148</v>
      </c>
      <c r="D846" s="47">
        <v>26392</v>
      </c>
      <c r="E846" s="47">
        <v>29636</v>
      </c>
      <c r="F846" s="46" t="s">
        <v>2602</v>
      </c>
      <c r="G846" s="46">
        <v>42005</v>
      </c>
      <c r="H846" s="46" t="s">
        <v>2614</v>
      </c>
      <c r="I846" s="46" t="s">
        <v>2616</v>
      </c>
      <c r="J846" s="46" t="s">
        <v>3165</v>
      </c>
      <c r="K846" s="46" t="s">
        <v>3306</v>
      </c>
      <c r="L846" s="46">
        <v>44</v>
      </c>
    </row>
    <row r="847" spans="1:12" x14ac:dyDescent="0.3">
      <c r="A847" s="46" t="s">
        <v>856</v>
      </c>
      <c r="B847" s="46">
        <f>LEN(Table2[[#This Row],[Employee ID]])</f>
        <v>7</v>
      </c>
      <c r="C847" s="46" t="s">
        <v>2149</v>
      </c>
      <c r="D847" s="47">
        <v>28986</v>
      </c>
      <c r="E847" s="47">
        <v>42500</v>
      </c>
      <c r="F847" s="46" t="s">
        <v>2600</v>
      </c>
      <c r="G847" s="46">
        <v>195759</v>
      </c>
      <c r="H847" s="46" t="s">
        <v>2610</v>
      </c>
      <c r="I847" s="46" t="s">
        <v>2617</v>
      </c>
      <c r="J847" s="46" t="s">
        <v>3166</v>
      </c>
      <c r="K847" s="46" t="s">
        <v>3305</v>
      </c>
      <c r="L847" s="46">
        <v>9</v>
      </c>
    </row>
    <row r="848" spans="1:12" x14ac:dyDescent="0.3">
      <c r="A848" s="46" t="s">
        <v>857</v>
      </c>
      <c r="B848" s="46">
        <f>LEN(Table2[[#This Row],[Employee ID]])</f>
        <v>7</v>
      </c>
      <c r="C848" s="46" t="s">
        <v>2150</v>
      </c>
      <c r="D848" s="47">
        <v>21739</v>
      </c>
      <c r="E848" s="47">
        <v>33485</v>
      </c>
      <c r="F848" s="46" t="s">
        <v>2603</v>
      </c>
      <c r="G848" s="46">
        <v>107380</v>
      </c>
      <c r="H848" s="46" t="s">
        <v>2611</v>
      </c>
      <c r="I848" s="46" t="s">
        <v>2616</v>
      </c>
      <c r="J848" s="46" t="s">
        <v>2847</v>
      </c>
      <c r="K848" s="46" t="s">
        <v>3305</v>
      </c>
      <c r="L848" s="46">
        <v>34</v>
      </c>
    </row>
    <row r="849" spans="1:12" x14ac:dyDescent="0.3">
      <c r="A849" s="46" t="s">
        <v>858</v>
      </c>
      <c r="B849" s="46">
        <f>LEN(Table2[[#This Row],[Employee ID]])</f>
        <v>7</v>
      </c>
      <c r="C849" s="46" t="s">
        <v>2151</v>
      </c>
      <c r="D849" s="47">
        <v>22895</v>
      </c>
      <c r="E849" s="47">
        <v>26267</v>
      </c>
      <c r="F849" s="46" t="s">
        <v>2603</v>
      </c>
      <c r="G849" s="46">
        <v>92896</v>
      </c>
      <c r="H849" s="46" t="s">
        <v>2611</v>
      </c>
      <c r="I849" s="46" t="s">
        <v>2616</v>
      </c>
      <c r="J849" s="46" t="s">
        <v>3167</v>
      </c>
      <c r="K849" s="46" t="s">
        <v>3306</v>
      </c>
      <c r="L849" s="46">
        <v>54</v>
      </c>
    </row>
    <row r="850" spans="1:12" x14ac:dyDescent="0.3">
      <c r="A850" s="46" t="s">
        <v>859</v>
      </c>
      <c r="B850" s="46">
        <f>LEN(Table2[[#This Row],[Employee ID]])</f>
        <v>7</v>
      </c>
      <c r="C850" s="46" t="s">
        <v>2152</v>
      </c>
      <c r="D850" s="47">
        <v>32580</v>
      </c>
      <c r="E850" s="47">
        <v>37666</v>
      </c>
      <c r="F850" s="46" t="s">
        <v>2601</v>
      </c>
      <c r="G850" s="46">
        <v>177327</v>
      </c>
      <c r="H850" s="46" t="s">
        <v>2606</v>
      </c>
      <c r="I850" s="46" t="s">
        <v>2616</v>
      </c>
      <c r="J850" s="46" t="s">
        <v>2644</v>
      </c>
      <c r="K850" s="46" t="s">
        <v>3306</v>
      </c>
      <c r="L850" s="46">
        <v>22</v>
      </c>
    </row>
    <row r="851" spans="1:12" x14ac:dyDescent="0.3">
      <c r="A851" s="46" t="s">
        <v>860</v>
      </c>
      <c r="B851" s="46">
        <f>LEN(Table2[[#This Row],[Employee ID]])</f>
        <v>7</v>
      </c>
      <c r="C851" s="46" t="s">
        <v>2153</v>
      </c>
      <c r="D851" s="47">
        <v>22073</v>
      </c>
      <c r="E851" s="47">
        <v>44390</v>
      </c>
      <c r="F851" s="46" t="s">
        <v>2600</v>
      </c>
      <c r="G851" s="46">
        <v>68084</v>
      </c>
      <c r="H851" s="46" t="s">
        <v>2609</v>
      </c>
      <c r="I851" s="46" t="s">
        <v>2617</v>
      </c>
      <c r="J851" s="46" t="s">
        <v>3071</v>
      </c>
      <c r="K851" s="46" t="s">
        <v>3309</v>
      </c>
      <c r="L851" s="46">
        <v>4</v>
      </c>
    </row>
    <row r="852" spans="1:12" x14ac:dyDescent="0.3">
      <c r="A852" s="46" t="s">
        <v>861</v>
      </c>
      <c r="B852" s="46">
        <f>LEN(Table2[[#This Row],[Employee ID]])</f>
        <v>7</v>
      </c>
      <c r="C852" s="46" t="s">
        <v>2154</v>
      </c>
      <c r="D852" s="47">
        <v>36243</v>
      </c>
      <c r="E852" s="47">
        <v>28546</v>
      </c>
      <c r="F852" s="46" t="s">
        <v>2600</v>
      </c>
      <c r="G852" s="46">
        <v>146771</v>
      </c>
      <c r="H852" s="46" t="s">
        <v>2606</v>
      </c>
      <c r="I852" s="46" t="s">
        <v>2616</v>
      </c>
      <c r="J852" s="46" t="s">
        <v>2669</v>
      </c>
      <c r="K852" s="46" t="s">
        <v>3310</v>
      </c>
      <c r="L852" s="46">
        <v>47</v>
      </c>
    </row>
    <row r="853" spans="1:12" x14ac:dyDescent="0.3">
      <c r="A853" s="46" t="s">
        <v>862</v>
      </c>
      <c r="B853" s="46">
        <f>LEN(Table2[[#This Row],[Employee ID]])</f>
        <v>7</v>
      </c>
      <c r="C853" s="46" t="s">
        <v>2155</v>
      </c>
      <c r="D853" s="47">
        <v>24371</v>
      </c>
      <c r="E853" s="47">
        <v>44561</v>
      </c>
      <c r="F853" s="46" t="s">
        <v>2599</v>
      </c>
      <c r="G853" s="46">
        <v>55155</v>
      </c>
      <c r="H853" s="46" t="s">
        <v>2611</v>
      </c>
      <c r="I853" s="46" t="s">
        <v>2617</v>
      </c>
      <c r="J853" s="46" t="s">
        <v>3168</v>
      </c>
      <c r="K853" s="46" t="s">
        <v>3305</v>
      </c>
      <c r="L853" s="46">
        <v>4</v>
      </c>
    </row>
    <row r="854" spans="1:12" x14ac:dyDescent="0.3">
      <c r="A854" s="46" t="s">
        <v>863</v>
      </c>
      <c r="B854" s="46">
        <f>LEN(Table2[[#This Row],[Employee ID]])</f>
        <v>7</v>
      </c>
      <c r="C854" s="46" t="s">
        <v>2156</v>
      </c>
      <c r="D854" s="47">
        <v>35801</v>
      </c>
      <c r="E854" s="47">
        <v>34201</v>
      </c>
      <c r="F854" s="46" t="s">
        <v>2603</v>
      </c>
      <c r="G854" s="46">
        <v>22689</v>
      </c>
      <c r="H854" s="46" t="s">
        <v>2612</v>
      </c>
      <c r="I854" s="46" t="s">
        <v>2617</v>
      </c>
      <c r="J854" s="46" t="s">
        <v>3062</v>
      </c>
      <c r="K854" s="46" t="s">
        <v>3307</v>
      </c>
      <c r="L854" s="46">
        <v>32</v>
      </c>
    </row>
    <row r="855" spans="1:12" x14ac:dyDescent="0.3">
      <c r="A855" s="46" t="s">
        <v>864</v>
      </c>
      <c r="B855" s="46">
        <f>LEN(Table2[[#This Row],[Employee ID]])</f>
        <v>7</v>
      </c>
      <c r="C855" s="46" t="s">
        <v>2157</v>
      </c>
      <c r="D855" s="47">
        <v>26340</v>
      </c>
      <c r="E855" s="47">
        <v>39226</v>
      </c>
      <c r="F855" s="46" t="s">
        <v>2605</v>
      </c>
      <c r="G855" s="46">
        <v>195381</v>
      </c>
      <c r="H855" s="46" t="s">
        <v>2611</v>
      </c>
      <c r="I855" s="46" t="s">
        <v>2616</v>
      </c>
      <c r="J855" s="46" t="s">
        <v>3169</v>
      </c>
      <c r="K855" s="46" t="s">
        <v>3306</v>
      </c>
      <c r="L855" s="46">
        <v>18</v>
      </c>
    </row>
    <row r="856" spans="1:12" x14ac:dyDescent="0.3">
      <c r="A856" s="46" t="s">
        <v>865</v>
      </c>
      <c r="B856" s="46">
        <f>LEN(Table2[[#This Row],[Employee ID]])</f>
        <v>7</v>
      </c>
      <c r="C856" s="46" t="s">
        <v>2158</v>
      </c>
      <c r="D856" s="47">
        <v>23699</v>
      </c>
      <c r="E856" s="47">
        <v>39604</v>
      </c>
      <c r="F856" s="46" t="s">
        <v>2605</v>
      </c>
      <c r="G856" s="46">
        <v>178055</v>
      </c>
      <c r="H856" s="46" t="s">
        <v>2607</v>
      </c>
      <c r="I856" s="46" t="s">
        <v>2616</v>
      </c>
      <c r="J856" s="46" t="s">
        <v>3170</v>
      </c>
      <c r="K856" s="46" t="s">
        <v>3306</v>
      </c>
      <c r="L856" s="46">
        <v>17</v>
      </c>
    </row>
    <row r="857" spans="1:12" x14ac:dyDescent="0.3">
      <c r="A857" s="46" t="s">
        <v>866</v>
      </c>
      <c r="B857" s="46">
        <f>LEN(Table2[[#This Row],[Employee ID]])</f>
        <v>7</v>
      </c>
      <c r="C857" s="46" t="s">
        <v>2159</v>
      </c>
      <c r="D857" s="47">
        <v>27317</v>
      </c>
      <c r="E857" s="47">
        <v>43138</v>
      </c>
      <c r="F857" s="46" t="s">
        <v>2604</v>
      </c>
      <c r="G857" s="46">
        <v>95730</v>
      </c>
      <c r="H857" s="46" t="s">
        <v>2614</v>
      </c>
      <c r="I857" s="46" t="s">
        <v>2617</v>
      </c>
      <c r="J857" s="46" t="s">
        <v>2773</v>
      </c>
      <c r="K857" s="46" t="s">
        <v>3310</v>
      </c>
      <c r="L857" s="46">
        <v>7</v>
      </c>
    </row>
    <row r="858" spans="1:12" x14ac:dyDescent="0.3">
      <c r="A858" s="46" t="s">
        <v>867</v>
      </c>
      <c r="B858" s="46">
        <f>LEN(Table2[[#This Row],[Employee ID]])</f>
        <v>7</v>
      </c>
      <c r="C858" s="46" t="s">
        <v>2160</v>
      </c>
      <c r="D858" s="47">
        <v>37483</v>
      </c>
      <c r="E858" s="47">
        <v>27227</v>
      </c>
      <c r="F858" s="46" t="s">
        <v>2603</v>
      </c>
      <c r="G858" s="46">
        <v>131029</v>
      </c>
      <c r="H858" s="46" t="s">
        <v>2607</v>
      </c>
      <c r="I858" s="46" t="s">
        <v>2616</v>
      </c>
      <c r="J858" s="46" t="s">
        <v>2731</v>
      </c>
      <c r="K858" s="46" t="s">
        <v>3305</v>
      </c>
      <c r="L858" s="46">
        <v>51</v>
      </c>
    </row>
    <row r="859" spans="1:12" x14ac:dyDescent="0.3">
      <c r="A859" s="46" t="s">
        <v>868</v>
      </c>
      <c r="B859" s="46">
        <f>LEN(Table2[[#This Row],[Employee ID]])</f>
        <v>7</v>
      </c>
      <c r="C859" s="46" t="s">
        <v>2161</v>
      </c>
      <c r="D859" s="47">
        <v>34958</v>
      </c>
      <c r="E859" s="47">
        <v>37094</v>
      </c>
      <c r="F859" s="46" t="s">
        <v>2604</v>
      </c>
      <c r="G859" s="46">
        <v>68875</v>
      </c>
      <c r="H859" s="46" t="s">
        <v>2608</v>
      </c>
      <c r="I859" s="46" t="s">
        <v>2617</v>
      </c>
      <c r="J859" s="46" t="s">
        <v>3171</v>
      </c>
      <c r="K859" s="46" t="s">
        <v>3306</v>
      </c>
      <c r="L859" s="46">
        <v>24</v>
      </c>
    </row>
    <row r="860" spans="1:12" x14ac:dyDescent="0.3">
      <c r="A860" s="46" t="s">
        <v>869</v>
      </c>
      <c r="B860" s="46">
        <f>LEN(Table2[[#This Row],[Employee ID]])</f>
        <v>7</v>
      </c>
      <c r="C860" s="46" t="s">
        <v>2162</v>
      </c>
      <c r="D860" s="47">
        <v>30518</v>
      </c>
      <c r="E860" s="47">
        <v>41789</v>
      </c>
      <c r="F860" s="46" t="s">
        <v>2605</v>
      </c>
      <c r="G860" s="46">
        <v>171850</v>
      </c>
      <c r="H860" s="46" t="s">
        <v>2608</v>
      </c>
      <c r="I860" s="46" t="s">
        <v>2616</v>
      </c>
      <c r="J860" s="46" t="s">
        <v>3102</v>
      </c>
      <c r="K860" s="46" t="s">
        <v>3308</v>
      </c>
      <c r="L860" s="46">
        <v>11</v>
      </c>
    </row>
    <row r="861" spans="1:12" x14ac:dyDescent="0.3">
      <c r="A861" s="46" t="s">
        <v>870</v>
      </c>
      <c r="B861" s="46">
        <f>LEN(Table2[[#This Row],[Employee ID]])</f>
        <v>7</v>
      </c>
      <c r="C861" s="46" t="s">
        <v>2163</v>
      </c>
      <c r="D861" s="47">
        <v>23082</v>
      </c>
      <c r="E861" s="47">
        <v>42099</v>
      </c>
      <c r="F861" s="46" t="s">
        <v>2599</v>
      </c>
      <c r="G861" s="46">
        <v>154665</v>
      </c>
      <c r="H861" s="46" t="s">
        <v>2607</v>
      </c>
      <c r="I861" s="46" t="s">
        <v>2617</v>
      </c>
      <c r="J861" s="46" t="s">
        <v>2789</v>
      </c>
      <c r="K861" s="46" t="s">
        <v>3307</v>
      </c>
      <c r="L861" s="46">
        <v>10</v>
      </c>
    </row>
    <row r="862" spans="1:12" x14ac:dyDescent="0.3">
      <c r="A862" s="46" t="s">
        <v>871</v>
      </c>
      <c r="B862" s="46">
        <f>LEN(Table2[[#This Row],[Employee ID]])</f>
        <v>7</v>
      </c>
      <c r="C862" s="46" t="s">
        <v>2164</v>
      </c>
      <c r="D862" s="47">
        <v>31446</v>
      </c>
      <c r="E862" s="47">
        <v>32980</v>
      </c>
      <c r="F862" s="46" t="s">
        <v>2602</v>
      </c>
      <c r="G862" s="46">
        <v>83949</v>
      </c>
      <c r="H862" s="46" t="s">
        <v>2606</v>
      </c>
      <c r="I862" s="46" t="s">
        <v>2617</v>
      </c>
      <c r="J862" s="46" t="s">
        <v>3172</v>
      </c>
      <c r="K862" s="46" t="s">
        <v>3310</v>
      </c>
      <c r="L862" s="46">
        <v>35</v>
      </c>
    </row>
    <row r="863" spans="1:12" x14ac:dyDescent="0.3">
      <c r="A863" s="46" t="s">
        <v>872</v>
      </c>
      <c r="B863" s="46">
        <f>LEN(Table2[[#This Row],[Employee ID]])</f>
        <v>7</v>
      </c>
      <c r="C863" s="46" t="s">
        <v>2165</v>
      </c>
      <c r="D863" s="47">
        <v>28288</v>
      </c>
      <c r="E863" s="47">
        <v>33322</v>
      </c>
      <c r="F863" s="46" t="s">
        <v>2603</v>
      </c>
      <c r="G863" s="46">
        <v>196292</v>
      </c>
      <c r="H863" s="46" t="s">
        <v>2613</v>
      </c>
      <c r="I863" s="46" t="s">
        <v>2617</v>
      </c>
      <c r="J863" s="46" t="s">
        <v>3173</v>
      </c>
      <c r="K863" s="46" t="s">
        <v>3304</v>
      </c>
      <c r="L863" s="46">
        <v>34</v>
      </c>
    </row>
    <row r="864" spans="1:12" x14ac:dyDescent="0.3">
      <c r="A864" s="46" t="s">
        <v>873</v>
      </c>
      <c r="B864" s="46">
        <f>LEN(Table2[[#This Row],[Employee ID]])</f>
        <v>7</v>
      </c>
      <c r="C864" s="46" t="s">
        <v>2166</v>
      </c>
      <c r="D864" s="47">
        <v>22075</v>
      </c>
      <c r="E864" s="47">
        <v>27382</v>
      </c>
      <c r="F864" s="46" t="s">
        <v>2600</v>
      </c>
      <c r="G864" s="46">
        <v>33332</v>
      </c>
      <c r="H864" s="46" t="s">
        <v>2614</v>
      </c>
      <c r="I864" s="46" t="s">
        <v>2617</v>
      </c>
      <c r="J864" s="46" t="s">
        <v>3174</v>
      </c>
      <c r="K864" s="46" t="s">
        <v>3304</v>
      </c>
      <c r="L864" s="46">
        <v>51</v>
      </c>
    </row>
    <row r="865" spans="1:12" x14ac:dyDescent="0.3">
      <c r="A865" s="46" t="s">
        <v>874</v>
      </c>
      <c r="B865" s="46">
        <f>LEN(Table2[[#This Row],[Employee ID]])</f>
        <v>7</v>
      </c>
      <c r="C865" s="46" t="s">
        <v>2167</v>
      </c>
      <c r="D865" s="47">
        <v>33863</v>
      </c>
      <c r="E865" s="47">
        <v>34323</v>
      </c>
      <c r="F865" s="46" t="s">
        <v>2601</v>
      </c>
      <c r="G865" s="46">
        <v>113131</v>
      </c>
      <c r="H865" s="46" t="s">
        <v>2607</v>
      </c>
      <c r="I865" s="46" t="s">
        <v>2617</v>
      </c>
      <c r="J865" s="46" t="s">
        <v>3175</v>
      </c>
      <c r="K865" s="46" t="s">
        <v>3310</v>
      </c>
      <c r="L865" s="46">
        <v>32</v>
      </c>
    </row>
    <row r="866" spans="1:12" x14ac:dyDescent="0.3">
      <c r="A866" s="46" t="s">
        <v>875</v>
      </c>
      <c r="B866" s="46">
        <f>LEN(Table2[[#This Row],[Employee ID]])</f>
        <v>7</v>
      </c>
      <c r="C866" s="46" t="s">
        <v>2168</v>
      </c>
      <c r="D866" s="47">
        <v>23165</v>
      </c>
      <c r="E866" s="47">
        <v>35773</v>
      </c>
      <c r="F866" s="46" t="s">
        <v>2604</v>
      </c>
      <c r="G866" s="46">
        <v>103535</v>
      </c>
      <c r="H866" s="46" t="s">
        <v>2609</v>
      </c>
      <c r="I866" s="46" t="s">
        <v>2617</v>
      </c>
      <c r="J866" s="46" t="s">
        <v>2905</v>
      </c>
      <c r="K866" s="46" t="s">
        <v>3310</v>
      </c>
      <c r="L866" s="46">
        <v>28</v>
      </c>
    </row>
    <row r="867" spans="1:12" x14ac:dyDescent="0.3">
      <c r="A867" s="46" t="s">
        <v>876</v>
      </c>
      <c r="B867" s="46">
        <f>LEN(Table2[[#This Row],[Employee ID]])</f>
        <v>7</v>
      </c>
      <c r="C867" s="46" t="s">
        <v>2169</v>
      </c>
      <c r="D867" s="47">
        <v>23758</v>
      </c>
      <c r="E867" s="47">
        <v>32569</v>
      </c>
      <c r="F867" s="46" t="s">
        <v>2604</v>
      </c>
      <c r="G867" s="46">
        <v>188892</v>
      </c>
      <c r="H867" s="46" t="s">
        <v>2612</v>
      </c>
      <c r="I867" s="46" t="s">
        <v>2617</v>
      </c>
      <c r="J867" s="46" t="s">
        <v>2662</v>
      </c>
      <c r="K867" s="46" t="s">
        <v>3309</v>
      </c>
      <c r="L867" s="46">
        <v>36</v>
      </c>
    </row>
    <row r="868" spans="1:12" x14ac:dyDescent="0.3">
      <c r="A868" s="46" t="s">
        <v>877</v>
      </c>
      <c r="B868" s="46">
        <f>LEN(Table2[[#This Row],[Employee ID]])</f>
        <v>7</v>
      </c>
      <c r="C868" s="46" t="s">
        <v>2170</v>
      </c>
      <c r="D868" s="47">
        <v>24260</v>
      </c>
      <c r="E868" s="47">
        <v>44601</v>
      </c>
      <c r="F868" s="46" t="s">
        <v>2605</v>
      </c>
      <c r="G868" s="46">
        <v>48639</v>
      </c>
      <c r="H868" s="46" t="s">
        <v>2610</v>
      </c>
      <c r="I868" s="46" t="s">
        <v>2616</v>
      </c>
      <c r="J868" s="46" t="s">
        <v>2745</v>
      </c>
      <c r="K868" s="46" t="s">
        <v>3304</v>
      </c>
      <c r="L868" s="46">
        <v>3</v>
      </c>
    </row>
    <row r="869" spans="1:12" x14ac:dyDescent="0.3">
      <c r="A869" s="46" t="s">
        <v>878</v>
      </c>
      <c r="B869" s="46">
        <f>LEN(Table2[[#This Row],[Employee ID]])</f>
        <v>7</v>
      </c>
      <c r="C869" s="46" t="s">
        <v>2171</v>
      </c>
      <c r="D869" s="47">
        <v>34424</v>
      </c>
      <c r="E869" s="47">
        <v>36670</v>
      </c>
      <c r="F869" s="46" t="s">
        <v>2603</v>
      </c>
      <c r="G869" s="46">
        <v>180694</v>
      </c>
      <c r="H869" s="46" t="s">
        <v>2609</v>
      </c>
      <c r="I869" s="46" t="s">
        <v>2617</v>
      </c>
      <c r="J869" s="46" t="s">
        <v>2919</v>
      </c>
      <c r="K869" s="46" t="s">
        <v>3308</v>
      </c>
      <c r="L869" s="46">
        <v>25</v>
      </c>
    </row>
    <row r="870" spans="1:12" x14ac:dyDescent="0.3">
      <c r="A870" s="46" t="s">
        <v>879</v>
      </c>
      <c r="B870" s="46">
        <f>LEN(Table2[[#This Row],[Employee ID]])</f>
        <v>7</v>
      </c>
      <c r="C870" s="46" t="s">
        <v>2172</v>
      </c>
      <c r="D870" s="47">
        <v>36110</v>
      </c>
      <c r="E870" s="47">
        <v>41957</v>
      </c>
      <c r="F870" s="46" t="s">
        <v>2603</v>
      </c>
      <c r="G870" s="46">
        <v>151816</v>
      </c>
      <c r="H870" s="46" t="s">
        <v>2610</v>
      </c>
      <c r="I870" s="46" t="s">
        <v>2616</v>
      </c>
      <c r="J870" s="46" t="s">
        <v>3176</v>
      </c>
      <c r="K870" s="46" t="s">
        <v>3306</v>
      </c>
      <c r="L870" s="46">
        <v>11</v>
      </c>
    </row>
    <row r="871" spans="1:12" x14ac:dyDescent="0.3">
      <c r="A871" s="46" t="s">
        <v>880</v>
      </c>
      <c r="B871" s="46">
        <f>LEN(Table2[[#This Row],[Employee ID]])</f>
        <v>7</v>
      </c>
      <c r="C871" s="46" t="s">
        <v>2173</v>
      </c>
      <c r="D871" s="47">
        <v>29562</v>
      </c>
      <c r="E871" s="47">
        <v>40892</v>
      </c>
      <c r="F871" s="46" t="s">
        <v>2601</v>
      </c>
      <c r="G871" s="46">
        <v>88040</v>
      </c>
      <c r="H871" s="46" t="s">
        <v>2608</v>
      </c>
      <c r="I871" s="46" t="s">
        <v>2616</v>
      </c>
      <c r="J871" s="46" t="s">
        <v>2758</v>
      </c>
      <c r="K871" s="46" t="s">
        <v>3306</v>
      </c>
      <c r="L871" s="46">
        <v>14</v>
      </c>
    </row>
    <row r="872" spans="1:12" x14ac:dyDescent="0.3">
      <c r="A872" s="46" t="s">
        <v>881</v>
      </c>
      <c r="B872" s="46">
        <f>LEN(Table2[[#This Row],[Employee ID]])</f>
        <v>7</v>
      </c>
      <c r="C872" s="46" t="s">
        <v>2174</v>
      </c>
      <c r="D872" s="47">
        <v>24933</v>
      </c>
      <c r="E872" s="47">
        <v>42227</v>
      </c>
      <c r="F872" s="46" t="s">
        <v>2600</v>
      </c>
      <c r="G872" s="46">
        <v>53536</v>
      </c>
      <c r="H872" s="46" t="s">
        <v>2615</v>
      </c>
      <c r="I872" s="46" t="s">
        <v>2617</v>
      </c>
      <c r="J872" s="46" t="s">
        <v>3177</v>
      </c>
      <c r="K872" s="46" t="s">
        <v>3304</v>
      </c>
      <c r="L872" s="46">
        <v>10</v>
      </c>
    </row>
    <row r="873" spans="1:12" x14ac:dyDescent="0.3">
      <c r="A873" s="46" t="s">
        <v>882</v>
      </c>
      <c r="B873" s="46">
        <f>LEN(Table2[[#This Row],[Employee ID]])</f>
        <v>7</v>
      </c>
      <c r="C873" s="46" t="s">
        <v>2175</v>
      </c>
      <c r="D873" s="47">
        <v>31200</v>
      </c>
      <c r="E873" s="47">
        <v>38244</v>
      </c>
      <c r="F873" s="46" t="s">
        <v>2604</v>
      </c>
      <c r="G873" s="46">
        <v>35691</v>
      </c>
      <c r="H873" s="46" t="s">
        <v>2608</v>
      </c>
      <c r="I873" s="46" t="s">
        <v>2617</v>
      </c>
      <c r="J873" s="46" t="s">
        <v>3178</v>
      </c>
      <c r="K873" s="46" t="s">
        <v>3306</v>
      </c>
      <c r="L873" s="46">
        <v>21</v>
      </c>
    </row>
    <row r="874" spans="1:12" x14ac:dyDescent="0.3">
      <c r="A874" s="46" t="s">
        <v>883</v>
      </c>
      <c r="B874" s="46">
        <f>LEN(Table2[[#This Row],[Employee ID]])</f>
        <v>7</v>
      </c>
      <c r="C874" s="46" t="s">
        <v>2176</v>
      </c>
      <c r="D874" s="47">
        <v>33783</v>
      </c>
      <c r="E874" s="47">
        <v>34673</v>
      </c>
      <c r="F874" s="46" t="s">
        <v>2604</v>
      </c>
      <c r="G874" s="46">
        <v>167763</v>
      </c>
      <c r="H874" s="46" t="s">
        <v>2613</v>
      </c>
      <c r="I874" s="46" t="s">
        <v>2617</v>
      </c>
      <c r="J874" s="46" t="s">
        <v>2819</v>
      </c>
      <c r="K874" s="46" t="s">
        <v>3308</v>
      </c>
      <c r="L874" s="46">
        <v>31</v>
      </c>
    </row>
    <row r="875" spans="1:12" x14ac:dyDescent="0.3">
      <c r="A875" s="46" t="s">
        <v>884</v>
      </c>
      <c r="B875" s="46">
        <f>LEN(Table2[[#This Row],[Employee ID]])</f>
        <v>7</v>
      </c>
      <c r="C875" s="46" t="s">
        <v>2177</v>
      </c>
      <c r="D875" s="47">
        <v>23009</v>
      </c>
      <c r="E875" s="47">
        <v>35299</v>
      </c>
      <c r="F875" s="46" t="s">
        <v>2603</v>
      </c>
      <c r="G875" s="46">
        <v>138148</v>
      </c>
      <c r="H875" s="46" t="s">
        <v>2608</v>
      </c>
      <c r="I875" s="46" t="s">
        <v>2617</v>
      </c>
      <c r="J875" s="46" t="s">
        <v>2880</v>
      </c>
      <c r="K875" s="46" t="s">
        <v>3309</v>
      </c>
      <c r="L875" s="46">
        <v>29</v>
      </c>
    </row>
    <row r="876" spans="1:12" x14ac:dyDescent="0.3">
      <c r="A876" s="46" t="s">
        <v>885</v>
      </c>
      <c r="B876" s="46">
        <f>LEN(Table2[[#This Row],[Employee ID]])</f>
        <v>7</v>
      </c>
      <c r="C876" s="46" t="s">
        <v>2178</v>
      </c>
      <c r="D876" s="47">
        <v>23466</v>
      </c>
      <c r="E876" s="47">
        <v>34580</v>
      </c>
      <c r="F876" s="46" t="s">
        <v>2599</v>
      </c>
      <c r="G876" s="46">
        <v>140997</v>
      </c>
      <c r="H876" s="46" t="s">
        <v>2615</v>
      </c>
      <c r="I876" s="46" t="s">
        <v>2617</v>
      </c>
      <c r="J876" s="46" t="s">
        <v>3179</v>
      </c>
      <c r="K876" s="46" t="s">
        <v>3304</v>
      </c>
      <c r="L876" s="46">
        <v>31</v>
      </c>
    </row>
    <row r="877" spans="1:12" x14ac:dyDescent="0.3">
      <c r="A877" s="46" t="s">
        <v>886</v>
      </c>
      <c r="B877" s="46">
        <f>LEN(Table2[[#This Row],[Employee ID]])</f>
        <v>7</v>
      </c>
      <c r="C877" s="46" t="s">
        <v>2179</v>
      </c>
      <c r="D877" s="47">
        <v>32065</v>
      </c>
      <c r="E877" s="47">
        <v>28723</v>
      </c>
      <c r="F877" s="46" t="s">
        <v>2602</v>
      </c>
      <c r="G877" s="46">
        <v>88803</v>
      </c>
      <c r="H877" s="46" t="s">
        <v>2611</v>
      </c>
      <c r="I877" s="46" t="s">
        <v>2617</v>
      </c>
      <c r="J877" s="46" t="s">
        <v>2640</v>
      </c>
      <c r="K877" s="46" t="s">
        <v>3310</v>
      </c>
      <c r="L877" s="46">
        <v>47</v>
      </c>
    </row>
    <row r="878" spans="1:12" x14ac:dyDescent="0.3">
      <c r="A878" s="46" t="s">
        <v>887</v>
      </c>
      <c r="B878" s="46">
        <f>LEN(Table2[[#This Row],[Employee ID]])</f>
        <v>7</v>
      </c>
      <c r="C878" s="46" t="s">
        <v>2180</v>
      </c>
      <c r="D878" s="47">
        <v>29439</v>
      </c>
      <c r="E878" s="47">
        <v>35044</v>
      </c>
      <c r="F878" s="46" t="s">
        <v>2603</v>
      </c>
      <c r="G878" s="46">
        <v>184422</v>
      </c>
      <c r="H878" s="46" t="s">
        <v>2606</v>
      </c>
      <c r="I878" s="46" t="s">
        <v>2617</v>
      </c>
      <c r="J878" s="46" t="s">
        <v>2778</v>
      </c>
      <c r="K878" s="46" t="s">
        <v>3304</v>
      </c>
      <c r="L878" s="46">
        <v>30</v>
      </c>
    </row>
    <row r="879" spans="1:12" x14ac:dyDescent="0.3">
      <c r="A879" s="46" t="s">
        <v>888</v>
      </c>
      <c r="B879" s="46">
        <f>LEN(Table2[[#This Row],[Employee ID]])</f>
        <v>7</v>
      </c>
      <c r="C879" s="46" t="s">
        <v>2181</v>
      </c>
      <c r="D879" s="47">
        <v>22317</v>
      </c>
      <c r="E879" s="47">
        <v>27032</v>
      </c>
      <c r="F879" s="46" t="s">
        <v>2603</v>
      </c>
      <c r="G879" s="46">
        <v>151316</v>
      </c>
      <c r="H879" s="46" t="s">
        <v>2607</v>
      </c>
      <c r="I879" s="46" t="s">
        <v>2616</v>
      </c>
      <c r="J879" s="46" t="s">
        <v>3180</v>
      </c>
      <c r="K879" s="46" t="s">
        <v>3310</v>
      </c>
      <c r="L879" s="46">
        <v>51</v>
      </c>
    </row>
    <row r="880" spans="1:12" x14ac:dyDescent="0.3">
      <c r="A880" s="46" t="s">
        <v>889</v>
      </c>
      <c r="B880" s="46">
        <f>LEN(Table2[[#This Row],[Employee ID]])</f>
        <v>7</v>
      </c>
      <c r="C880" s="46" t="s">
        <v>2182</v>
      </c>
      <c r="D880" s="47">
        <v>32775</v>
      </c>
      <c r="E880" s="47">
        <v>27054</v>
      </c>
      <c r="F880" s="46" t="s">
        <v>2600</v>
      </c>
      <c r="G880" s="46">
        <v>194059</v>
      </c>
      <c r="H880" s="46" t="s">
        <v>2615</v>
      </c>
      <c r="I880" s="46" t="s">
        <v>2617</v>
      </c>
      <c r="J880" s="46" t="s">
        <v>2823</v>
      </c>
      <c r="K880" s="46" t="s">
        <v>3307</v>
      </c>
      <c r="L880" s="46">
        <v>51</v>
      </c>
    </row>
    <row r="881" spans="1:12" x14ac:dyDescent="0.3">
      <c r="A881" s="46" t="s">
        <v>890</v>
      </c>
      <c r="B881" s="46">
        <f>LEN(Table2[[#This Row],[Employee ID]])</f>
        <v>7</v>
      </c>
      <c r="C881" s="46" t="s">
        <v>2183</v>
      </c>
      <c r="D881" s="47">
        <v>34342</v>
      </c>
      <c r="E881" s="47">
        <v>32015</v>
      </c>
      <c r="F881" s="46" t="s">
        <v>2602</v>
      </c>
      <c r="G881" s="46">
        <v>132687</v>
      </c>
      <c r="H881" s="46" t="s">
        <v>2613</v>
      </c>
      <c r="I881" s="46" t="s">
        <v>2617</v>
      </c>
      <c r="J881" s="46" t="s">
        <v>3138</v>
      </c>
      <c r="K881" s="46" t="s">
        <v>3304</v>
      </c>
      <c r="L881" s="46">
        <v>38</v>
      </c>
    </row>
    <row r="882" spans="1:12" x14ac:dyDescent="0.3">
      <c r="A882" s="46" t="s">
        <v>891</v>
      </c>
      <c r="B882" s="46">
        <f>LEN(Table2[[#This Row],[Employee ID]])</f>
        <v>7</v>
      </c>
      <c r="C882" s="46" t="s">
        <v>2184</v>
      </c>
      <c r="D882" s="47">
        <v>33832</v>
      </c>
      <c r="E882" s="47">
        <v>40930</v>
      </c>
      <c r="F882" s="46" t="s">
        <v>2600</v>
      </c>
      <c r="G882" s="46">
        <v>82634</v>
      </c>
      <c r="H882" s="46" t="s">
        <v>2606</v>
      </c>
      <c r="I882" s="46" t="s">
        <v>2616</v>
      </c>
      <c r="J882" s="46" t="s">
        <v>3069</v>
      </c>
      <c r="K882" s="46" t="s">
        <v>3307</v>
      </c>
      <c r="L882" s="46">
        <v>13</v>
      </c>
    </row>
    <row r="883" spans="1:12" x14ac:dyDescent="0.3">
      <c r="A883" s="46" t="s">
        <v>892</v>
      </c>
      <c r="B883" s="46">
        <f>LEN(Table2[[#This Row],[Employee ID]])</f>
        <v>7</v>
      </c>
      <c r="C883" s="46" t="s">
        <v>2185</v>
      </c>
      <c r="D883" s="47">
        <v>37027</v>
      </c>
      <c r="E883" s="47">
        <v>32829</v>
      </c>
      <c r="F883" s="46" t="s">
        <v>2604</v>
      </c>
      <c r="G883" s="46">
        <v>113680</v>
      </c>
      <c r="H883" s="46" t="s">
        <v>2615</v>
      </c>
      <c r="I883" s="46" t="s">
        <v>2616</v>
      </c>
      <c r="J883" s="46" t="s">
        <v>2774</v>
      </c>
      <c r="K883" s="46" t="s">
        <v>3304</v>
      </c>
      <c r="L883" s="46">
        <v>36</v>
      </c>
    </row>
    <row r="884" spans="1:12" x14ac:dyDescent="0.3">
      <c r="A884" s="46" t="s">
        <v>893</v>
      </c>
      <c r="B884" s="46">
        <f>LEN(Table2[[#This Row],[Employee ID]])</f>
        <v>7</v>
      </c>
      <c r="C884" s="46" t="s">
        <v>2186</v>
      </c>
      <c r="D884" s="47">
        <v>35670</v>
      </c>
      <c r="E884" s="47">
        <v>42467</v>
      </c>
      <c r="F884" s="46" t="s">
        <v>2600</v>
      </c>
      <c r="G884" s="46">
        <v>26258</v>
      </c>
      <c r="H884" s="46" t="s">
        <v>2608</v>
      </c>
      <c r="I884" s="46" t="s">
        <v>2617</v>
      </c>
      <c r="J884" s="46" t="s">
        <v>3181</v>
      </c>
      <c r="K884" s="46" t="s">
        <v>3304</v>
      </c>
      <c r="L884" s="46">
        <v>9</v>
      </c>
    </row>
    <row r="885" spans="1:12" x14ac:dyDescent="0.3">
      <c r="A885" s="46" t="s">
        <v>894</v>
      </c>
      <c r="B885" s="46">
        <f>LEN(Table2[[#This Row],[Employee ID]])</f>
        <v>7</v>
      </c>
      <c r="C885" s="46" t="s">
        <v>2187</v>
      </c>
      <c r="D885" s="47">
        <v>22351</v>
      </c>
      <c r="E885" s="47">
        <v>31626</v>
      </c>
      <c r="F885" s="46" t="s">
        <v>2603</v>
      </c>
      <c r="G885" s="46">
        <v>159895</v>
      </c>
      <c r="H885" s="46" t="s">
        <v>2611</v>
      </c>
      <c r="I885" s="46" t="s">
        <v>2616</v>
      </c>
      <c r="J885" s="46" t="s">
        <v>2990</v>
      </c>
      <c r="K885" s="46" t="s">
        <v>3307</v>
      </c>
      <c r="L885" s="46">
        <v>39</v>
      </c>
    </row>
    <row r="886" spans="1:12" x14ac:dyDescent="0.3">
      <c r="A886" s="46" t="s">
        <v>895</v>
      </c>
      <c r="B886" s="46">
        <f>LEN(Table2[[#This Row],[Employee ID]])</f>
        <v>7</v>
      </c>
      <c r="C886" s="46" t="s">
        <v>2188</v>
      </c>
      <c r="D886" s="47">
        <v>35774</v>
      </c>
      <c r="E886" s="47">
        <v>41575</v>
      </c>
      <c r="F886" s="46" t="s">
        <v>2600</v>
      </c>
      <c r="G886" s="46">
        <v>165407</v>
      </c>
      <c r="H886" s="46" t="s">
        <v>2609</v>
      </c>
      <c r="I886" s="46" t="s">
        <v>2617</v>
      </c>
      <c r="J886" s="46" t="s">
        <v>3182</v>
      </c>
      <c r="K886" s="46" t="s">
        <v>3307</v>
      </c>
      <c r="L886" s="46">
        <v>12</v>
      </c>
    </row>
    <row r="887" spans="1:12" x14ac:dyDescent="0.3">
      <c r="A887" s="46" t="s">
        <v>896</v>
      </c>
      <c r="B887" s="46">
        <f>LEN(Table2[[#This Row],[Employee ID]])</f>
        <v>7</v>
      </c>
      <c r="C887" s="46" t="s">
        <v>2189</v>
      </c>
      <c r="D887" s="47">
        <v>28030</v>
      </c>
      <c r="E887" s="47">
        <v>32847</v>
      </c>
      <c r="F887" s="46" t="s">
        <v>2602</v>
      </c>
      <c r="G887" s="46">
        <v>95245</v>
      </c>
      <c r="H887" s="46" t="s">
        <v>2606</v>
      </c>
      <c r="I887" s="46" t="s">
        <v>2617</v>
      </c>
      <c r="J887" s="46" t="s">
        <v>2824</v>
      </c>
      <c r="K887" s="46" t="s">
        <v>3310</v>
      </c>
      <c r="L887" s="46">
        <v>36</v>
      </c>
    </row>
    <row r="888" spans="1:12" x14ac:dyDescent="0.3">
      <c r="A888" s="46" t="s">
        <v>897</v>
      </c>
      <c r="B888" s="46">
        <f>LEN(Table2[[#This Row],[Employee ID]])</f>
        <v>7</v>
      </c>
      <c r="C888" s="46" t="s">
        <v>2190</v>
      </c>
      <c r="D888" s="47">
        <v>27141</v>
      </c>
      <c r="E888" s="47">
        <v>41645</v>
      </c>
      <c r="F888" s="46" t="s">
        <v>2599</v>
      </c>
      <c r="G888" s="46">
        <v>30662</v>
      </c>
      <c r="H888" s="46" t="s">
        <v>2612</v>
      </c>
      <c r="I888" s="46" t="s">
        <v>2617</v>
      </c>
      <c r="J888" s="46" t="s">
        <v>2833</v>
      </c>
      <c r="K888" s="46" t="s">
        <v>3304</v>
      </c>
      <c r="L888" s="46">
        <v>11</v>
      </c>
    </row>
    <row r="889" spans="1:12" x14ac:dyDescent="0.3">
      <c r="A889" s="46" t="s">
        <v>898</v>
      </c>
      <c r="B889" s="46">
        <f>LEN(Table2[[#This Row],[Employee ID]])</f>
        <v>7</v>
      </c>
      <c r="C889" s="46" t="s">
        <v>2191</v>
      </c>
      <c r="D889" s="47">
        <v>23295</v>
      </c>
      <c r="E889" s="47">
        <v>31733</v>
      </c>
      <c r="F889" s="46" t="s">
        <v>2604</v>
      </c>
      <c r="G889" s="46">
        <v>181739</v>
      </c>
      <c r="H889" s="46" t="s">
        <v>2613</v>
      </c>
      <c r="I889" s="46" t="s">
        <v>2617</v>
      </c>
      <c r="J889" s="46" t="s">
        <v>2772</v>
      </c>
      <c r="K889" s="46" t="s">
        <v>3310</v>
      </c>
      <c r="L889" s="46">
        <v>39</v>
      </c>
    </row>
    <row r="890" spans="1:12" x14ac:dyDescent="0.3">
      <c r="A890" s="46" t="s">
        <v>899</v>
      </c>
      <c r="B890" s="46">
        <f>LEN(Table2[[#This Row],[Employee ID]])</f>
        <v>7</v>
      </c>
      <c r="C890" s="46" t="s">
        <v>2192</v>
      </c>
      <c r="D890" s="47">
        <v>25783</v>
      </c>
      <c r="E890" s="47">
        <v>43012</v>
      </c>
      <c r="F890" s="46" t="s">
        <v>2601</v>
      </c>
      <c r="G890" s="46">
        <v>26362</v>
      </c>
      <c r="H890" s="46" t="s">
        <v>2608</v>
      </c>
      <c r="I890" s="46" t="s">
        <v>2617</v>
      </c>
      <c r="J890" s="46" t="s">
        <v>3125</v>
      </c>
      <c r="K890" s="46" t="s">
        <v>3306</v>
      </c>
      <c r="L890" s="46">
        <v>8</v>
      </c>
    </row>
    <row r="891" spans="1:12" x14ac:dyDescent="0.3">
      <c r="A891" s="46" t="s">
        <v>900</v>
      </c>
      <c r="B891" s="46">
        <f>LEN(Table2[[#This Row],[Employee ID]])</f>
        <v>7</v>
      </c>
      <c r="C891" s="46" t="s">
        <v>2193</v>
      </c>
      <c r="D891" s="47">
        <v>32730</v>
      </c>
      <c r="E891" s="47">
        <v>44907</v>
      </c>
      <c r="F891" s="46" t="s">
        <v>2600</v>
      </c>
      <c r="G891" s="46">
        <v>123561</v>
      </c>
      <c r="H891" s="46" t="s">
        <v>2609</v>
      </c>
      <c r="I891" s="46" t="s">
        <v>2616</v>
      </c>
      <c r="J891" s="46" t="s">
        <v>3183</v>
      </c>
      <c r="K891" s="46" t="s">
        <v>3306</v>
      </c>
      <c r="L891" s="46">
        <v>3</v>
      </c>
    </row>
    <row r="892" spans="1:12" x14ac:dyDescent="0.3">
      <c r="A892" s="46" t="s">
        <v>901</v>
      </c>
      <c r="B892" s="46">
        <f>LEN(Table2[[#This Row],[Employee ID]])</f>
        <v>7</v>
      </c>
      <c r="C892" s="46" t="s">
        <v>2194</v>
      </c>
      <c r="D892" s="47">
        <v>25079</v>
      </c>
      <c r="E892" s="47">
        <v>38124</v>
      </c>
      <c r="F892" s="46" t="s">
        <v>2605</v>
      </c>
      <c r="G892" s="46">
        <v>149789</v>
      </c>
      <c r="H892" s="46" t="s">
        <v>2615</v>
      </c>
      <c r="I892" s="46" t="s">
        <v>2617</v>
      </c>
      <c r="J892" s="46" t="s">
        <v>2675</v>
      </c>
      <c r="K892" s="46" t="s">
        <v>3307</v>
      </c>
      <c r="L892" s="46">
        <v>21</v>
      </c>
    </row>
    <row r="893" spans="1:12" x14ac:dyDescent="0.3">
      <c r="A893" s="46" t="s">
        <v>902</v>
      </c>
      <c r="B893" s="46">
        <f>LEN(Table2[[#This Row],[Employee ID]])</f>
        <v>7</v>
      </c>
      <c r="C893" s="46" t="s">
        <v>2195</v>
      </c>
      <c r="D893" s="47">
        <v>31561</v>
      </c>
      <c r="E893" s="47">
        <v>34272</v>
      </c>
      <c r="F893" s="46" t="s">
        <v>2602</v>
      </c>
      <c r="G893" s="46">
        <v>36222</v>
      </c>
      <c r="H893" s="46" t="s">
        <v>2612</v>
      </c>
      <c r="I893" s="46" t="s">
        <v>2617</v>
      </c>
      <c r="J893" s="46" t="s">
        <v>2930</v>
      </c>
      <c r="K893" s="46" t="s">
        <v>3307</v>
      </c>
      <c r="L893" s="46">
        <v>32</v>
      </c>
    </row>
    <row r="894" spans="1:12" x14ac:dyDescent="0.3">
      <c r="A894" s="46" t="s">
        <v>903</v>
      </c>
      <c r="B894" s="46">
        <f>LEN(Table2[[#This Row],[Employee ID]])</f>
        <v>7</v>
      </c>
      <c r="C894" s="46" t="s">
        <v>2196</v>
      </c>
      <c r="D894" s="47">
        <v>33626</v>
      </c>
      <c r="E894" s="47">
        <v>41352</v>
      </c>
      <c r="F894" s="46" t="s">
        <v>2605</v>
      </c>
      <c r="G894" s="46">
        <v>198214</v>
      </c>
      <c r="H894" s="46" t="s">
        <v>2610</v>
      </c>
      <c r="I894" s="46" t="s">
        <v>2617</v>
      </c>
      <c r="J894" s="46" t="s">
        <v>3184</v>
      </c>
      <c r="K894" s="46" t="s">
        <v>3306</v>
      </c>
      <c r="L894" s="46">
        <v>12</v>
      </c>
    </row>
    <row r="895" spans="1:12" x14ac:dyDescent="0.3">
      <c r="A895" s="46" t="s">
        <v>904</v>
      </c>
      <c r="B895" s="46">
        <f>LEN(Table2[[#This Row],[Employee ID]])</f>
        <v>7</v>
      </c>
      <c r="C895" s="46" t="s">
        <v>2197</v>
      </c>
      <c r="D895" s="47">
        <v>23443</v>
      </c>
      <c r="E895" s="47">
        <v>32308</v>
      </c>
      <c r="F895" s="46" t="s">
        <v>2605</v>
      </c>
      <c r="G895" s="46">
        <v>138451</v>
      </c>
      <c r="H895" s="46" t="s">
        <v>2615</v>
      </c>
      <c r="I895" s="46" t="s">
        <v>2616</v>
      </c>
      <c r="J895" s="46" t="s">
        <v>3024</v>
      </c>
      <c r="K895" s="46" t="s">
        <v>3307</v>
      </c>
      <c r="L895" s="46">
        <v>37</v>
      </c>
    </row>
    <row r="896" spans="1:12" x14ac:dyDescent="0.3">
      <c r="A896" s="46" t="s">
        <v>905</v>
      </c>
      <c r="B896" s="46">
        <f>LEN(Table2[[#This Row],[Employee ID]])</f>
        <v>7</v>
      </c>
      <c r="C896" s="46" t="s">
        <v>2198</v>
      </c>
      <c r="D896" s="47">
        <v>27565</v>
      </c>
      <c r="E896" s="47">
        <v>31442</v>
      </c>
      <c r="F896" s="46" t="s">
        <v>2605</v>
      </c>
      <c r="G896" s="46">
        <v>185717</v>
      </c>
      <c r="H896" s="46" t="s">
        <v>2613</v>
      </c>
      <c r="I896" s="46" t="s">
        <v>2616</v>
      </c>
      <c r="J896" s="46" t="s">
        <v>2627</v>
      </c>
      <c r="K896" s="46" t="s">
        <v>3308</v>
      </c>
      <c r="L896" s="46">
        <v>39</v>
      </c>
    </row>
    <row r="897" spans="1:12" x14ac:dyDescent="0.3">
      <c r="A897" s="46" t="s">
        <v>906</v>
      </c>
      <c r="B897" s="46">
        <f>LEN(Table2[[#This Row],[Employee ID]])</f>
        <v>7</v>
      </c>
      <c r="C897" s="46" t="s">
        <v>2199</v>
      </c>
      <c r="D897" s="47">
        <v>32760</v>
      </c>
      <c r="E897" s="47">
        <v>39434</v>
      </c>
      <c r="F897" s="46" t="s">
        <v>2599</v>
      </c>
      <c r="G897" s="46">
        <v>20017</v>
      </c>
      <c r="H897" s="46" t="s">
        <v>2611</v>
      </c>
      <c r="I897" s="46" t="s">
        <v>2617</v>
      </c>
      <c r="J897" s="46" t="s">
        <v>3054</v>
      </c>
      <c r="K897" s="46" t="s">
        <v>3307</v>
      </c>
      <c r="L897" s="46">
        <v>18</v>
      </c>
    </row>
    <row r="898" spans="1:12" x14ac:dyDescent="0.3">
      <c r="A898" s="46" t="s">
        <v>907</v>
      </c>
      <c r="B898" s="46">
        <f>LEN(Table2[[#This Row],[Employee ID]])</f>
        <v>7</v>
      </c>
      <c r="C898" s="46" t="s">
        <v>2200</v>
      </c>
      <c r="D898" s="47">
        <v>25449</v>
      </c>
      <c r="E898" s="47">
        <v>30872</v>
      </c>
      <c r="F898" s="46" t="s">
        <v>2603</v>
      </c>
      <c r="G898" s="46">
        <v>97324</v>
      </c>
      <c r="H898" s="46" t="s">
        <v>2613</v>
      </c>
      <c r="I898" s="46" t="s">
        <v>2616</v>
      </c>
      <c r="J898" s="46" t="s">
        <v>3185</v>
      </c>
      <c r="K898" s="46" t="s">
        <v>3307</v>
      </c>
      <c r="L898" s="46">
        <v>41</v>
      </c>
    </row>
    <row r="899" spans="1:12" x14ac:dyDescent="0.3">
      <c r="A899" s="46" t="s">
        <v>908</v>
      </c>
      <c r="B899" s="46">
        <f>LEN(Table2[[#This Row],[Employee ID]])</f>
        <v>7</v>
      </c>
      <c r="C899" s="46" t="s">
        <v>2201</v>
      </c>
      <c r="D899" s="47">
        <v>34781</v>
      </c>
      <c r="E899" s="47">
        <v>29045</v>
      </c>
      <c r="F899" s="46" t="s">
        <v>2600</v>
      </c>
      <c r="G899" s="46">
        <v>167998</v>
      </c>
      <c r="H899" s="46" t="s">
        <v>2610</v>
      </c>
      <c r="I899" s="46" t="s">
        <v>2616</v>
      </c>
      <c r="J899" s="46" t="s">
        <v>3186</v>
      </c>
      <c r="K899" s="46" t="s">
        <v>3308</v>
      </c>
      <c r="L899" s="46">
        <v>46</v>
      </c>
    </row>
    <row r="900" spans="1:12" x14ac:dyDescent="0.3">
      <c r="A900" s="46" t="s">
        <v>909</v>
      </c>
      <c r="B900" s="46">
        <f>LEN(Table2[[#This Row],[Employee ID]])</f>
        <v>7</v>
      </c>
      <c r="C900" s="46" t="s">
        <v>2202</v>
      </c>
      <c r="D900" s="47">
        <v>31573</v>
      </c>
      <c r="E900" s="47">
        <v>39326</v>
      </c>
      <c r="F900" s="46" t="s">
        <v>2604</v>
      </c>
      <c r="G900" s="46">
        <v>28137</v>
      </c>
      <c r="H900" s="46" t="s">
        <v>2612</v>
      </c>
      <c r="I900" s="46" t="s">
        <v>2616</v>
      </c>
      <c r="J900" s="46" t="s">
        <v>3158</v>
      </c>
      <c r="K900" s="46" t="s">
        <v>3309</v>
      </c>
      <c r="L900" s="46">
        <v>18</v>
      </c>
    </row>
    <row r="901" spans="1:12" x14ac:dyDescent="0.3">
      <c r="A901" s="46" t="s">
        <v>910</v>
      </c>
      <c r="B901" s="46">
        <f>LEN(Table2[[#This Row],[Employee ID]])</f>
        <v>7</v>
      </c>
      <c r="C901" s="46" t="s">
        <v>2203</v>
      </c>
      <c r="D901" s="47">
        <v>35344</v>
      </c>
      <c r="E901" s="47">
        <v>33903</v>
      </c>
      <c r="F901" s="46" t="s">
        <v>2605</v>
      </c>
      <c r="G901" s="46">
        <v>126217</v>
      </c>
      <c r="H901" s="46" t="s">
        <v>2606</v>
      </c>
      <c r="I901" s="46" t="s">
        <v>2617</v>
      </c>
      <c r="J901" s="46" t="s">
        <v>2914</v>
      </c>
      <c r="K901" s="46" t="s">
        <v>3304</v>
      </c>
      <c r="L901" s="46">
        <v>33</v>
      </c>
    </row>
    <row r="902" spans="1:12" x14ac:dyDescent="0.3">
      <c r="A902" s="46" t="s">
        <v>911</v>
      </c>
      <c r="B902" s="46">
        <f>LEN(Table2[[#This Row],[Employee ID]])</f>
        <v>7</v>
      </c>
      <c r="C902" s="46" t="s">
        <v>2204</v>
      </c>
      <c r="D902" s="47">
        <v>31722</v>
      </c>
      <c r="E902" s="47">
        <v>27659</v>
      </c>
      <c r="F902" s="46" t="s">
        <v>2603</v>
      </c>
      <c r="G902" s="46">
        <v>70286</v>
      </c>
      <c r="H902" s="46" t="s">
        <v>2613</v>
      </c>
      <c r="I902" s="46" t="s">
        <v>2617</v>
      </c>
      <c r="J902" s="46" t="s">
        <v>2940</v>
      </c>
      <c r="K902" s="46" t="s">
        <v>3309</v>
      </c>
      <c r="L902" s="46">
        <v>50</v>
      </c>
    </row>
    <row r="903" spans="1:12" x14ac:dyDescent="0.3">
      <c r="A903" s="46" t="s">
        <v>912</v>
      </c>
      <c r="B903" s="46">
        <f>LEN(Table2[[#This Row],[Employee ID]])</f>
        <v>7</v>
      </c>
      <c r="C903" s="46" t="s">
        <v>2205</v>
      </c>
      <c r="D903" s="47">
        <v>33928</v>
      </c>
      <c r="E903" s="47">
        <v>27190</v>
      </c>
      <c r="F903" s="46" t="s">
        <v>2601</v>
      </c>
      <c r="G903" s="46">
        <v>190542</v>
      </c>
      <c r="H903" s="46" t="s">
        <v>2609</v>
      </c>
      <c r="I903" s="46" t="s">
        <v>2617</v>
      </c>
      <c r="J903" s="46" t="s">
        <v>2686</v>
      </c>
      <c r="K903" s="46" t="s">
        <v>3307</v>
      </c>
      <c r="L903" s="46">
        <v>51</v>
      </c>
    </row>
    <row r="904" spans="1:12" x14ac:dyDescent="0.3">
      <c r="A904" s="46" t="s">
        <v>913</v>
      </c>
      <c r="B904" s="46">
        <f>LEN(Table2[[#This Row],[Employee ID]])</f>
        <v>7</v>
      </c>
      <c r="C904" s="46" t="s">
        <v>2206</v>
      </c>
      <c r="D904" s="47">
        <v>35474</v>
      </c>
      <c r="E904" s="47">
        <v>35868</v>
      </c>
      <c r="F904" s="46" t="s">
        <v>2600</v>
      </c>
      <c r="G904" s="46">
        <v>32749</v>
      </c>
      <c r="H904" s="46" t="s">
        <v>2608</v>
      </c>
      <c r="I904" s="46" t="s">
        <v>2617</v>
      </c>
      <c r="J904" s="46" t="s">
        <v>3116</v>
      </c>
      <c r="K904" s="46" t="s">
        <v>3307</v>
      </c>
      <c r="L904" s="46">
        <v>27</v>
      </c>
    </row>
    <row r="905" spans="1:12" x14ac:dyDescent="0.3">
      <c r="A905" s="46" t="s">
        <v>914</v>
      </c>
      <c r="B905" s="46">
        <f>LEN(Table2[[#This Row],[Employee ID]])</f>
        <v>7</v>
      </c>
      <c r="C905" s="46" t="s">
        <v>2207</v>
      </c>
      <c r="D905" s="47">
        <v>32531</v>
      </c>
      <c r="E905" s="47">
        <v>34620</v>
      </c>
      <c r="F905" s="46" t="s">
        <v>2603</v>
      </c>
      <c r="G905" s="46">
        <v>154469</v>
      </c>
      <c r="H905" s="46" t="s">
        <v>2609</v>
      </c>
      <c r="I905" s="46" t="s">
        <v>2616</v>
      </c>
      <c r="J905" s="46" t="s">
        <v>2733</v>
      </c>
      <c r="K905" s="46" t="s">
        <v>3309</v>
      </c>
      <c r="L905" s="46">
        <v>31</v>
      </c>
    </row>
    <row r="906" spans="1:12" x14ac:dyDescent="0.3">
      <c r="A906" s="46" t="s">
        <v>915</v>
      </c>
      <c r="B906" s="46">
        <f>LEN(Table2[[#This Row],[Employee ID]])</f>
        <v>7</v>
      </c>
      <c r="C906" s="46" t="s">
        <v>2208</v>
      </c>
      <c r="D906" s="47">
        <v>27859</v>
      </c>
      <c r="E906" s="47">
        <v>44059</v>
      </c>
      <c r="F906" s="46" t="s">
        <v>2603</v>
      </c>
      <c r="G906" s="46">
        <v>109148</v>
      </c>
      <c r="H906" s="46" t="s">
        <v>2612</v>
      </c>
      <c r="I906" s="46" t="s">
        <v>2616</v>
      </c>
      <c r="J906" s="46" t="s">
        <v>2816</v>
      </c>
      <c r="K906" s="46" t="s">
        <v>3310</v>
      </c>
      <c r="L906" s="46">
        <v>5</v>
      </c>
    </row>
    <row r="907" spans="1:12" x14ac:dyDescent="0.3">
      <c r="A907" s="46" t="s">
        <v>916</v>
      </c>
      <c r="B907" s="46">
        <f>LEN(Table2[[#This Row],[Employee ID]])</f>
        <v>7</v>
      </c>
      <c r="C907" s="46" t="s">
        <v>2209</v>
      </c>
      <c r="D907" s="47">
        <v>32508</v>
      </c>
      <c r="E907" s="47">
        <v>27369</v>
      </c>
      <c r="F907" s="46" t="s">
        <v>2601</v>
      </c>
      <c r="G907" s="46">
        <v>105817</v>
      </c>
      <c r="H907" s="46" t="s">
        <v>2614</v>
      </c>
      <c r="I907" s="46" t="s">
        <v>2616</v>
      </c>
      <c r="J907" s="46" t="s">
        <v>3187</v>
      </c>
      <c r="K907" s="46" t="s">
        <v>3304</v>
      </c>
      <c r="L907" s="46">
        <v>51</v>
      </c>
    </row>
    <row r="908" spans="1:12" x14ac:dyDescent="0.3">
      <c r="A908" s="46" t="s">
        <v>917</v>
      </c>
      <c r="B908" s="46">
        <f>LEN(Table2[[#This Row],[Employee ID]])</f>
        <v>7</v>
      </c>
      <c r="C908" s="46" t="s">
        <v>2210</v>
      </c>
      <c r="D908" s="47">
        <v>25405</v>
      </c>
      <c r="E908" s="47">
        <v>27334</v>
      </c>
      <c r="F908" s="46" t="s">
        <v>2604</v>
      </c>
      <c r="G908" s="46">
        <v>112819</v>
      </c>
      <c r="H908" s="46" t="s">
        <v>2609</v>
      </c>
      <c r="I908" s="46" t="s">
        <v>2616</v>
      </c>
      <c r="J908" s="46" t="s">
        <v>3188</v>
      </c>
      <c r="K908" s="46" t="s">
        <v>3310</v>
      </c>
      <c r="L908" s="46">
        <v>51</v>
      </c>
    </row>
    <row r="909" spans="1:12" x14ac:dyDescent="0.3">
      <c r="A909" s="46" t="s">
        <v>918</v>
      </c>
      <c r="B909" s="46">
        <f>LEN(Table2[[#This Row],[Employee ID]])</f>
        <v>7</v>
      </c>
      <c r="C909" s="46" t="s">
        <v>2211</v>
      </c>
      <c r="D909" s="47">
        <v>25574</v>
      </c>
      <c r="E909" s="47">
        <v>34194</v>
      </c>
      <c r="F909" s="46" t="s">
        <v>2604</v>
      </c>
      <c r="G909" s="46">
        <v>170348</v>
      </c>
      <c r="H909" s="46" t="s">
        <v>2608</v>
      </c>
      <c r="I909" s="46" t="s">
        <v>2616</v>
      </c>
      <c r="J909" s="46" t="s">
        <v>2676</v>
      </c>
      <c r="K909" s="46" t="s">
        <v>3308</v>
      </c>
      <c r="L909" s="46">
        <v>32</v>
      </c>
    </row>
    <row r="910" spans="1:12" x14ac:dyDescent="0.3">
      <c r="A910" s="46" t="s">
        <v>919</v>
      </c>
      <c r="B910" s="46">
        <f>LEN(Table2[[#This Row],[Employee ID]])</f>
        <v>7</v>
      </c>
      <c r="C910" s="46" t="s">
        <v>2212</v>
      </c>
      <c r="D910" s="47">
        <v>28747</v>
      </c>
      <c r="E910" s="47">
        <v>37594</v>
      </c>
      <c r="F910" s="46" t="s">
        <v>2599</v>
      </c>
      <c r="G910" s="46">
        <v>193707</v>
      </c>
      <c r="H910" s="46" t="s">
        <v>2611</v>
      </c>
      <c r="I910" s="46" t="s">
        <v>2616</v>
      </c>
      <c r="J910" s="46" t="s">
        <v>2901</v>
      </c>
      <c r="K910" s="46" t="s">
        <v>3306</v>
      </c>
      <c r="L910" s="46">
        <v>23</v>
      </c>
    </row>
    <row r="911" spans="1:12" x14ac:dyDescent="0.3">
      <c r="A911" s="46" t="s">
        <v>920</v>
      </c>
      <c r="B911" s="46">
        <f>LEN(Table2[[#This Row],[Employee ID]])</f>
        <v>7</v>
      </c>
      <c r="C911" s="46" t="s">
        <v>2213</v>
      </c>
      <c r="D911" s="47">
        <v>23483</v>
      </c>
      <c r="E911" s="47">
        <v>32948</v>
      </c>
      <c r="F911" s="46" t="s">
        <v>2601</v>
      </c>
      <c r="G911" s="46">
        <v>34796</v>
      </c>
      <c r="H911" s="46" t="s">
        <v>2608</v>
      </c>
      <c r="I911" s="46" t="s">
        <v>2617</v>
      </c>
      <c r="J911" s="46" t="s">
        <v>3189</v>
      </c>
      <c r="K911" s="46" t="s">
        <v>3305</v>
      </c>
      <c r="L911" s="46">
        <v>35</v>
      </c>
    </row>
    <row r="912" spans="1:12" x14ac:dyDescent="0.3">
      <c r="A912" s="46" t="s">
        <v>921</v>
      </c>
      <c r="B912" s="46">
        <f>LEN(Table2[[#This Row],[Employee ID]])</f>
        <v>7</v>
      </c>
      <c r="C912" s="46" t="s">
        <v>2214</v>
      </c>
      <c r="D912" s="47">
        <v>35891</v>
      </c>
      <c r="E912" s="47">
        <v>33234</v>
      </c>
      <c r="F912" s="46" t="s">
        <v>2601</v>
      </c>
      <c r="G912" s="46">
        <v>110724</v>
      </c>
      <c r="H912" s="46" t="s">
        <v>2606</v>
      </c>
      <c r="I912" s="46" t="s">
        <v>2616</v>
      </c>
      <c r="J912" s="46" t="s">
        <v>3190</v>
      </c>
      <c r="K912" s="46" t="s">
        <v>3308</v>
      </c>
      <c r="L912" s="46">
        <v>35</v>
      </c>
    </row>
    <row r="913" spans="1:12" x14ac:dyDescent="0.3">
      <c r="A913" s="46" t="s">
        <v>922</v>
      </c>
      <c r="B913" s="46">
        <f>LEN(Table2[[#This Row],[Employee ID]])</f>
        <v>7</v>
      </c>
      <c r="C913" s="46" t="s">
        <v>2215</v>
      </c>
      <c r="D913" s="47">
        <v>33225</v>
      </c>
      <c r="E913" s="47">
        <v>38884</v>
      </c>
      <c r="F913" s="46" t="s">
        <v>2604</v>
      </c>
      <c r="G913" s="46">
        <v>48875</v>
      </c>
      <c r="H913" s="46" t="s">
        <v>2607</v>
      </c>
      <c r="I913" s="46" t="s">
        <v>2616</v>
      </c>
      <c r="J913" s="46" t="s">
        <v>3191</v>
      </c>
      <c r="K913" s="46" t="s">
        <v>3304</v>
      </c>
      <c r="L913" s="46">
        <v>19</v>
      </c>
    </row>
    <row r="914" spans="1:12" x14ac:dyDescent="0.3">
      <c r="A914" s="46" t="s">
        <v>923</v>
      </c>
      <c r="B914" s="46">
        <f>LEN(Table2[[#This Row],[Employee ID]])</f>
        <v>7</v>
      </c>
      <c r="C914" s="46" t="s">
        <v>2216</v>
      </c>
      <c r="D914" s="47">
        <v>24026</v>
      </c>
      <c r="E914" s="47">
        <v>41962</v>
      </c>
      <c r="F914" s="46" t="s">
        <v>2604</v>
      </c>
      <c r="G914" s="46">
        <v>117660</v>
      </c>
      <c r="H914" s="46" t="s">
        <v>2609</v>
      </c>
      <c r="I914" s="46" t="s">
        <v>2616</v>
      </c>
      <c r="J914" s="46" t="s">
        <v>3192</v>
      </c>
      <c r="K914" s="46" t="s">
        <v>3310</v>
      </c>
      <c r="L914" s="46">
        <v>11</v>
      </c>
    </row>
    <row r="915" spans="1:12" x14ac:dyDescent="0.3">
      <c r="A915" s="46" t="s">
        <v>924</v>
      </c>
      <c r="B915" s="46">
        <f>LEN(Table2[[#This Row],[Employee ID]])</f>
        <v>7</v>
      </c>
      <c r="C915" s="46" t="s">
        <v>2217</v>
      </c>
      <c r="D915" s="47">
        <v>27789</v>
      </c>
      <c r="E915" s="47">
        <v>34943</v>
      </c>
      <c r="F915" s="46" t="s">
        <v>2599</v>
      </c>
      <c r="G915" s="46">
        <v>118668</v>
      </c>
      <c r="H915" s="46" t="s">
        <v>2606</v>
      </c>
      <c r="I915" s="46" t="s">
        <v>2616</v>
      </c>
      <c r="J915" s="46" t="s">
        <v>2822</v>
      </c>
      <c r="K915" s="46" t="s">
        <v>3305</v>
      </c>
      <c r="L915" s="46">
        <v>30</v>
      </c>
    </row>
    <row r="916" spans="1:12" x14ac:dyDescent="0.3">
      <c r="A916" s="46" t="s">
        <v>925</v>
      </c>
      <c r="B916" s="46">
        <f>LEN(Table2[[#This Row],[Employee ID]])</f>
        <v>7</v>
      </c>
      <c r="C916" s="46" t="s">
        <v>2218</v>
      </c>
      <c r="D916" s="47">
        <v>28048</v>
      </c>
      <c r="E916" s="47">
        <v>35707</v>
      </c>
      <c r="F916" s="46" t="s">
        <v>2604</v>
      </c>
      <c r="G916" s="46">
        <v>187510</v>
      </c>
      <c r="H916" s="46" t="s">
        <v>2610</v>
      </c>
      <c r="I916" s="46" t="s">
        <v>2616</v>
      </c>
      <c r="J916" s="46" t="s">
        <v>3193</v>
      </c>
      <c r="K916" s="46" t="s">
        <v>3310</v>
      </c>
      <c r="L916" s="46">
        <v>28</v>
      </c>
    </row>
    <row r="917" spans="1:12" x14ac:dyDescent="0.3">
      <c r="A917" s="46" t="s">
        <v>926</v>
      </c>
      <c r="B917" s="46">
        <f>LEN(Table2[[#This Row],[Employee ID]])</f>
        <v>7</v>
      </c>
      <c r="C917" s="46" t="s">
        <v>2219</v>
      </c>
      <c r="D917" s="47">
        <v>37472</v>
      </c>
      <c r="E917" s="47">
        <v>26475</v>
      </c>
      <c r="F917" s="46" t="s">
        <v>2603</v>
      </c>
      <c r="G917" s="46">
        <v>133586</v>
      </c>
      <c r="H917" s="46" t="s">
        <v>2612</v>
      </c>
      <c r="I917" s="46" t="s">
        <v>2617</v>
      </c>
      <c r="J917" s="46" t="s">
        <v>2739</v>
      </c>
      <c r="K917" s="46" t="s">
        <v>3308</v>
      </c>
      <c r="L917" s="46">
        <v>53</v>
      </c>
    </row>
    <row r="918" spans="1:12" x14ac:dyDescent="0.3">
      <c r="A918" s="46" t="s">
        <v>927</v>
      </c>
      <c r="B918" s="46">
        <f>LEN(Table2[[#This Row],[Employee ID]])</f>
        <v>7</v>
      </c>
      <c r="C918" s="46" t="s">
        <v>2220</v>
      </c>
      <c r="D918" s="47">
        <v>24984</v>
      </c>
      <c r="E918" s="47">
        <v>30430</v>
      </c>
      <c r="F918" s="46" t="s">
        <v>2599</v>
      </c>
      <c r="G918" s="46">
        <v>185246</v>
      </c>
      <c r="H918" s="46" t="s">
        <v>2610</v>
      </c>
      <c r="I918" s="46" t="s">
        <v>2616</v>
      </c>
      <c r="J918" s="46" t="s">
        <v>3194</v>
      </c>
      <c r="K918" s="46" t="s">
        <v>3306</v>
      </c>
      <c r="L918" s="46">
        <v>42</v>
      </c>
    </row>
    <row r="919" spans="1:12" x14ac:dyDescent="0.3">
      <c r="A919" s="46" t="s">
        <v>928</v>
      </c>
      <c r="B919" s="46">
        <f>LEN(Table2[[#This Row],[Employee ID]])</f>
        <v>7</v>
      </c>
      <c r="C919" s="46" t="s">
        <v>2221</v>
      </c>
      <c r="D919" s="47">
        <v>21932</v>
      </c>
      <c r="E919" s="47">
        <v>36172</v>
      </c>
      <c r="F919" s="46" t="s">
        <v>2600</v>
      </c>
      <c r="G919" s="46">
        <v>176641</v>
      </c>
      <c r="H919" s="46" t="s">
        <v>2613</v>
      </c>
      <c r="I919" s="46" t="s">
        <v>2617</v>
      </c>
      <c r="J919" s="46" t="s">
        <v>3195</v>
      </c>
      <c r="K919" s="46" t="s">
        <v>3305</v>
      </c>
      <c r="L919" s="46">
        <v>26</v>
      </c>
    </row>
    <row r="920" spans="1:12" x14ac:dyDescent="0.3">
      <c r="A920" s="46" t="s">
        <v>929</v>
      </c>
      <c r="B920" s="46">
        <f>LEN(Table2[[#This Row],[Employee ID]])</f>
        <v>7</v>
      </c>
      <c r="C920" s="46" t="s">
        <v>2222</v>
      </c>
      <c r="D920" s="47">
        <v>32980</v>
      </c>
      <c r="E920" s="47">
        <v>35964</v>
      </c>
      <c r="F920" s="46" t="s">
        <v>2600</v>
      </c>
      <c r="G920" s="46">
        <v>138383</v>
      </c>
      <c r="H920" s="46" t="s">
        <v>2608</v>
      </c>
      <c r="I920" s="46" t="s">
        <v>2617</v>
      </c>
      <c r="J920" s="46" t="s">
        <v>3115</v>
      </c>
      <c r="K920" s="46" t="s">
        <v>3306</v>
      </c>
      <c r="L920" s="46">
        <v>27</v>
      </c>
    </row>
    <row r="921" spans="1:12" x14ac:dyDescent="0.3">
      <c r="A921" s="46" t="s">
        <v>930</v>
      </c>
      <c r="B921" s="46">
        <f>LEN(Table2[[#This Row],[Employee ID]])</f>
        <v>7</v>
      </c>
      <c r="C921" s="46" t="s">
        <v>2223</v>
      </c>
      <c r="D921" s="47">
        <v>27493</v>
      </c>
      <c r="E921" s="47">
        <v>25902</v>
      </c>
      <c r="F921" s="46" t="s">
        <v>2602</v>
      </c>
      <c r="G921" s="46">
        <v>122832</v>
      </c>
      <c r="H921" s="46" t="s">
        <v>2607</v>
      </c>
      <c r="I921" s="46" t="s">
        <v>2616</v>
      </c>
      <c r="J921" s="46" t="s">
        <v>2804</v>
      </c>
      <c r="K921" s="46" t="s">
        <v>3305</v>
      </c>
      <c r="L921" s="46">
        <v>55</v>
      </c>
    </row>
    <row r="922" spans="1:12" x14ac:dyDescent="0.3">
      <c r="A922" s="46" t="s">
        <v>931</v>
      </c>
      <c r="B922" s="46">
        <f>LEN(Table2[[#This Row],[Employee ID]])</f>
        <v>7</v>
      </c>
      <c r="C922" s="46" t="s">
        <v>2224</v>
      </c>
      <c r="D922" s="47">
        <v>36991</v>
      </c>
      <c r="E922" s="47">
        <v>35428</v>
      </c>
      <c r="F922" s="46" t="s">
        <v>2604</v>
      </c>
      <c r="G922" s="46">
        <v>137849</v>
      </c>
      <c r="H922" s="46" t="s">
        <v>2607</v>
      </c>
      <c r="I922" s="46" t="s">
        <v>2616</v>
      </c>
      <c r="J922" s="46" t="s">
        <v>3009</v>
      </c>
      <c r="K922" s="46" t="s">
        <v>3309</v>
      </c>
      <c r="L922" s="46">
        <v>29</v>
      </c>
    </row>
    <row r="923" spans="1:12" x14ac:dyDescent="0.3">
      <c r="A923" s="46" t="s">
        <v>932</v>
      </c>
      <c r="B923" s="46">
        <f>LEN(Table2[[#This Row],[Employee ID]])</f>
        <v>7</v>
      </c>
      <c r="C923" s="46" t="s">
        <v>2225</v>
      </c>
      <c r="D923" s="47">
        <v>24803</v>
      </c>
      <c r="E923" s="47">
        <v>32663</v>
      </c>
      <c r="F923" s="46" t="s">
        <v>2599</v>
      </c>
      <c r="G923" s="46">
        <v>121209</v>
      </c>
      <c r="H923" s="46" t="s">
        <v>2607</v>
      </c>
      <c r="I923" s="46" t="s">
        <v>2617</v>
      </c>
      <c r="J923" s="46" t="s">
        <v>3196</v>
      </c>
      <c r="K923" s="46" t="s">
        <v>3308</v>
      </c>
      <c r="L923" s="46">
        <v>36</v>
      </c>
    </row>
    <row r="924" spans="1:12" x14ac:dyDescent="0.3">
      <c r="A924" s="46" t="s">
        <v>933</v>
      </c>
      <c r="B924" s="46">
        <f>LEN(Table2[[#This Row],[Employee ID]])</f>
        <v>7</v>
      </c>
      <c r="C924" s="46" t="s">
        <v>2226</v>
      </c>
      <c r="D924" s="47">
        <v>28329</v>
      </c>
      <c r="E924" s="47">
        <v>37070</v>
      </c>
      <c r="F924" s="46" t="s">
        <v>2601</v>
      </c>
      <c r="G924" s="46">
        <v>108129</v>
      </c>
      <c r="H924" s="46" t="s">
        <v>2613</v>
      </c>
      <c r="I924" s="46" t="s">
        <v>2617</v>
      </c>
      <c r="J924" s="46" t="s">
        <v>3047</v>
      </c>
      <c r="K924" s="46" t="s">
        <v>3304</v>
      </c>
      <c r="L924" s="46">
        <v>24</v>
      </c>
    </row>
    <row r="925" spans="1:12" x14ac:dyDescent="0.3">
      <c r="A925" s="46" t="s">
        <v>934</v>
      </c>
      <c r="B925" s="46">
        <f>LEN(Table2[[#This Row],[Employee ID]])</f>
        <v>7</v>
      </c>
      <c r="C925" s="46" t="s">
        <v>2227</v>
      </c>
      <c r="D925" s="47">
        <v>31030</v>
      </c>
      <c r="E925" s="47">
        <v>43229</v>
      </c>
      <c r="F925" s="46" t="s">
        <v>2602</v>
      </c>
      <c r="G925" s="46">
        <v>36017</v>
      </c>
      <c r="H925" s="46" t="s">
        <v>2611</v>
      </c>
      <c r="I925" s="46" t="s">
        <v>2616</v>
      </c>
      <c r="J925" s="46" t="s">
        <v>2759</v>
      </c>
      <c r="K925" s="46" t="s">
        <v>3309</v>
      </c>
      <c r="L925" s="46">
        <v>7</v>
      </c>
    </row>
    <row r="926" spans="1:12" x14ac:dyDescent="0.3">
      <c r="A926" s="46" t="s">
        <v>935</v>
      </c>
      <c r="B926" s="46">
        <f>LEN(Table2[[#This Row],[Employee ID]])</f>
        <v>7</v>
      </c>
      <c r="C926" s="46" t="s">
        <v>2228</v>
      </c>
      <c r="D926" s="47">
        <v>27989</v>
      </c>
      <c r="E926" s="47">
        <v>37982</v>
      </c>
      <c r="F926" s="46" t="s">
        <v>2605</v>
      </c>
      <c r="G926" s="46">
        <v>179456</v>
      </c>
      <c r="H926" s="46" t="s">
        <v>2614</v>
      </c>
      <c r="I926" s="46" t="s">
        <v>2616</v>
      </c>
      <c r="J926" s="46" t="s">
        <v>3197</v>
      </c>
      <c r="K926" s="46" t="s">
        <v>3309</v>
      </c>
      <c r="L926" s="46">
        <v>22</v>
      </c>
    </row>
    <row r="927" spans="1:12" x14ac:dyDescent="0.3">
      <c r="A927" s="46" t="s">
        <v>936</v>
      </c>
      <c r="B927" s="46">
        <f>LEN(Table2[[#This Row],[Employee ID]])</f>
        <v>7</v>
      </c>
      <c r="C927" s="46" t="s">
        <v>2229</v>
      </c>
      <c r="D927" s="47">
        <v>28012</v>
      </c>
      <c r="E927" s="47">
        <v>40324</v>
      </c>
      <c r="F927" s="46" t="s">
        <v>2603</v>
      </c>
      <c r="G927" s="46">
        <v>33806</v>
      </c>
      <c r="H927" s="46" t="s">
        <v>2607</v>
      </c>
      <c r="I927" s="46" t="s">
        <v>2617</v>
      </c>
      <c r="J927" s="46" t="s">
        <v>2917</v>
      </c>
      <c r="K927" s="46" t="s">
        <v>3307</v>
      </c>
      <c r="L927" s="46">
        <v>15</v>
      </c>
    </row>
    <row r="928" spans="1:12" x14ac:dyDescent="0.3">
      <c r="A928" s="46" t="s">
        <v>937</v>
      </c>
      <c r="B928" s="46">
        <f>LEN(Table2[[#This Row],[Employee ID]])</f>
        <v>7</v>
      </c>
      <c r="C928" s="46" t="s">
        <v>2230</v>
      </c>
      <c r="D928" s="47">
        <v>32726</v>
      </c>
      <c r="E928" s="47">
        <v>44460</v>
      </c>
      <c r="F928" s="46" t="s">
        <v>2605</v>
      </c>
      <c r="G928" s="46">
        <v>185458</v>
      </c>
      <c r="H928" s="46" t="s">
        <v>2612</v>
      </c>
      <c r="I928" s="46" t="s">
        <v>2616</v>
      </c>
      <c r="J928" s="46" t="s">
        <v>3028</v>
      </c>
      <c r="K928" s="46" t="s">
        <v>3308</v>
      </c>
      <c r="L928" s="46">
        <v>4</v>
      </c>
    </row>
    <row r="929" spans="1:12" x14ac:dyDescent="0.3">
      <c r="A929" s="46" t="s">
        <v>938</v>
      </c>
      <c r="B929" s="46">
        <f>LEN(Table2[[#This Row],[Employee ID]])</f>
        <v>7</v>
      </c>
      <c r="C929" s="46" t="s">
        <v>2231</v>
      </c>
      <c r="D929" s="47">
        <v>30781</v>
      </c>
      <c r="E929" s="47">
        <v>28846</v>
      </c>
      <c r="F929" s="46" t="s">
        <v>2601</v>
      </c>
      <c r="G929" s="46">
        <v>120603</v>
      </c>
      <c r="H929" s="46" t="s">
        <v>2614</v>
      </c>
      <c r="I929" s="46" t="s">
        <v>2617</v>
      </c>
      <c r="J929" s="46" t="s">
        <v>3028</v>
      </c>
      <c r="K929" s="46" t="s">
        <v>3308</v>
      </c>
      <c r="L929" s="46">
        <v>47</v>
      </c>
    </row>
    <row r="930" spans="1:12" x14ac:dyDescent="0.3">
      <c r="A930" s="46" t="s">
        <v>939</v>
      </c>
      <c r="B930" s="46">
        <f>LEN(Table2[[#This Row],[Employee ID]])</f>
        <v>7</v>
      </c>
      <c r="C930" s="46" t="s">
        <v>2232</v>
      </c>
      <c r="D930" s="47">
        <v>33997</v>
      </c>
      <c r="E930" s="47">
        <v>44351</v>
      </c>
      <c r="F930" s="46" t="s">
        <v>2599</v>
      </c>
      <c r="G930" s="46">
        <v>91042</v>
      </c>
      <c r="H930" s="46" t="s">
        <v>2607</v>
      </c>
      <c r="I930" s="46" t="s">
        <v>2616</v>
      </c>
      <c r="J930" s="46" t="s">
        <v>3198</v>
      </c>
      <c r="K930" s="46" t="s">
        <v>3309</v>
      </c>
      <c r="L930" s="46">
        <v>4</v>
      </c>
    </row>
    <row r="931" spans="1:12" x14ac:dyDescent="0.3">
      <c r="A931" s="46" t="s">
        <v>940</v>
      </c>
      <c r="B931" s="46">
        <f>LEN(Table2[[#This Row],[Employee ID]])</f>
        <v>7</v>
      </c>
      <c r="C931" s="46" t="s">
        <v>2233</v>
      </c>
      <c r="D931" s="47">
        <v>21963</v>
      </c>
      <c r="E931" s="47">
        <v>34264</v>
      </c>
      <c r="F931" s="46" t="s">
        <v>2603</v>
      </c>
      <c r="G931" s="46">
        <v>193524</v>
      </c>
      <c r="H931" s="46" t="s">
        <v>2613</v>
      </c>
      <c r="I931" s="46" t="s">
        <v>2617</v>
      </c>
      <c r="J931" s="46" t="s">
        <v>3047</v>
      </c>
      <c r="K931" s="46" t="s">
        <v>3305</v>
      </c>
      <c r="L931" s="46">
        <v>32</v>
      </c>
    </row>
    <row r="932" spans="1:12" x14ac:dyDescent="0.3">
      <c r="A932" s="46" t="s">
        <v>941</v>
      </c>
      <c r="B932" s="46">
        <f>LEN(Table2[[#This Row],[Employee ID]])</f>
        <v>7</v>
      </c>
      <c r="C932" s="46" t="s">
        <v>2234</v>
      </c>
      <c r="D932" s="47">
        <v>22401</v>
      </c>
      <c r="E932" s="47">
        <v>43087</v>
      </c>
      <c r="F932" s="46" t="s">
        <v>2602</v>
      </c>
      <c r="G932" s="46">
        <v>23505</v>
      </c>
      <c r="H932" s="46" t="s">
        <v>2607</v>
      </c>
      <c r="I932" s="46" t="s">
        <v>2616</v>
      </c>
      <c r="J932" s="46" t="s">
        <v>2746</v>
      </c>
      <c r="K932" s="46" t="s">
        <v>3306</v>
      </c>
      <c r="L932" s="46">
        <v>8</v>
      </c>
    </row>
    <row r="933" spans="1:12" x14ac:dyDescent="0.3">
      <c r="A933" s="46" t="s">
        <v>942</v>
      </c>
      <c r="B933" s="46">
        <f>LEN(Table2[[#This Row],[Employee ID]])</f>
        <v>7</v>
      </c>
      <c r="C933" s="46" t="s">
        <v>2235</v>
      </c>
      <c r="D933" s="47">
        <v>27753</v>
      </c>
      <c r="E933" s="47">
        <v>26933</v>
      </c>
      <c r="F933" s="46" t="s">
        <v>2604</v>
      </c>
      <c r="G933" s="46">
        <v>83253</v>
      </c>
      <c r="H933" s="46" t="s">
        <v>2609</v>
      </c>
      <c r="I933" s="46" t="s">
        <v>2616</v>
      </c>
      <c r="J933" s="46" t="s">
        <v>3198</v>
      </c>
      <c r="K933" s="46" t="s">
        <v>3308</v>
      </c>
      <c r="L933" s="46">
        <v>52</v>
      </c>
    </row>
    <row r="934" spans="1:12" x14ac:dyDescent="0.3">
      <c r="A934" s="46" t="s">
        <v>943</v>
      </c>
      <c r="B934" s="46">
        <f>LEN(Table2[[#This Row],[Employee ID]])</f>
        <v>7</v>
      </c>
      <c r="C934" s="46" t="s">
        <v>2236</v>
      </c>
      <c r="D934" s="47">
        <v>25346</v>
      </c>
      <c r="E934" s="47">
        <v>32379</v>
      </c>
      <c r="F934" s="46" t="s">
        <v>2601</v>
      </c>
      <c r="G934" s="46">
        <v>168471</v>
      </c>
      <c r="H934" s="46" t="s">
        <v>2613</v>
      </c>
      <c r="I934" s="46" t="s">
        <v>2617</v>
      </c>
      <c r="J934" s="46" t="s">
        <v>3104</v>
      </c>
      <c r="K934" s="46" t="s">
        <v>3309</v>
      </c>
      <c r="L934" s="46">
        <v>37</v>
      </c>
    </row>
    <row r="935" spans="1:12" x14ac:dyDescent="0.3">
      <c r="A935" s="46" t="s">
        <v>944</v>
      </c>
      <c r="B935" s="46">
        <f>LEN(Table2[[#This Row],[Employee ID]])</f>
        <v>7</v>
      </c>
      <c r="C935" s="46" t="s">
        <v>2237</v>
      </c>
      <c r="D935" s="47">
        <v>26679</v>
      </c>
      <c r="E935" s="47">
        <v>28926</v>
      </c>
      <c r="F935" s="46" t="s">
        <v>2603</v>
      </c>
      <c r="G935" s="46">
        <v>158179</v>
      </c>
      <c r="H935" s="46" t="s">
        <v>2608</v>
      </c>
      <c r="I935" s="46" t="s">
        <v>2617</v>
      </c>
      <c r="J935" s="46" t="s">
        <v>3199</v>
      </c>
      <c r="K935" s="46" t="s">
        <v>3309</v>
      </c>
      <c r="L935" s="46">
        <v>46</v>
      </c>
    </row>
    <row r="936" spans="1:12" x14ac:dyDescent="0.3">
      <c r="A936" s="46" t="s">
        <v>945</v>
      </c>
      <c r="B936" s="46">
        <f>LEN(Table2[[#This Row],[Employee ID]])</f>
        <v>7</v>
      </c>
      <c r="C936" s="46" t="s">
        <v>2238</v>
      </c>
      <c r="D936" s="47">
        <v>31063</v>
      </c>
      <c r="E936" s="47">
        <v>36754</v>
      </c>
      <c r="F936" s="46" t="s">
        <v>2600</v>
      </c>
      <c r="G936" s="46">
        <v>78843</v>
      </c>
      <c r="H936" s="46" t="s">
        <v>2614</v>
      </c>
      <c r="I936" s="46" t="s">
        <v>2616</v>
      </c>
      <c r="J936" s="46" t="s">
        <v>2642</v>
      </c>
      <c r="K936" s="46" t="s">
        <v>3305</v>
      </c>
      <c r="L936" s="46">
        <v>25</v>
      </c>
    </row>
    <row r="937" spans="1:12" x14ac:dyDescent="0.3">
      <c r="A937" s="46" t="s">
        <v>946</v>
      </c>
      <c r="B937" s="46">
        <f>LEN(Table2[[#This Row],[Employee ID]])</f>
        <v>7</v>
      </c>
      <c r="C937" s="46" t="s">
        <v>2239</v>
      </c>
      <c r="D937" s="47">
        <v>29918</v>
      </c>
      <c r="E937" s="47">
        <v>36063</v>
      </c>
      <c r="F937" s="46" t="s">
        <v>2601</v>
      </c>
      <c r="G937" s="46">
        <v>171689</v>
      </c>
      <c r="H937" s="46" t="s">
        <v>2606</v>
      </c>
      <c r="I937" s="46" t="s">
        <v>2617</v>
      </c>
      <c r="J937" s="46" t="s">
        <v>2976</v>
      </c>
      <c r="K937" s="46" t="s">
        <v>3307</v>
      </c>
      <c r="L937" s="46">
        <v>27</v>
      </c>
    </row>
    <row r="938" spans="1:12" x14ac:dyDescent="0.3">
      <c r="A938" s="46" t="s">
        <v>947</v>
      </c>
      <c r="B938" s="46">
        <f>LEN(Table2[[#This Row],[Employee ID]])</f>
        <v>7</v>
      </c>
      <c r="C938" s="46" t="s">
        <v>2240</v>
      </c>
      <c r="D938" s="47">
        <v>21913</v>
      </c>
      <c r="E938" s="47">
        <v>43076</v>
      </c>
      <c r="F938" s="46" t="s">
        <v>2601</v>
      </c>
      <c r="G938" s="46">
        <v>122047</v>
      </c>
      <c r="H938" s="46" t="s">
        <v>2610</v>
      </c>
      <c r="I938" s="46" t="s">
        <v>2617</v>
      </c>
      <c r="J938" s="46" t="s">
        <v>3200</v>
      </c>
      <c r="K938" s="46" t="s">
        <v>3304</v>
      </c>
      <c r="L938" s="46">
        <v>8</v>
      </c>
    </row>
    <row r="939" spans="1:12" x14ac:dyDescent="0.3">
      <c r="A939" s="46" t="s">
        <v>948</v>
      </c>
      <c r="B939" s="46">
        <f>LEN(Table2[[#This Row],[Employee ID]])</f>
        <v>7</v>
      </c>
      <c r="C939" s="46" t="s">
        <v>2241</v>
      </c>
      <c r="D939" s="47">
        <v>37527</v>
      </c>
      <c r="E939" s="47">
        <v>40284</v>
      </c>
      <c r="F939" s="46" t="s">
        <v>2601</v>
      </c>
      <c r="G939" s="46">
        <v>89146</v>
      </c>
      <c r="H939" s="46" t="s">
        <v>2607</v>
      </c>
      <c r="I939" s="46" t="s">
        <v>2617</v>
      </c>
      <c r="J939" s="46" t="s">
        <v>3037</v>
      </c>
      <c r="K939" s="46" t="s">
        <v>3306</v>
      </c>
      <c r="L939" s="46">
        <v>15</v>
      </c>
    </row>
    <row r="940" spans="1:12" x14ac:dyDescent="0.3">
      <c r="A940" s="46" t="s">
        <v>949</v>
      </c>
      <c r="B940" s="46">
        <f>LEN(Table2[[#This Row],[Employee ID]])</f>
        <v>7</v>
      </c>
      <c r="C940" s="46" t="s">
        <v>2242</v>
      </c>
      <c r="D940" s="47">
        <v>23337</v>
      </c>
      <c r="E940" s="47">
        <v>33717</v>
      </c>
      <c r="F940" s="46" t="s">
        <v>2600</v>
      </c>
      <c r="G940" s="46">
        <v>185089</v>
      </c>
      <c r="H940" s="46" t="s">
        <v>2614</v>
      </c>
      <c r="I940" s="46" t="s">
        <v>2617</v>
      </c>
      <c r="J940" s="46" t="s">
        <v>3201</v>
      </c>
      <c r="K940" s="46" t="s">
        <v>3307</v>
      </c>
      <c r="L940" s="46">
        <v>33</v>
      </c>
    </row>
    <row r="941" spans="1:12" x14ac:dyDescent="0.3">
      <c r="A941" s="46" t="s">
        <v>950</v>
      </c>
      <c r="B941" s="46">
        <f>LEN(Table2[[#This Row],[Employee ID]])</f>
        <v>7</v>
      </c>
      <c r="C941" s="46" t="s">
        <v>2243</v>
      </c>
      <c r="D941" s="47">
        <v>32880</v>
      </c>
      <c r="E941" s="47">
        <v>43962</v>
      </c>
      <c r="F941" s="46" t="s">
        <v>2599</v>
      </c>
      <c r="G941" s="46">
        <v>82002</v>
      </c>
      <c r="H941" s="46" t="s">
        <v>2615</v>
      </c>
      <c r="I941" s="46" t="s">
        <v>2616</v>
      </c>
      <c r="J941" s="46" t="s">
        <v>3202</v>
      </c>
      <c r="K941" s="46" t="s">
        <v>3309</v>
      </c>
      <c r="L941" s="46">
        <v>5</v>
      </c>
    </row>
    <row r="942" spans="1:12" x14ac:dyDescent="0.3">
      <c r="A942" s="46" t="s">
        <v>951</v>
      </c>
      <c r="B942" s="46">
        <f>LEN(Table2[[#This Row],[Employee ID]])</f>
        <v>7</v>
      </c>
      <c r="C942" s="46" t="s">
        <v>2244</v>
      </c>
      <c r="D942" s="47">
        <v>26856</v>
      </c>
      <c r="E942" s="47">
        <v>37903</v>
      </c>
      <c r="F942" s="46" t="s">
        <v>2605</v>
      </c>
      <c r="G942" s="46">
        <v>164266</v>
      </c>
      <c r="H942" s="46" t="s">
        <v>2609</v>
      </c>
      <c r="I942" s="46" t="s">
        <v>2616</v>
      </c>
      <c r="J942" s="46" t="s">
        <v>3203</v>
      </c>
      <c r="K942" s="46" t="s">
        <v>3306</v>
      </c>
      <c r="L942" s="46">
        <v>22</v>
      </c>
    </row>
    <row r="943" spans="1:12" x14ac:dyDescent="0.3">
      <c r="A943" s="46" t="s">
        <v>952</v>
      </c>
      <c r="B943" s="46">
        <f>LEN(Table2[[#This Row],[Employee ID]])</f>
        <v>7</v>
      </c>
      <c r="C943" s="46" t="s">
        <v>2245</v>
      </c>
      <c r="D943" s="47">
        <v>29217</v>
      </c>
      <c r="E943" s="47">
        <v>35506</v>
      </c>
      <c r="F943" s="46" t="s">
        <v>2603</v>
      </c>
      <c r="G943" s="46">
        <v>79187</v>
      </c>
      <c r="H943" s="46" t="s">
        <v>2610</v>
      </c>
      <c r="I943" s="46" t="s">
        <v>2616</v>
      </c>
      <c r="J943" s="46" t="s">
        <v>2780</v>
      </c>
      <c r="K943" s="46" t="s">
        <v>3306</v>
      </c>
      <c r="L943" s="46">
        <v>28</v>
      </c>
    </row>
    <row r="944" spans="1:12" x14ac:dyDescent="0.3">
      <c r="A944" s="46" t="s">
        <v>953</v>
      </c>
      <c r="B944" s="46">
        <f>LEN(Table2[[#This Row],[Employee ID]])</f>
        <v>7</v>
      </c>
      <c r="C944" s="46" t="s">
        <v>2246</v>
      </c>
      <c r="D944" s="47">
        <v>24349</v>
      </c>
      <c r="E944" s="47">
        <v>41014</v>
      </c>
      <c r="F944" s="46" t="s">
        <v>2605</v>
      </c>
      <c r="G944" s="46">
        <v>143460</v>
      </c>
      <c r="H944" s="46" t="s">
        <v>2609</v>
      </c>
      <c r="I944" s="46" t="s">
        <v>2617</v>
      </c>
      <c r="J944" s="46" t="s">
        <v>2805</v>
      </c>
      <c r="K944" s="46" t="s">
        <v>3310</v>
      </c>
      <c r="L944" s="46">
        <v>13</v>
      </c>
    </row>
    <row r="945" spans="1:12" x14ac:dyDescent="0.3">
      <c r="A945" s="46" t="s">
        <v>954</v>
      </c>
      <c r="B945" s="46">
        <f>LEN(Table2[[#This Row],[Employee ID]])</f>
        <v>7</v>
      </c>
      <c r="C945" s="46" t="s">
        <v>2247</v>
      </c>
      <c r="D945" s="47">
        <v>36936</v>
      </c>
      <c r="E945" s="47">
        <v>31912</v>
      </c>
      <c r="F945" s="46" t="s">
        <v>2605</v>
      </c>
      <c r="G945" s="46">
        <v>182611</v>
      </c>
      <c r="H945" s="46" t="s">
        <v>2610</v>
      </c>
      <c r="I945" s="46" t="s">
        <v>2617</v>
      </c>
      <c r="J945" s="46" t="s">
        <v>2627</v>
      </c>
      <c r="K945" s="46" t="s">
        <v>3307</v>
      </c>
      <c r="L945" s="46">
        <v>38</v>
      </c>
    </row>
    <row r="946" spans="1:12" x14ac:dyDescent="0.3">
      <c r="A946" s="46" t="s">
        <v>955</v>
      </c>
      <c r="B946" s="46">
        <f>LEN(Table2[[#This Row],[Employee ID]])</f>
        <v>7</v>
      </c>
      <c r="C946" s="46" t="s">
        <v>2248</v>
      </c>
      <c r="D946" s="47">
        <v>36316</v>
      </c>
      <c r="E946" s="47">
        <v>38819</v>
      </c>
      <c r="F946" s="46" t="s">
        <v>2604</v>
      </c>
      <c r="G946" s="46">
        <v>97887</v>
      </c>
      <c r="H946" s="46" t="s">
        <v>2611</v>
      </c>
      <c r="I946" s="46" t="s">
        <v>2616</v>
      </c>
      <c r="J946" s="46" t="s">
        <v>2698</v>
      </c>
      <c r="K946" s="46" t="s">
        <v>3305</v>
      </c>
      <c r="L946" s="46">
        <v>19</v>
      </c>
    </row>
    <row r="947" spans="1:12" x14ac:dyDescent="0.3">
      <c r="A947" s="46" t="s">
        <v>956</v>
      </c>
      <c r="B947" s="46">
        <f>LEN(Table2[[#This Row],[Employee ID]])</f>
        <v>7</v>
      </c>
      <c r="C947" s="46" t="s">
        <v>2249</v>
      </c>
      <c r="D947" s="47">
        <v>34365</v>
      </c>
      <c r="E947" s="47">
        <v>36153</v>
      </c>
      <c r="F947" s="46" t="s">
        <v>2603</v>
      </c>
      <c r="G947" s="46">
        <v>172562</v>
      </c>
      <c r="H947" s="46" t="s">
        <v>2611</v>
      </c>
      <c r="I947" s="46" t="s">
        <v>2616</v>
      </c>
      <c r="J947" s="46" t="s">
        <v>3204</v>
      </c>
      <c r="K947" s="46" t="s">
        <v>3306</v>
      </c>
      <c r="L947" s="46">
        <v>27</v>
      </c>
    </row>
    <row r="948" spans="1:12" x14ac:dyDescent="0.3">
      <c r="A948" s="46" t="s">
        <v>957</v>
      </c>
      <c r="B948" s="46">
        <f>LEN(Table2[[#This Row],[Employee ID]])</f>
        <v>7</v>
      </c>
      <c r="C948" s="46" t="s">
        <v>2250</v>
      </c>
      <c r="D948" s="47">
        <v>27343</v>
      </c>
      <c r="E948" s="47">
        <v>30127</v>
      </c>
      <c r="F948" s="46" t="s">
        <v>2601</v>
      </c>
      <c r="G948" s="46">
        <v>157141</v>
      </c>
      <c r="H948" s="46" t="s">
        <v>2612</v>
      </c>
      <c r="I948" s="46" t="s">
        <v>2617</v>
      </c>
      <c r="J948" s="46" t="s">
        <v>3205</v>
      </c>
      <c r="K948" s="46" t="s">
        <v>3307</v>
      </c>
      <c r="L948" s="46">
        <v>43</v>
      </c>
    </row>
    <row r="949" spans="1:12" x14ac:dyDescent="0.3">
      <c r="A949" s="46" t="s">
        <v>958</v>
      </c>
      <c r="B949" s="46">
        <f>LEN(Table2[[#This Row],[Employee ID]])</f>
        <v>7</v>
      </c>
      <c r="C949" s="46" t="s">
        <v>2251</v>
      </c>
      <c r="D949" s="47">
        <v>36956</v>
      </c>
      <c r="E949" s="47">
        <v>32650</v>
      </c>
      <c r="F949" s="46" t="s">
        <v>2600</v>
      </c>
      <c r="G949" s="46">
        <v>148461</v>
      </c>
      <c r="H949" s="46" t="s">
        <v>2610</v>
      </c>
      <c r="I949" s="46" t="s">
        <v>2617</v>
      </c>
      <c r="J949" s="46" t="s">
        <v>2720</v>
      </c>
      <c r="K949" s="46" t="s">
        <v>3306</v>
      </c>
      <c r="L949" s="46">
        <v>36</v>
      </c>
    </row>
    <row r="950" spans="1:12" x14ac:dyDescent="0.3">
      <c r="A950" s="46" t="s">
        <v>959</v>
      </c>
      <c r="B950" s="46">
        <f>LEN(Table2[[#This Row],[Employee ID]])</f>
        <v>7</v>
      </c>
      <c r="C950" s="46" t="s">
        <v>2252</v>
      </c>
      <c r="D950" s="47">
        <v>32004</v>
      </c>
      <c r="E950" s="47">
        <v>35684</v>
      </c>
      <c r="F950" s="46" t="s">
        <v>2601</v>
      </c>
      <c r="G950" s="46">
        <v>194217</v>
      </c>
      <c r="H950" s="46" t="s">
        <v>2609</v>
      </c>
      <c r="I950" s="46" t="s">
        <v>2616</v>
      </c>
      <c r="J950" s="46" t="s">
        <v>3206</v>
      </c>
      <c r="K950" s="46" t="s">
        <v>3310</v>
      </c>
      <c r="L950" s="46">
        <v>28</v>
      </c>
    </row>
    <row r="951" spans="1:12" x14ac:dyDescent="0.3">
      <c r="A951" s="46" t="s">
        <v>960</v>
      </c>
      <c r="B951" s="46">
        <f>LEN(Table2[[#This Row],[Employee ID]])</f>
        <v>7</v>
      </c>
      <c r="C951" s="46" t="s">
        <v>2253</v>
      </c>
      <c r="D951" s="47">
        <v>36955</v>
      </c>
      <c r="E951" s="47">
        <v>42740</v>
      </c>
      <c r="F951" s="46" t="s">
        <v>2603</v>
      </c>
      <c r="G951" s="46">
        <v>183384</v>
      </c>
      <c r="H951" s="46" t="s">
        <v>2614</v>
      </c>
      <c r="I951" s="46" t="s">
        <v>2617</v>
      </c>
      <c r="J951" s="46" t="s">
        <v>2755</v>
      </c>
      <c r="K951" s="46" t="s">
        <v>3308</v>
      </c>
      <c r="L951" s="46">
        <v>8</v>
      </c>
    </row>
    <row r="952" spans="1:12" x14ac:dyDescent="0.3">
      <c r="A952" s="46" t="s">
        <v>961</v>
      </c>
      <c r="B952" s="46">
        <f>LEN(Table2[[#This Row],[Employee ID]])</f>
        <v>7</v>
      </c>
      <c r="C952" s="46" t="s">
        <v>2254</v>
      </c>
      <c r="D952" s="47">
        <v>24994</v>
      </c>
      <c r="E952" s="47">
        <v>26218</v>
      </c>
      <c r="F952" s="46" t="s">
        <v>2600</v>
      </c>
      <c r="G952" s="46">
        <v>66238</v>
      </c>
      <c r="H952" s="46" t="s">
        <v>2611</v>
      </c>
      <c r="I952" s="46" t="s">
        <v>2617</v>
      </c>
      <c r="J952" s="46" t="s">
        <v>3160</v>
      </c>
      <c r="K952" s="46" t="s">
        <v>3306</v>
      </c>
      <c r="L952" s="46">
        <v>54</v>
      </c>
    </row>
    <row r="953" spans="1:12" x14ac:dyDescent="0.3">
      <c r="A953" s="46" t="s">
        <v>962</v>
      </c>
      <c r="B953" s="46">
        <f>LEN(Table2[[#This Row],[Employee ID]])</f>
        <v>7</v>
      </c>
      <c r="C953" s="46" t="s">
        <v>2255</v>
      </c>
      <c r="D953" s="47">
        <v>30547</v>
      </c>
      <c r="E953" s="47">
        <v>34856</v>
      </c>
      <c r="F953" s="46" t="s">
        <v>2603</v>
      </c>
      <c r="G953" s="46">
        <v>63461</v>
      </c>
      <c r="H953" s="46" t="s">
        <v>2611</v>
      </c>
      <c r="I953" s="46" t="s">
        <v>2617</v>
      </c>
      <c r="J953" s="46" t="s">
        <v>2943</v>
      </c>
      <c r="K953" s="46" t="s">
        <v>3305</v>
      </c>
      <c r="L953" s="46">
        <v>30</v>
      </c>
    </row>
    <row r="954" spans="1:12" x14ac:dyDescent="0.3">
      <c r="A954" s="46" t="s">
        <v>963</v>
      </c>
      <c r="B954" s="46">
        <f>LEN(Table2[[#This Row],[Employee ID]])</f>
        <v>7</v>
      </c>
      <c r="C954" s="46" t="s">
        <v>2256</v>
      </c>
      <c r="D954" s="47">
        <v>23621</v>
      </c>
      <c r="E954" s="47">
        <v>25705</v>
      </c>
      <c r="F954" s="46" t="s">
        <v>2604</v>
      </c>
      <c r="G954" s="46">
        <v>54251</v>
      </c>
      <c r="H954" s="46" t="s">
        <v>2607</v>
      </c>
      <c r="I954" s="46" t="s">
        <v>2617</v>
      </c>
      <c r="J954" s="46" t="s">
        <v>2654</v>
      </c>
      <c r="K954" s="46" t="s">
        <v>3304</v>
      </c>
      <c r="L954" s="46">
        <v>55</v>
      </c>
    </row>
    <row r="955" spans="1:12" x14ac:dyDescent="0.3">
      <c r="A955" s="46" t="s">
        <v>964</v>
      </c>
      <c r="B955" s="46">
        <f>LEN(Table2[[#This Row],[Employee ID]])</f>
        <v>7</v>
      </c>
      <c r="C955" s="46" t="s">
        <v>2257</v>
      </c>
      <c r="D955" s="47">
        <v>36027</v>
      </c>
      <c r="E955" s="47">
        <v>32262</v>
      </c>
      <c r="F955" s="46" t="s">
        <v>2601</v>
      </c>
      <c r="G955" s="46">
        <v>185340</v>
      </c>
      <c r="H955" s="46" t="s">
        <v>2607</v>
      </c>
      <c r="I955" s="46" t="s">
        <v>2616</v>
      </c>
      <c r="J955" s="46" t="s">
        <v>3207</v>
      </c>
      <c r="K955" s="46" t="s">
        <v>3306</v>
      </c>
      <c r="L955" s="46">
        <v>37</v>
      </c>
    </row>
    <row r="956" spans="1:12" x14ac:dyDescent="0.3">
      <c r="A956" s="46" t="s">
        <v>965</v>
      </c>
      <c r="B956" s="46">
        <f>LEN(Table2[[#This Row],[Employee ID]])</f>
        <v>7</v>
      </c>
      <c r="C956" s="46" t="s">
        <v>2258</v>
      </c>
      <c r="D956" s="47">
        <v>33197</v>
      </c>
      <c r="E956" s="47">
        <v>27127</v>
      </c>
      <c r="F956" s="46" t="s">
        <v>2601</v>
      </c>
      <c r="G956" s="46">
        <v>73595</v>
      </c>
      <c r="H956" s="46" t="s">
        <v>2609</v>
      </c>
      <c r="I956" s="46" t="s">
        <v>2617</v>
      </c>
      <c r="J956" s="46" t="s">
        <v>3168</v>
      </c>
      <c r="K956" s="46" t="s">
        <v>3308</v>
      </c>
      <c r="L956" s="46">
        <v>51</v>
      </c>
    </row>
    <row r="957" spans="1:12" x14ac:dyDescent="0.3">
      <c r="A957" s="46" t="s">
        <v>966</v>
      </c>
      <c r="B957" s="46">
        <f>LEN(Table2[[#This Row],[Employee ID]])</f>
        <v>7</v>
      </c>
      <c r="C957" s="46" t="s">
        <v>2259</v>
      </c>
      <c r="D957" s="47">
        <v>36625</v>
      </c>
      <c r="E957" s="47">
        <v>31642</v>
      </c>
      <c r="F957" s="46" t="s">
        <v>2601</v>
      </c>
      <c r="G957" s="46">
        <v>166759</v>
      </c>
      <c r="H957" s="46" t="s">
        <v>2607</v>
      </c>
      <c r="I957" s="46" t="s">
        <v>2617</v>
      </c>
      <c r="J957" s="46" t="s">
        <v>3202</v>
      </c>
      <c r="K957" s="46" t="s">
        <v>3309</v>
      </c>
      <c r="L957" s="46">
        <v>39</v>
      </c>
    </row>
    <row r="958" spans="1:12" x14ac:dyDescent="0.3">
      <c r="A958" s="46" t="s">
        <v>967</v>
      </c>
      <c r="B958" s="46">
        <f>LEN(Table2[[#This Row],[Employee ID]])</f>
        <v>7</v>
      </c>
      <c r="C958" s="46" t="s">
        <v>2260</v>
      </c>
      <c r="D958" s="47">
        <v>36048</v>
      </c>
      <c r="E958" s="47">
        <v>33183</v>
      </c>
      <c r="F958" s="46" t="s">
        <v>2602</v>
      </c>
      <c r="G958" s="46">
        <v>35126</v>
      </c>
      <c r="H958" s="46" t="s">
        <v>2612</v>
      </c>
      <c r="I958" s="46" t="s">
        <v>2616</v>
      </c>
      <c r="J958" s="46" t="s">
        <v>2910</v>
      </c>
      <c r="K958" s="46" t="s">
        <v>3310</v>
      </c>
      <c r="L958" s="46">
        <v>35</v>
      </c>
    </row>
    <row r="959" spans="1:12" x14ac:dyDescent="0.3">
      <c r="A959" s="46" t="s">
        <v>968</v>
      </c>
      <c r="B959" s="46">
        <f>LEN(Table2[[#This Row],[Employee ID]])</f>
        <v>7</v>
      </c>
      <c r="C959" s="46" t="s">
        <v>2261</v>
      </c>
      <c r="D959" s="47">
        <v>23759</v>
      </c>
      <c r="E959" s="47">
        <v>30545</v>
      </c>
      <c r="F959" s="46" t="s">
        <v>2599</v>
      </c>
      <c r="G959" s="46">
        <v>99946</v>
      </c>
      <c r="H959" s="46" t="s">
        <v>2609</v>
      </c>
      <c r="I959" s="46" t="s">
        <v>2616</v>
      </c>
      <c r="J959" s="46" t="s">
        <v>2754</v>
      </c>
      <c r="K959" s="46" t="s">
        <v>3305</v>
      </c>
      <c r="L959" s="46">
        <v>42</v>
      </c>
    </row>
    <row r="960" spans="1:12" x14ac:dyDescent="0.3">
      <c r="A960" s="46" t="s">
        <v>969</v>
      </c>
      <c r="B960" s="46">
        <f>LEN(Table2[[#This Row],[Employee ID]])</f>
        <v>7</v>
      </c>
      <c r="C960" s="46" t="s">
        <v>2262</v>
      </c>
      <c r="D960" s="47">
        <v>27330</v>
      </c>
      <c r="E960" s="47">
        <v>29090</v>
      </c>
      <c r="F960" s="46" t="s">
        <v>2603</v>
      </c>
      <c r="G960" s="46">
        <v>70586</v>
      </c>
      <c r="H960" s="46" t="s">
        <v>2612</v>
      </c>
      <c r="I960" s="46" t="s">
        <v>2617</v>
      </c>
      <c r="J960" s="46" t="s">
        <v>3208</v>
      </c>
      <c r="K960" s="46" t="s">
        <v>3309</v>
      </c>
      <c r="L960" s="46">
        <v>46</v>
      </c>
    </row>
    <row r="961" spans="1:12" x14ac:dyDescent="0.3">
      <c r="A961" s="46" t="s">
        <v>970</v>
      </c>
      <c r="B961" s="46">
        <f>LEN(Table2[[#This Row],[Employee ID]])</f>
        <v>7</v>
      </c>
      <c r="C961" s="46" t="s">
        <v>2263</v>
      </c>
      <c r="D961" s="47">
        <v>25658</v>
      </c>
      <c r="E961" s="47">
        <v>26883</v>
      </c>
      <c r="F961" s="46" t="s">
        <v>2605</v>
      </c>
      <c r="G961" s="46">
        <v>152761</v>
      </c>
      <c r="H961" s="46" t="s">
        <v>2613</v>
      </c>
      <c r="I961" s="46" t="s">
        <v>2616</v>
      </c>
      <c r="J961" s="46" t="s">
        <v>3209</v>
      </c>
      <c r="K961" s="46" t="s">
        <v>3304</v>
      </c>
      <c r="L961" s="46">
        <v>52</v>
      </c>
    </row>
    <row r="962" spans="1:12" x14ac:dyDescent="0.3">
      <c r="A962" s="46" t="s">
        <v>971</v>
      </c>
      <c r="B962" s="46">
        <f>LEN(Table2[[#This Row],[Employee ID]])</f>
        <v>7</v>
      </c>
      <c r="C962" s="46" t="s">
        <v>2264</v>
      </c>
      <c r="D962" s="47">
        <v>29181</v>
      </c>
      <c r="E962" s="47">
        <v>30286</v>
      </c>
      <c r="F962" s="46" t="s">
        <v>2599</v>
      </c>
      <c r="G962" s="46">
        <v>149251</v>
      </c>
      <c r="H962" s="46" t="s">
        <v>2611</v>
      </c>
      <c r="I962" s="46" t="s">
        <v>2616</v>
      </c>
      <c r="J962" s="46" t="s">
        <v>3210</v>
      </c>
      <c r="K962" s="46" t="s">
        <v>3306</v>
      </c>
      <c r="L962" s="46">
        <v>43</v>
      </c>
    </row>
    <row r="963" spans="1:12" x14ac:dyDescent="0.3">
      <c r="A963" s="46" t="s">
        <v>972</v>
      </c>
      <c r="B963" s="46">
        <f>LEN(Table2[[#This Row],[Employee ID]])</f>
        <v>7</v>
      </c>
      <c r="C963" s="46" t="s">
        <v>2265</v>
      </c>
      <c r="D963" s="47">
        <v>34200</v>
      </c>
      <c r="E963" s="47">
        <v>41932</v>
      </c>
      <c r="F963" s="46" t="s">
        <v>2602</v>
      </c>
      <c r="G963" s="46">
        <v>122013</v>
      </c>
      <c r="H963" s="46" t="s">
        <v>2607</v>
      </c>
      <c r="I963" s="46" t="s">
        <v>2616</v>
      </c>
      <c r="J963" s="46" t="s">
        <v>3211</v>
      </c>
      <c r="K963" s="46" t="s">
        <v>3306</v>
      </c>
      <c r="L963" s="46">
        <v>11</v>
      </c>
    </row>
    <row r="964" spans="1:12" x14ac:dyDescent="0.3">
      <c r="A964" s="46" t="s">
        <v>973</v>
      </c>
      <c r="B964" s="46">
        <f>LEN(Table2[[#This Row],[Employee ID]])</f>
        <v>7</v>
      </c>
      <c r="C964" s="46" t="s">
        <v>2266</v>
      </c>
      <c r="D964" s="47">
        <v>22691</v>
      </c>
      <c r="E964" s="47">
        <v>42376</v>
      </c>
      <c r="F964" s="46" t="s">
        <v>2599</v>
      </c>
      <c r="G964" s="46">
        <v>57516</v>
      </c>
      <c r="H964" s="46" t="s">
        <v>2608</v>
      </c>
      <c r="I964" s="46" t="s">
        <v>2617</v>
      </c>
      <c r="J964" s="46" t="s">
        <v>2928</v>
      </c>
      <c r="K964" s="46" t="s">
        <v>3304</v>
      </c>
      <c r="L964" s="46">
        <v>9</v>
      </c>
    </row>
    <row r="965" spans="1:12" x14ac:dyDescent="0.3">
      <c r="A965" s="46" t="s">
        <v>974</v>
      </c>
      <c r="B965" s="46">
        <f>LEN(Table2[[#This Row],[Employee ID]])</f>
        <v>7</v>
      </c>
      <c r="C965" s="46" t="s">
        <v>2267</v>
      </c>
      <c r="D965" s="47">
        <v>27579</v>
      </c>
      <c r="E965" s="47">
        <v>38091</v>
      </c>
      <c r="F965" s="46" t="s">
        <v>2602</v>
      </c>
      <c r="G965" s="46">
        <v>159124</v>
      </c>
      <c r="H965" s="46" t="s">
        <v>2614</v>
      </c>
      <c r="I965" s="46" t="s">
        <v>2617</v>
      </c>
      <c r="J965" s="46" t="s">
        <v>2785</v>
      </c>
      <c r="K965" s="46" t="s">
        <v>3310</v>
      </c>
      <c r="L965" s="46">
        <v>21</v>
      </c>
    </row>
    <row r="966" spans="1:12" x14ac:dyDescent="0.3">
      <c r="A966" s="46" t="s">
        <v>975</v>
      </c>
      <c r="B966" s="46">
        <f>LEN(Table2[[#This Row],[Employee ID]])</f>
        <v>7</v>
      </c>
      <c r="C966" s="46" t="s">
        <v>2268</v>
      </c>
      <c r="D966" s="47">
        <v>24986</v>
      </c>
      <c r="E966" s="47">
        <v>38957</v>
      </c>
      <c r="F966" s="46" t="s">
        <v>2600</v>
      </c>
      <c r="G966" s="46">
        <v>150566</v>
      </c>
      <c r="H966" s="46" t="s">
        <v>2609</v>
      </c>
      <c r="I966" s="46" t="s">
        <v>2616</v>
      </c>
      <c r="J966" s="46" t="s">
        <v>3059</v>
      </c>
      <c r="K966" s="46" t="s">
        <v>3307</v>
      </c>
      <c r="L966" s="46">
        <v>19</v>
      </c>
    </row>
    <row r="967" spans="1:12" x14ac:dyDescent="0.3">
      <c r="A967" s="46" t="s">
        <v>976</v>
      </c>
      <c r="B967" s="46">
        <f>LEN(Table2[[#This Row],[Employee ID]])</f>
        <v>7</v>
      </c>
      <c r="C967" s="46" t="s">
        <v>2269</v>
      </c>
      <c r="D967" s="47">
        <v>36462</v>
      </c>
      <c r="E967" s="47">
        <v>40906</v>
      </c>
      <c r="F967" s="46" t="s">
        <v>2603</v>
      </c>
      <c r="G967" s="46">
        <v>39292</v>
      </c>
      <c r="H967" s="46" t="s">
        <v>2613</v>
      </c>
      <c r="I967" s="46" t="s">
        <v>2616</v>
      </c>
      <c r="J967" s="46" t="s">
        <v>2904</v>
      </c>
      <c r="K967" s="46" t="s">
        <v>3304</v>
      </c>
      <c r="L967" s="46">
        <v>14</v>
      </c>
    </row>
    <row r="968" spans="1:12" x14ac:dyDescent="0.3">
      <c r="A968" s="46" t="s">
        <v>977</v>
      </c>
      <c r="B968" s="46">
        <f>LEN(Table2[[#This Row],[Employee ID]])</f>
        <v>7</v>
      </c>
      <c r="C968" s="46" t="s">
        <v>2270</v>
      </c>
      <c r="D968" s="47">
        <v>22290</v>
      </c>
      <c r="E968" s="47">
        <v>33303</v>
      </c>
      <c r="F968" s="46" t="s">
        <v>2602</v>
      </c>
      <c r="G968" s="46">
        <v>197312</v>
      </c>
      <c r="H968" s="46" t="s">
        <v>2606</v>
      </c>
      <c r="I968" s="46" t="s">
        <v>2617</v>
      </c>
      <c r="J968" s="46" t="s">
        <v>2982</v>
      </c>
      <c r="K968" s="46" t="s">
        <v>3307</v>
      </c>
      <c r="L968" s="46">
        <v>34</v>
      </c>
    </row>
    <row r="969" spans="1:12" x14ac:dyDescent="0.3">
      <c r="A969" s="46" t="s">
        <v>978</v>
      </c>
      <c r="B969" s="46">
        <f>LEN(Table2[[#This Row],[Employee ID]])</f>
        <v>7</v>
      </c>
      <c r="C969" s="46" t="s">
        <v>2271</v>
      </c>
      <c r="D969" s="47">
        <v>22894</v>
      </c>
      <c r="E969" s="47">
        <v>42126</v>
      </c>
      <c r="F969" s="46" t="s">
        <v>2599</v>
      </c>
      <c r="G969" s="46">
        <v>93126</v>
      </c>
      <c r="H969" s="46" t="s">
        <v>2611</v>
      </c>
      <c r="I969" s="46" t="s">
        <v>2616</v>
      </c>
      <c r="J969" s="46" t="s">
        <v>3041</v>
      </c>
      <c r="K969" s="46" t="s">
        <v>3310</v>
      </c>
      <c r="L969" s="46">
        <v>10</v>
      </c>
    </row>
    <row r="970" spans="1:12" x14ac:dyDescent="0.3">
      <c r="A970" s="46" t="s">
        <v>979</v>
      </c>
      <c r="B970" s="46">
        <f>LEN(Table2[[#This Row],[Employee ID]])</f>
        <v>7</v>
      </c>
      <c r="C970" s="46" t="s">
        <v>2272</v>
      </c>
      <c r="D970" s="47">
        <v>30800</v>
      </c>
      <c r="E970" s="47">
        <v>27129</v>
      </c>
      <c r="F970" s="46" t="s">
        <v>2599</v>
      </c>
      <c r="G970" s="46">
        <v>62050</v>
      </c>
      <c r="H970" s="46" t="s">
        <v>2610</v>
      </c>
      <c r="I970" s="46" t="s">
        <v>2617</v>
      </c>
      <c r="J970" s="46" t="s">
        <v>2971</v>
      </c>
      <c r="K970" s="46" t="s">
        <v>3308</v>
      </c>
      <c r="L970" s="46">
        <v>51</v>
      </c>
    </row>
    <row r="971" spans="1:12" x14ac:dyDescent="0.3">
      <c r="A971" s="46" t="s">
        <v>980</v>
      </c>
      <c r="B971" s="46">
        <f>LEN(Table2[[#This Row],[Employee ID]])</f>
        <v>7</v>
      </c>
      <c r="C971" s="46" t="s">
        <v>2273</v>
      </c>
      <c r="D971" s="47">
        <v>35867</v>
      </c>
      <c r="E971" s="47">
        <v>42330</v>
      </c>
      <c r="F971" s="46" t="s">
        <v>2599</v>
      </c>
      <c r="G971" s="46">
        <v>198074</v>
      </c>
      <c r="H971" s="46" t="s">
        <v>2609</v>
      </c>
      <c r="I971" s="46" t="s">
        <v>2616</v>
      </c>
      <c r="J971" s="46" t="s">
        <v>3212</v>
      </c>
      <c r="K971" s="46" t="s">
        <v>3306</v>
      </c>
      <c r="L971" s="46">
        <v>10</v>
      </c>
    </row>
    <row r="972" spans="1:12" x14ac:dyDescent="0.3">
      <c r="A972" s="46" t="s">
        <v>981</v>
      </c>
      <c r="B972" s="46">
        <f>LEN(Table2[[#This Row],[Employee ID]])</f>
        <v>7</v>
      </c>
      <c r="C972" s="46" t="s">
        <v>2274</v>
      </c>
      <c r="D972" s="47">
        <v>29482</v>
      </c>
      <c r="E972" s="47">
        <v>39923</v>
      </c>
      <c r="F972" s="46" t="s">
        <v>2603</v>
      </c>
      <c r="G972" s="46">
        <v>148691</v>
      </c>
      <c r="H972" s="46" t="s">
        <v>2608</v>
      </c>
      <c r="I972" s="46" t="s">
        <v>2616</v>
      </c>
      <c r="J972" s="46" t="s">
        <v>2798</v>
      </c>
      <c r="K972" s="46" t="s">
        <v>3307</v>
      </c>
      <c r="L972" s="46">
        <v>16</v>
      </c>
    </row>
    <row r="973" spans="1:12" x14ac:dyDescent="0.3">
      <c r="A973" s="46" t="s">
        <v>982</v>
      </c>
      <c r="B973" s="46">
        <f>LEN(Table2[[#This Row],[Employee ID]])</f>
        <v>7</v>
      </c>
      <c r="C973" s="46" t="s">
        <v>2275</v>
      </c>
      <c r="D973" s="47">
        <v>33240</v>
      </c>
      <c r="E973" s="47">
        <v>36681</v>
      </c>
      <c r="F973" s="46" t="s">
        <v>2605</v>
      </c>
      <c r="G973" s="46">
        <v>132770</v>
      </c>
      <c r="H973" s="46" t="s">
        <v>2612</v>
      </c>
      <c r="I973" s="46" t="s">
        <v>2616</v>
      </c>
      <c r="J973" s="46" t="s">
        <v>3213</v>
      </c>
      <c r="K973" s="46" t="s">
        <v>3305</v>
      </c>
      <c r="L973" s="46">
        <v>25</v>
      </c>
    </row>
    <row r="974" spans="1:12" x14ac:dyDescent="0.3">
      <c r="A974" s="46" t="s">
        <v>983</v>
      </c>
      <c r="B974" s="46">
        <f>LEN(Table2[[#This Row],[Employee ID]])</f>
        <v>7</v>
      </c>
      <c r="C974" s="46" t="s">
        <v>2276</v>
      </c>
      <c r="D974" s="47">
        <v>28781</v>
      </c>
      <c r="E974" s="47">
        <v>33024</v>
      </c>
      <c r="F974" s="46" t="s">
        <v>2603</v>
      </c>
      <c r="G974" s="46">
        <v>66047</v>
      </c>
      <c r="H974" s="46" t="s">
        <v>2614</v>
      </c>
      <c r="I974" s="46" t="s">
        <v>2616</v>
      </c>
      <c r="J974" s="46" t="s">
        <v>2798</v>
      </c>
      <c r="K974" s="46" t="s">
        <v>3304</v>
      </c>
      <c r="L974" s="46">
        <v>35</v>
      </c>
    </row>
    <row r="975" spans="1:12" x14ac:dyDescent="0.3">
      <c r="A975" s="46" t="s">
        <v>984</v>
      </c>
      <c r="B975" s="46">
        <f>LEN(Table2[[#This Row],[Employee ID]])</f>
        <v>7</v>
      </c>
      <c r="C975" s="46" t="s">
        <v>2277</v>
      </c>
      <c r="D975" s="47">
        <v>29172</v>
      </c>
      <c r="E975" s="47">
        <v>42121</v>
      </c>
      <c r="F975" s="46" t="s">
        <v>2602</v>
      </c>
      <c r="G975" s="46">
        <v>108287</v>
      </c>
      <c r="H975" s="46" t="s">
        <v>2606</v>
      </c>
      <c r="I975" s="46" t="s">
        <v>2616</v>
      </c>
      <c r="J975" s="46" t="s">
        <v>2635</v>
      </c>
      <c r="K975" s="46" t="s">
        <v>3309</v>
      </c>
      <c r="L975" s="46">
        <v>10</v>
      </c>
    </row>
    <row r="976" spans="1:12" x14ac:dyDescent="0.3">
      <c r="A976" s="46" t="s">
        <v>985</v>
      </c>
      <c r="B976" s="46">
        <f>LEN(Table2[[#This Row],[Employee ID]])</f>
        <v>7</v>
      </c>
      <c r="C976" s="46" t="s">
        <v>2278</v>
      </c>
      <c r="D976" s="47">
        <v>29582</v>
      </c>
      <c r="E976" s="47">
        <v>41996</v>
      </c>
      <c r="F976" s="46" t="s">
        <v>2602</v>
      </c>
      <c r="G976" s="46">
        <v>161923</v>
      </c>
      <c r="H976" s="46" t="s">
        <v>2615</v>
      </c>
      <c r="I976" s="46" t="s">
        <v>2616</v>
      </c>
      <c r="J976" s="46" t="s">
        <v>3214</v>
      </c>
      <c r="K976" s="46" t="s">
        <v>3306</v>
      </c>
      <c r="L976" s="46">
        <v>11</v>
      </c>
    </row>
    <row r="977" spans="1:12" x14ac:dyDescent="0.3">
      <c r="A977" s="46" t="s">
        <v>986</v>
      </c>
      <c r="B977" s="46">
        <f>LEN(Table2[[#This Row],[Employee ID]])</f>
        <v>7</v>
      </c>
      <c r="C977" s="46" t="s">
        <v>2279</v>
      </c>
      <c r="D977" s="47">
        <v>23788</v>
      </c>
      <c r="E977" s="47">
        <v>36732</v>
      </c>
      <c r="F977" s="46" t="s">
        <v>2599</v>
      </c>
      <c r="G977" s="46">
        <v>74994</v>
      </c>
      <c r="H977" s="46" t="s">
        <v>2609</v>
      </c>
      <c r="I977" s="46" t="s">
        <v>2616</v>
      </c>
      <c r="J977" s="46" t="s">
        <v>2795</v>
      </c>
      <c r="K977" s="46" t="s">
        <v>3307</v>
      </c>
      <c r="L977" s="46">
        <v>25</v>
      </c>
    </row>
    <row r="978" spans="1:12" x14ac:dyDescent="0.3">
      <c r="A978" s="46" t="s">
        <v>987</v>
      </c>
      <c r="B978" s="46">
        <f>LEN(Table2[[#This Row],[Employee ID]])</f>
        <v>7</v>
      </c>
      <c r="C978" s="46" t="s">
        <v>2280</v>
      </c>
      <c r="D978" s="47">
        <v>24541</v>
      </c>
      <c r="E978" s="47">
        <v>28261</v>
      </c>
      <c r="F978" s="46" t="s">
        <v>2602</v>
      </c>
      <c r="G978" s="46">
        <v>153022</v>
      </c>
      <c r="H978" s="46" t="s">
        <v>2615</v>
      </c>
      <c r="I978" s="46" t="s">
        <v>2617</v>
      </c>
      <c r="J978" s="46" t="s">
        <v>2751</v>
      </c>
      <c r="K978" s="46" t="s">
        <v>3308</v>
      </c>
      <c r="L978" s="46">
        <v>48</v>
      </c>
    </row>
    <row r="979" spans="1:12" x14ac:dyDescent="0.3">
      <c r="A979" s="46" t="s">
        <v>988</v>
      </c>
      <c r="B979" s="46">
        <f>LEN(Table2[[#This Row],[Employee ID]])</f>
        <v>7</v>
      </c>
      <c r="C979" s="46" t="s">
        <v>2281</v>
      </c>
      <c r="D979" s="47">
        <v>27859</v>
      </c>
      <c r="E979" s="47">
        <v>41719</v>
      </c>
      <c r="F979" s="46" t="s">
        <v>2605</v>
      </c>
      <c r="G979" s="46">
        <v>85190</v>
      </c>
      <c r="H979" s="46" t="s">
        <v>2608</v>
      </c>
      <c r="I979" s="46" t="s">
        <v>2616</v>
      </c>
      <c r="J979" s="46" t="s">
        <v>3215</v>
      </c>
      <c r="K979" s="46" t="s">
        <v>3310</v>
      </c>
      <c r="L979" s="46">
        <v>11</v>
      </c>
    </row>
    <row r="980" spans="1:12" x14ac:dyDescent="0.3">
      <c r="A980" s="46" t="s">
        <v>989</v>
      </c>
      <c r="B980" s="46">
        <f>LEN(Table2[[#This Row],[Employee ID]])</f>
        <v>7</v>
      </c>
      <c r="C980" s="46" t="s">
        <v>2282</v>
      </c>
      <c r="D980" s="47">
        <v>33073</v>
      </c>
      <c r="E980" s="47">
        <v>33457</v>
      </c>
      <c r="F980" s="46" t="s">
        <v>2604</v>
      </c>
      <c r="G980" s="46">
        <v>181961</v>
      </c>
      <c r="H980" s="46" t="s">
        <v>2610</v>
      </c>
      <c r="I980" s="46" t="s">
        <v>2617</v>
      </c>
      <c r="J980" s="46" t="s">
        <v>3039</v>
      </c>
      <c r="K980" s="46" t="s">
        <v>3309</v>
      </c>
      <c r="L980" s="46">
        <v>34</v>
      </c>
    </row>
    <row r="981" spans="1:12" x14ac:dyDescent="0.3">
      <c r="A981" s="46" t="s">
        <v>990</v>
      </c>
      <c r="B981" s="46">
        <f>LEN(Table2[[#This Row],[Employee ID]])</f>
        <v>7</v>
      </c>
      <c r="C981" s="46" t="s">
        <v>2283</v>
      </c>
      <c r="D981" s="47">
        <v>30285</v>
      </c>
      <c r="E981" s="47">
        <v>32910</v>
      </c>
      <c r="F981" s="46" t="s">
        <v>2601</v>
      </c>
      <c r="G981" s="46">
        <v>118887</v>
      </c>
      <c r="H981" s="46" t="s">
        <v>2615</v>
      </c>
      <c r="I981" s="46" t="s">
        <v>2617</v>
      </c>
      <c r="J981" s="46" t="s">
        <v>2701</v>
      </c>
      <c r="K981" s="46" t="s">
        <v>3310</v>
      </c>
      <c r="L981" s="46">
        <v>35</v>
      </c>
    </row>
    <row r="982" spans="1:12" x14ac:dyDescent="0.3">
      <c r="A982" s="46" t="s">
        <v>991</v>
      </c>
      <c r="B982" s="46">
        <f>LEN(Table2[[#This Row],[Employee ID]])</f>
        <v>7</v>
      </c>
      <c r="C982" s="46" t="s">
        <v>2284</v>
      </c>
      <c r="D982" s="47">
        <v>35894</v>
      </c>
      <c r="E982" s="47">
        <v>28939</v>
      </c>
      <c r="F982" s="46" t="s">
        <v>2600</v>
      </c>
      <c r="G982" s="46">
        <v>66792</v>
      </c>
      <c r="H982" s="46" t="s">
        <v>2607</v>
      </c>
      <c r="I982" s="46" t="s">
        <v>2616</v>
      </c>
      <c r="J982" s="46" t="s">
        <v>2703</v>
      </c>
      <c r="K982" s="46" t="s">
        <v>3305</v>
      </c>
      <c r="L982" s="46">
        <v>46</v>
      </c>
    </row>
    <row r="983" spans="1:12" x14ac:dyDescent="0.3">
      <c r="A983" s="46" t="s">
        <v>992</v>
      </c>
      <c r="B983" s="46">
        <f>LEN(Table2[[#This Row],[Employee ID]])</f>
        <v>7</v>
      </c>
      <c r="C983" s="46" t="s">
        <v>2285</v>
      </c>
      <c r="D983" s="47">
        <v>27964</v>
      </c>
      <c r="E983" s="47">
        <v>37223</v>
      </c>
      <c r="F983" s="46" t="s">
        <v>2600</v>
      </c>
      <c r="G983" s="46">
        <v>149307</v>
      </c>
      <c r="H983" s="46" t="s">
        <v>2609</v>
      </c>
      <c r="I983" s="46" t="s">
        <v>2617</v>
      </c>
      <c r="J983" s="46" t="s">
        <v>3090</v>
      </c>
      <c r="K983" s="46" t="s">
        <v>3305</v>
      </c>
      <c r="L983" s="46">
        <v>24</v>
      </c>
    </row>
    <row r="984" spans="1:12" x14ac:dyDescent="0.3">
      <c r="A984" s="46" t="s">
        <v>993</v>
      </c>
      <c r="B984" s="46">
        <f>LEN(Table2[[#This Row],[Employee ID]])</f>
        <v>7</v>
      </c>
      <c r="C984" s="46" t="s">
        <v>2286</v>
      </c>
      <c r="D984" s="47">
        <v>25407</v>
      </c>
      <c r="E984" s="47">
        <v>29159</v>
      </c>
      <c r="F984" s="46" t="s">
        <v>2603</v>
      </c>
      <c r="G984" s="46">
        <v>151106</v>
      </c>
      <c r="H984" s="46" t="s">
        <v>2608</v>
      </c>
      <c r="I984" s="46" t="s">
        <v>2616</v>
      </c>
      <c r="J984" s="46" t="s">
        <v>2707</v>
      </c>
      <c r="K984" s="46" t="s">
        <v>3308</v>
      </c>
      <c r="L984" s="46">
        <v>46</v>
      </c>
    </row>
    <row r="985" spans="1:12" x14ac:dyDescent="0.3">
      <c r="A985" s="46" t="s">
        <v>994</v>
      </c>
      <c r="B985" s="46">
        <f>LEN(Table2[[#This Row],[Employee ID]])</f>
        <v>7</v>
      </c>
      <c r="C985" s="46" t="s">
        <v>2287</v>
      </c>
      <c r="D985" s="47">
        <v>37485</v>
      </c>
      <c r="E985" s="47">
        <v>33363</v>
      </c>
      <c r="F985" s="46" t="s">
        <v>2599</v>
      </c>
      <c r="G985" s="46">
        <v>36739</v>
      </c>
      <c r="H985" s="46" t="s">
        <v>2606</v>
      </c>
      <c r="I985" s="46" t="s">
        <v>2616</v>
      </c>
      <c r="J985" s="46" t="s">
        <v>2954</v>
      </c>
      <c r="K985" s="46" t="s">
        <v>3304</v>
      </c>
      <c r="L985" s="46">
        <v>34</v>
      </c>
    </row>
    <row r="986" spans="1:12" x14ac:dyDescent="0.3">
      <c r="A986" s="46" t="s">
        <v>995</v>
      </c>
      <c r="B986" s="46">
        <f>LEN(Table2[[#This Row],[Employee ID]])</f>
        <v>7</v>
      </c>
      <c r="C986" s="46" t="s">
        <v>2288</v>
      </c>
      <c r="D986" s="47">
        <v>32869</v>
      </c>
      <c r="E986" s="47">
        <v>37180</v>
      </c>
      <c r="F986" s="46" t="s">
        <v>2602</v>
      </c>
      <c r="G986" s="46">
        <v>155854</v>
      </c>
      <c r="H986" s="46" t="s">
        <v>2606</v>
      </c>
      <c r="I986" s="46" t="s">
        <v>2616</v>
      </c>
      <c r="J986" s="46" t="s">
        <v>3216</v>
      </c>
      <c r="K986" s="46" t="s">
        <v>3308</v>
      </c>
      <c r="L986" s="46">
        <v>24</v>
      </c>
    </row>
    <row r="987" spans="1:12" x14ac:dyDescent="0.3">
      <c r="A987" s="46" t="s">
        <v>996</v>
      </c>
      <c r="B987" s="46">
        <f>LEN(Table2[[#This Row],[Employee ID]])</f>
        <v>7</v>
      </c>
      <c r="C987" s="46" t="s">
        <v>2289</v>
      </c>
      <c r="D987" s="47">
        <v>30932</v>
      </c>
      <c r="E987" s="47">
        <v>27268</v>
      </c>
      <c r="F987" s="46" t="s">
        <v>2601</v>
      </c>
      <c r="G987" s="46">
        <v>181441</v>
      </c>
      <c r="H987" s="46" t="s">
        <v>2609</v>
      </c>
      <c r="I987" s="46" t="s">
        <v>2616</v>
      </c>
      <c r="J987" s="46" t="s">
        <v>2851</v>
      </c>
      <c r="K987" s="46" t="s">
        <v>3304</v>
      </c>
      <c r="L987" s="46">
        <v>51</v>
      </c>
    </row>
    <row r="988" spans="1:12" x14ac:dyDescent="0.3">
      <c r="A988" s="46" t="s">
        <v>997</v>
      </c>
      <c r="B988" s="46">
        <f>LEN(Table2[[#This Row],[Employee ID]])</f>
        <v>7</v>
      </c>
      <c r="C988" s="46" t="s">
        <v>2290</v>
      </c>
      <c r="D988" s="47">
        <v>33181</v>
      </c>
      <c r="E988" s="47">
        <v>43523</v>
      </c>
      <c r="F988" s="46" t="s">
        <v>2600</v>
      </c>
      <c r="G988" s="46">
        <v>73678</v>
      </c>
      <c r="H988" s="46" t="s">
        <v>2609</v>
      </c>
      <c r="I988" s="46" t="s">
        <v>2617</v>
      </c>
      <c r="J988" s="46" t="s">
        <v>3143</v>
      </c>
      <c r="K988" s="46" t="s">
        <v>3310</v>
      </c>
      <c r="L988" s="46">
        <v>6</v>
      </c>
    </row>
    <row r="989" spans="1:12" x14ac:dyDescent="0.3">
      <c r="A989" s="46" t="s">
        <v>998</v>
      </c>
      <c r="B989" s="46">
        <f>LEN(Table2[[#This Row],[Employee ID]])</f>
        <v>7</v>
      </c>
      <c r="C989" s="46" t="s">
        <v>2291</v>
      </c>
      <c r="D989" s="47">
        <v>31860</v>
      </c>
      <c r="E989" s="47">
        <v>26453</v>
      </c>
      <c r="F989" s="46" t="s">
        <v>2604</v>
      </c>
      <c r="G989" s="46">
        <v>95853</v>
      </c>
      <c r="H989" s="46" t="s">
        <v>2614</v>
      </c>
      <c r="I989" s="46" t="s">
        <v>2616</v>
      </c>
      <c r="J989" s="46" t="s">
        <v>3217</v>
      </c>
      <c r="K989" s="46" t="s">
        <v>3307</v>
      </c>
      <c r="L989" s="46">
        <v>53</v>
      </c>
    </row>
    <row r="990" spans="1:12" x14ac:dyDescent="0.3">
      <c r="A990" s="46" t="s">
        <v>999</v>
      </c>
      <c r="B990" s="46">
        <f>LEN(Table2[[#This Row],[Employee ID]])</f>
        <v>7</v>
      </c>
      <c r="C990" s="46" t="s">
        <v>2292</v>
      </c>
      <c r="D990" s="47">
        <v>27124</v>
      </c>
      <c r="E990" s="47">
        <v>40551</v>
      </c>
      <c r="F990" s="46" t="s">
        <v>2605</v>
      </c>
      <c r="G990" s="46">
        <v>21806</v>
      </c>
      <c r="H990" s="46" t="s">
        <v>2608</v>
      </c>
      <c r="I990" s="46" t="s">
        <v>2617</v>
      </c>
      <c r="J990" s="46" t="s">
        <v>3218</v>
      </c>
      <c r="K990" s="46" t="s">
        <v>3306</v>
      </c>
      <c r="L990" s="46">
        <v>14</v>
      </c>
    </row>
    <row r="991" spans="1:12" x14ac:dyDescent="0.3">
      <c r="A991" s="46" t="s">
        <v>1000</v>
      </c>
      <c r="B991" s="46">
        <f>LEN(Table2[[#This Row],[Employee ID]])</f>
        <v>7</v>
      </c>
      <c r="C991" s="46" t="s">
        <v>2293</v>
      </c>
      <c r="D991" s="47">
        <v>25476</v>
      </c>
      <c r="E991" s="47">
        <v>34449</v>
      </c>
      <c r="F991" s="46" t="s">
        <v>2603</v>
      </c>
      <c r="G991" s="46">
        <v>197019</v>
      </c>
      <c r="H991" s="46" t="s">
        <v>2606</v>
      </c>
      <c r="I991" s="46" t="s">
        <v>2617</v>
      </c>
      <c r="J991" s="46" t="s">
        <v>3219</v>
      </c>
      <c r="K991" s="46" t="s">
        <v>3304</v>
      </c>
      <c r="L991" s="46">
        <v>31</v>
      </c>
    </row>
    <row r="992" spans="1:12" x14ac:dyDescent="0.3">
      <c r="A992" s="46" t="s">
        <v>1001</v>
      </c>
      <c r="B992" s="46">
        <f>LEN(Table2[[#This Row],[Employee ID]])</f>
        <v>7</v>
      </c>
      <c r="C992" s="46" t="s">
        <v>2294</v>
      </c>
      <c r="D992" s="47">
        <v>23908</v>
      </c>
      <c r="E992" s="47">
        <v>28774</v>
      </c>
      <c r="F992" s="46" t="s">
        <v>2603</v>
      </c>
      <c r="G992" s="46">
        <v>73816</v>
      </c>
      <c r="H992" s="46" t="s">
        <v>2609</v>
      </c>
      <c r="I992" s="46" t="s">
        <v>2616</v>
      </c>
      <c r="J992" s="46" t="s">
        <v>2996</v>
      </c>
      <c r="K992" s="46" t="s">
        <v>3306</v>
      </c>
      <c r="L992" s="46">
        <v>47</v>
      </c>
    </row>
    <row r="993" spans="1:12" x14ac:dyDescent="0.3">
      <c r="A993" s="46" t="s">
        <v>1002</v>
      </c>
      <c r="B993" s="46">
        <f>LEN(Table2[[#This Row],[Employee ID]])</f>
        <v>7</v>
      </c>
      <c r="C993" s="46" t="s">
        <v>2295</v>
      </c>
      <c r="D993" s="47">
        <v>22669</v>
      </c>
      <c r="E993" s="47">
        <v>28215</v>
      </c>
      <c r="F993" s="46" t="s">
        <v>2599</v>
      </c>
      <c r="G993" s="46">
        <v>35738</v>
      </c>
      <c r="H993" s="46" t="s">
        <v>2609</v>
      </c>
      <c r="I993" s="46" t="s">
        <v>2617</v>
      </c>
      <c r="J993" s="46" t="s">
        <v>3220</v>
      </c>
      <c r="K993" s="46" t="s">
        <v>3309</v>
      </c>
      <c r="L993" s="46">
        <v>48</v>
      </c>
    </row>
    <row r="994" spans="1:12" x14ac:dyDescent="0.3">
      <c r="A994" s="46" t="s">
        <v>1003</v>
      </c>
      <c r="B994" s="46">
        <f>LEN(Table2[[#This Row],[Employee ID]])</f>
        <v>7</v>
      </c>
      <c r="C994" s="46" t="s">
        <v>2296</v>
      </c>
      <c r="D994" s="47">
        <v>23585</v>
      </c>
      <c r="E994" s="47">
        <v>36539</v>
      </c>
      <c r="F994" s="46" t="s">
        <v>2604</v>
      </c>
      <c r="G994" s="46">
        <v>69515</v>
      </c>
      <c r="H994" s="46" t="s">
        <v>2606</v>
      </c>
      <c r="I994" s="46" t="s">
        <v>2616</v>
      </c>
      <c r="J994" s="46" t="s">
        <v>3221</v>
      </c>
      <c r="K994" s="46" t="s">
        <v>3306</v>
      </c>
      <c r="L994" s="46">
        <v>25</v>
      </c>
    </row>
    <row r="995" spans="1:12" x14ac:dyDescent="0.3">
      <c r="A995" s="46" t="s">
        <v>1004</v>
      </c>
      <c r="B995" s="46">
        <f>LEN(Table2[[#This Row],[Employee ID]])</f>
        <v>7</v>
      </c>
      <c r="C995" s="46" t="s">
        <v>2297</v>
      </c>
      <c r="D995" s="47">
        <v>34459</v>
      </c>
      <c r="E995" s="47">
        <v>32511</v>
      </c>
      <c r="F995" s="46" t="s">
        <v>2604</v>
      </c>
      <c r="G995" s="46">
        <v>85440</v>
      </c>
      <c r="H995" s="46" t="s">
        <v>2610</v>
      </c>
      <c r="I995" s="46" t="s">
        <v>2616</v>
      </c>
      <c r="J995" s="46" t="s">
        <v>3222</v>
      </c>
      <c r="K995" s="46" t="s">
        <v>3307</v>
      </c>
      <c r="L995" s="46">
        <v>36</v>
      </c>
    </row>
    <row r="996" spans="1:12" x14ac:dyDescent="0.3">
      <c r="A996" s="46" t="s">
        <v>1005</v>
      </c>
      <c r="B996" s="46">
        <f>LEN(Table2[[#This Row],[Employee ID]])</f>
        <v>7</v>
      </c>
      <c r="C996" s="46" t="s">
        <v>2298</v>
      </c>
      <c r="D996" s="47">
        <v>32653</v>
      </c>
      <c r="E996" s="47">
        <v>37293</v>
      </c>
      <c r="F996" s="46" t="s">
        <v>2605</v>
      </c>
      <c r="G996" s="46">
        <v>183014</v>
      </c>
      <c r="H996" s="46" t="s">
        <v>2615</v>
      </c>
      <c r="I996" s="46" t="s">
        <v>2617</v>
      </c>
      <c r="J996" s="46" t="s">
        <v>3169</v>
      </c>
      <c r="K996" s="46" t="s">
        <v>3307</v>
      </c>
      <c r="L996" s="46">
        <v>23</v>
      </c>
    </row>
    <row r="997" spans="1:12" x14ac:dyDescent="0.3">
      <c r="A997" s="46" t="s">
        <v>1006</v>
      </c>
      <c r="B997" s="46">
        <f>LEN(Table2[[#This Row],[Employee ID]])</f>
        <v>7</v>
      </c>
      <c r="C997" s="46" t="s">
        <v>2299</v>
      </c>
      <c r="D997" s="47">
        <v>28200</v>
      </c>
      <c r="E997" s="47">
        <v>44706</v>
      </c>
      <c r="F997" s="46" t="s">
        <v>2599</v>
      </c>
      <c r="G997" s="46">
        <v>87674</v>
      </c>
      <c r="H997" s="46" t="s">
        <v>2610</v>
      </c>
      <c r="I997" s="46" t="s">
        <v>2617</v>
      </c>
      <c r="J997" s="46" t="s">
        <v>3186</v>
      </c>
      <c r="K997" s="46" t="s">
        <v>3304</v>
      </c>
      <c r="L997" s="46">
        <v>3</v>
      </c>
    </row>
    <row r="998" spans="1:12" x14ac:dyDescent="0.3">
      <c r="A998" s="46" t="s">
        <v>1007</v>
      </c>
      <c r="B998" s="46">
        <f>LEN(Table2[[#This Row],[Employee ID]])</f>
        <v>7</v>
      </c>
      <c r="C998" s="46" t="s">
        <v>2300</v>
      </c>
      <c r="D998" s="47">
        <v>24291</v>
      </c>
      <c r="E998" s="47">
        <v>34469</v>
      </c>
      <c r="F998" s="46" t="s">
        <v>2599</v>
      </c>
      <c r="G998" s="46">
        <v>103614</v>
      </c>
      <c r="H998" s="46" t="s">
        <v>2607</v>
      </c>
      <c r="I998" s="46" t="s">
        <v>2616</v>
      </c>
      <c r="J998" s="46" t="s">
        <v>3166</v>
      </c>
      <c r="K998" s="46" t="s">
        <v>3308</v>
      </c>
      <c r="L998" s="46">
        <v>31</v>
      </c>
    </row>
    <row r="999" spans="1:12" x14ac:dyDescent="0.3">
      <c r="A999" s="46" t="s">
        <v>1008</v>
      </c>
      <c r="B999" s="46">
        <f>LEN(Table2[[#This Row],[Employee ID]])</f>
        <v>7</v>
      </c>
      <c r="C999" s="46" t="s">
        <v>2301</v>
      </c>
      <c r="D999" s="47">
        <v>33830</v>
      </c>
      <c r="E999" s="47">
        <v>25746</v>
      </c>
      <c r="F999" s="46" t="s">
        <v>2602</v>
      </c>
      <c r="G999" s="46">
        <v>179920</v>
      </c>
      <c r="H999" s="46" t="s">
        <v>2615</v>
      </c>
      <c r="I999" s="46" t="s">
        <v>2616</v>
      </c>
      <c r="J999" s="46" t="s">
        <v>2800</v>
      </c>
      <c r="K999" s="46" t="s">
        <v>3304</v>
      </c>
      <c r="L999" s="46">
        <v>55</v>
      </c>
    </row>
    <row r="1000" spans="1:12" x14ac:dyDescent="0.3">
      <c r="A1000" s="46" t="s">
        <v>1009</v>
      </c>
      <c r="B1000" s="46">
        <f>LEN(Table2[[#This Row],[Employee ID]])</f>
        <v>7</v>
      </c>
      <c r="C1000" s="46" t="s">
        <v>2302</v>
      </c>
      <c r="D1000" s="47">
        <v>21849</v>
      </c>
      <c r="E1000" s="47">
        <v>36942</v>
      </c>
      <c r="F1000" s="46" t="s">
        <v>2602</v>
      </c>
      <c r="G1000" s="46">
        <v>155514</v>
      </c>
      <c r="H1000" s="46" t="s">
        <v>2610</v>
      </c>
      <c r="I1000" s="46" t="s">
        <v>2617</v>
      </c>
      <c r="J1000" s="46" t="s">
        <v>2903</v>
      </c>
      <c r="K1000" s="46" t="s">
        <v>3309</v>
      </c>
      <c r="L1000" s="46">
        <v>24</v>
      </c>
    </row>
    <row r="1001" spans="1:12" x14ac:dyDescent="0.3">
      <c r="A1001" s="46" t="s">
        <v>1010</v>
      </c>
      <c r="B1001" s="46">
        <f>LEN(Table2[[#This Row],[Employee ID]])</f>
        <v>7</v>
      </c>
      <c r="C1001" s="46" t="s">
        <v>2303</v>
      </c>
      <c r="D1001" s="47">
        <v>26119</v>
      </c>
      <c r="E1001" s="47">
        <v>38813</v>
      </c>
      <c r="F1001" s="46" t="s">
        <v>2604</v>
      </c>
      <c r="G1001" s="46">
        <v>120120</v>
      </c>
      <c r="H1001" s="46" t="s">
        <v>2615</v>
      </c>
      <c r="I1001" s="46" t="s">
        <v>2617</v>
      </c>
      <c r="J1001" s="46" t="s">
        <v>3148</v>
      </c>
      <c r="K1001" s="46" t="s">
        <v>3307</v>
      </c>
      <c r="L1001" s="46">
        <v>19</v>
      </c>
    </row>
    <row r="1002" spans="1:12" x14ac:dyDescent="0.3">
      <c r="A1002" s="46" t="s">
        <v>1011</v>
      </c>
      <c r="B1002" s="46">
        <f>LEN(Table2[[#This Row],[Employee ID]])</f>
        <v>7</v>
      </c>
      <c r="C1002" s="46" t="s">
        <v>2304</v>
      </c>
      <c r="D1002" s="47">
        <v>36269</v>
      </c>
      <c r="E1002" s="47">
        <v>38415</v>
      </c>
      <c r="F1002" s="46" t="s">
        <v>2599</v>
      </c>
      <c r="G1002" s="46">
        <v>24318</v>
      </c>
      <c r="H1002" s="46" t="s">
        <v>2612</v>
      </c>
      <c r="I1002" s="46" t="s">
        <v>2617</v>
      </c>
      <c r="J1002" s="46" t="s">
        <v>3133</v>
      </c>
      <c r="K1002" s="46" t="s">
        <v>3307</v>
      </c>
      <c r="L1002" s="46">
        <v>20</v>
      </c>
    </row>
    <row r="1003" spans="1:12" x14ac:dyDescent="0.3">
      <c r="A1003" s="46" t="s">
        <v>1012</v>
      </c>
      <c r="B1003" s="46">
        <f>LEN(Table2[[#This Row],[Employee ID]])</f>
        <v>7</v>
      </c>
      <c r="C1003" s="46" t="s">
        <v>2305</v>
      </c>
      <c r="D1003" s="47">
        <v>28261</v>
      </c>
      <c r="E1003" s="47">
        <v>37334</v>
      </c>
      <c r="F1003" s="46" t="s">
        <v>2600</v>
      </c>
      <c r="G1003" s="46">
        <v>45631</v>
      </c>
      <c r="H1003" s="46" t="s">
        <v>2609</v>
      </c>
      <c r="I1003" s="46" t="s">
        <v>2617</v>
      </c>
      <c r="J1003" s="46" t="s">
        <v>3036</v>
      </c>
      <c r="K1003" s="46" t="s">
        <v>3306</v>
      </c>
      <c r="L1003" s="46">
        <v>23</v>
      </c>
    </row>
    <row r="1004" spans="1:12" x14ac:dyDescent="0.3">
      <c r="A1004" s="46" t="s">
        <v>1013</v>
      </c>
      <c r="B1004" s="46">
        <f>LEN(Table2[[#This Row],[Employee ID]])</f>
        <v>7</v>
      </c>
      <c r="C1004" s="46" t="s">
        <v>2306</v>
      </c>
      <c r="D1004" s="47">
        <v>35475</v>
      </c>
      <c r="E1004" s="47">
        <v>44197</v>
      </c>
      <c r="F1004" s="46" t="s">
        <v>2599</v>
      </c>
      <c r="G1004" s="46">
        <v>123997</v>
      </c>
      <c r="H1004" s="46" t="s">
        <v>2615</v>
      </c>
      <c r="I1004" s="46" t="s">
        <v>2616</v>
      </c>
      <c r="J1004" s="46" t="s">
        <v>3223</v>
      </c>
      <c r="K1004" s="46" t="s">
        <v>3309</v>
      </c>
      <c r="L1004" s="46">
        <v>4</v>
      </c>
    </row>
    <row r="1005" spans="1:12" x14ac:dyDescent="0.3">
      <c r="A1005" s="46" t="s">
        <v>1014</v>
      </c>
      <c r="B1005" s="46">
        <f>LEN(Table2[[#This Row],[Employee ID]])</f>
        <v>7</v>
      </c>
      <c r="C1005" s="46" t="s">
        <v>2307</v>
      </c>
      <c r="D1005" s="47">
        <v>31852</v>
      </c>
      <c r="E1005" s="47">
        <v>42920</v>
      </c>
      <c r="F1005" s="46" t="s">
        <v>2605</v>
      </c>
      <c r="G1005" s="46">
        <v>175680</v>
      </c>
      <c r="H1005" s="46" t="s">
        <v>2607</v>
      </c>
      <c r="I1005" s="46" t="s">
        <v>2616</v>
      </c>
      <c r="J1005" s="46" t="s">
        <v>3224</v>
      </c>
      <c r="K1005" s="46" t="s">
        <v>3304</v>
      </c>
      <c r="L1005" s="46">
        <v>8</v>
      </c>
    </row>
    <row r="1006" spans="1:12" x14ac:dyDescent="0.3">
      <c r="A1006" s="46" t="s">
        <v>1015</v>
      </c>
      <c r="B1006" s="46">
        <f>LEN(Table2[[#This Row],[Employee ID]])</f>
        <v>7</v>
      </c>
      <c r="C1006" s="46" t="s">
        <v>2308</v>
      </c>
      <c r="D1006" s="47">
        <v>30553</v>
      </c>
      <c r="E1006" s="47">
        <v>30372</v>
      </c>
      <c r="F1006" s="46" t="s">
        <v>2602</v>
      </c>
      <c r="G1006" s="46">
        <v>168622</v>
      </c>
      <c r="H1006" s="46" t="s">
        <v>2614</v>
      </c>
      <c r="I1006" s="46" t="s">
        <v>2616</v>
      </c>
      <c r="J1006" s="46" t="s">
        <v>3225</v>
      </c>
      <c r="K1006" s="46" t="s">
        <v>3305</v>
      </c>
      <c r="L1006" s="46">
        <v>42</v>
      </c>
    </row>
    <row r="1007" spans="1:12" x14ac:dyDescent="0.3">
      <c r="A1007" s="46" t="s">
        <v>1016</v>
      </c>
      <c r="B1007" s="46">
        <f>LEN(Table2[[#This Row],[Employee ID]])</f>
        <v>7</v>
      </c>
      <c r="C1007" s="46" t="s">
        <v>2309</v>
      </c>
      <c r="D1007" s="47">
        <v>26387</v>
      </c>
      <c r="E1007" s="47">
        <v>34305</v>
      </c>
      <c r="F1007" s="46" t="s">
        <v>2601</v>
      </c>
      <c r="G1007" s="46">
        <v>80691</v>
      </c>
      <c r="H1007" s="46" t="s">
        <v>2608</v>
      </c>
      <c r="I1007" s="46" t="s">
        <v>2617</v>
      </c>
      <c r="J1007" s="46" t="s">
        <v>3033</v>
      </c>
      <c r="K1007" s="46" t="s">
        <v>3304</v>
      </c>
      <c r="L1007" s="46">
        <v>32</v>
      </c>
    </row>
    <row r="1008" spans="1:12" x14ac:dyDescent="0.3">
      <c r="A1008" s="46" t="s">
        <v>1017</v>
      </c>
      <c r="B1008" s="46">
        <f>LEN(Table2[[#This Row],[Employee ID]])</f>
        <v>7</v>
      </c>
      <c r="C1008" s="46" t="s">
        <v>2310</v>
      </c>
      <c r="D1008" s="47">
        <v>28988</v>
      </c>
      <c r="E1008" s="47">
        <v>38846</v>
      </c>
      <c r="F1008" s="46" t="s">
        <v>2599</v>
      </c>
      <c r="G1008" s="46">
        <v>163346</v>
      </c>
      <c r="H1008" s="46" t="s">
        <v>2606</v>
      </c>
      <c r="I1008" s="46" t="s">
        <v>2616</v>
      </c>
      <c r="J1008" s="46" t="s">
        <v>2825</v>
      </c>
      <c r="K1008" s="46" t="s">
        <v>3308</v>
      </c>
      <c r="L1008" s="46">
        <v>19</v>
      </c>
    </row>
    <row r="1009" spans="1:12" x14ac:dyDescent="0.3">
      <c r="A1009" s="46" t="s">
        <v>1018</v>
      </c>
      <c r="B1009" s="46">
        <f>LEN(Table2[[#This Row],[Employee ID]])</f>
        <v>7</v>
      </c>
      <c r="C1009" s="46" t="s">
        <v>2311</v>
      </c>
      <c r="D1009" s="47">
        <v>24625</v>
      </c>
      <c r="E1009" s="47">
        <v>27743</v>
      </c>
      <c r="F1009" s="46" t="s">
        <v>2599</v>
      </c>
      <c r="G1009" s="46">
        <v>184342</v>
      </c>
      <c r="H1009" s="46" t="s">
        <v>2610</v>
      </c>
      <c r="I1009" s="46" t="s">
        <v>2617</v>
      </c>
      <c r="J1009" s="46" t="s">
        <v>3226</v>
      </c>
      <c r="K1009" s="46" t="s">
        <v>3307</v>
      </c>
      <c r="L1009" s="46">
        <v>50</v>
      </c>
    </row>
    <row r="1010" spans="1:12" x14ac:dyDescent="0.3">
      <c r="A1010" s="46" t="s">
        <v>1019</v>
      </c>
      <c r="B1010" s="46">
        <f>LEN(Table2[[#This Row],[Employee ID]])</f>
        <v>7</v>
      </c>
      <c r="C1010" s="46" t="s">
        <v>2312</v>
      </c>
      <c r="D1010" s="47">
        <v>28145</v>
      </c>
      <c r="E1010" s="47">
        <v>43267</v>
      </c>
      <c r="F1010" s="46" t="s">
        <v>2604</v>
      </c>
      <c r="G1010" s="46">
        <v>34891</v>
      </c>
      <c r="H1010" s="46" t="s">
        <v>2609</v>
      </c>
      <c r="I1010" s="46" t="s">
        <v>2617</v>
      </c>
      <c r="J1010" s="46" t="s">
        <v>3179</v>
      </c>
      <c r="K1010" s="46" t="s">
        <v>3310</v>
      </c>
      <c r="L1010" s="46">
        <v>7</v>
      </c>
    </row>
    <row r="1011" spans="1:12" x14ac:dyDescent="0.3">
      <c r="A1011" s="46" t="s">
        <v>1020</v>
      </c>
      <c r="B1011" s="46">
        <f>LEN(Table2[[#This Row],[Employee ID]])</f>
        <v>7</v>
      </c>
      <c r="C1011" s="46" t="s">
        <v>2313</v>
      </c>
      <c r="D1011" s="47">
        <v>35189</v>
      </c>
      <c r="E1011" s="47">
        <v>41522</v>
      </c>
      <c r="F1011" s="46" t="s">
        <v>2603</v>
      </c>
      <c r="G1011" s="46">
        <v>168000</v>
      </c>
      <c r="H1011" s="46" t="s">
        <v>2609</v>
      </c>
      <c r="I1011" s="46" t="s">
        <v>2617</v>
      </c>
      <c r="J1011" s="46" t="s">
        <v>2815</v>
      </c>
      <c r="K1011" s="46" t="s">
        <v>3305</v>
      </c>
      <c r="L1011" s="46">
        <v>12</v>
      </c>
    </row>
    <row r="1012" spans="1:12" x14ac:dyDescent="0.3">
      <c r="A1012" s="46" t="s">
        <v>1021</v>
      </c>
      <c r="B1012" s="46">
        <f>LEN(Table2[[#This Row],[Employee ID]])</f>
        <v>7</v>
      </c>
      <c r="C1012" s="46" t="s">
        <v>2314</v>
      </c>
      <c r="D1012" s="47">
        <v>26913</v>
      </c>
      <c r="E1012" s="47">
        <v>30857</v>
      </c>
      <c r="F1012" s="46" t="s">
        <v>2600</v>
      </c>
      <c r="G1012" s="46">
        <v>105855</v>
      </c>
      <c r="H1012" s="46" t="s">
        <v>2615</v>
      </c>
      <c r="I1012" s="46" t="s">
        <v>2617</v>
      </c>
      <c r="J1012" s="46" t="s">
        <v>2898</v>
      </c>
      <c r="K1012" s="46" t="s">
        <v>3306</v>
      </c>
      <c r="L1012" s="46">
        <v>41</v>
      </c>
    </row>
    <row r="1013" spans="1:12" x14ac:dyDescent="0.3">
      <c r="A1013" s="46" t="s">
        <v>1022</v>
      </c>
      <c r="B1013" s="46">
        <f>LEN(Table2[[#This Row],[Employee ID]])</f>
        <v>7</v>
      </c>
      <c r="C1013" s="46" t="s">
        <v>2315</v>
      </c>
      <c r="D1013" s="47">
        <v>27575</v>
      </c>
      <c r="E1013" s="47">
        <v>44060</v>
      </c>
      <c r="F1013" s="46" t="s">
        <v>2599</v>
      </c>
      <c r="G1013" s="46">
        <v>96063</v>
      </c>
      <c r="H1013" s="46" t="s">
        <v>2609</v>
      </c>
      <c r="I1013" s="46" t="s">
        <v>2617</v>
      </c>
      <c r="J1013" s="46" t="s">
        <v>3075</v>
      </c>
      <c r="K1013" s="46" t="s">
        <v>3307</v>
      </c>
      <c r="L1013" s="46">
        <v>5</v>
      </c>
    </row>
    <row r="1014" spans="1:12" x14ac:dyDescent="0.3">
      <c r="A1014" s="46" t="s">
        <v>1023</v>
      </c>
      <c r="B1014" s="46">
        <f>LEN(Table2[[#This Row],[Employee ID]])</f>
        <v>7</v>
      </c>
      <c r="C1014" s="46" t="s">
        <v>2316</v>
      </c>
      <c r="D1014" s="47">
        <v>32615</v>
      </c>
      <c r="E1014" s="47">
        <v>26072</v>
      </c>
      <c r="F1014" s="46" t="s">
        <v>2603</v>
      </c>
      <c r="G1014" s="46">
        <v>154081</v>
      </c>
      <c r="H1014" s="46" t="s">
        <v>2607</v>
      </c>
      <c r="I1014" s="46" t="s">
        <v>2616</v>
      </c>
      <c r="J1014" s="46" t="s">
        <v>3048</v>
      </c>
      <c r="K1014" s="46" t="s">
        <v>3309</v>
      </c>
      <c r="L1014" s="46">
        <v>54</v>
      </c>
    </row>
    <row r="1015" spans="1:12" x14ac:dyDescent="0.3">
      <c r="A1015" s="46" t="s">
        <v>1024</v>
      </c>
      <c r="B1015" s="46">
        <f>LEN(Table2[[#This Row],[Employee ID]])</f>
        <v>7</v>
      </c>
      <c r="C1015" s="46" t="s">
        <v>2317</v>
      </c>
      <c r="D1015" s="47">
        <v>23710</v>
      </c>
      <c r="E1015" s="47">
        <v>36817</v>
      </c>
      <c r="F1015" s="46" t="s">
        <v>2605</v>
      </c>
      <c r="G1015" s="46">
        <v>117292</v>
      </c>
      <c r="H1015" s="46" t="s">
        <v>2611</v>
      </c>
      <c r="I1015" s="46" t="s">
        <v>2617</v>
      </c>
      <c r="J1015" s="46" t="s">
        <v>3227</v>
      </c>
      <c r="K1015" s="46" t="s">
        <v>3310</v>
      </c>
      <c r="L1015" s="46">
        <v>25</v>
      </c>
    </row>
    <row r="1016" spans="1:12" x14ac:dyDescent="0.3">
      <c r="A1016" s="46" t="s">
        <v>1025</v>
      </c>
      <c r="B1016" s="46">
        <f>LEN(Table2[[#This Row],[Employee ID]])</f>
        <v>7</v>
      </c>
      <c r="C1016" s="46" t="s">
        <v>2318</v>
      </c>
      <c r="D1016" s="47">
        <v>37445</v>
      </c>
      <c r="E1016" s="47">
        <v>33902</v>
      </c>
      <c r="F1016" s="46" t="s">
        <v>2604</v>
      </c>
      <c r="G1016" s="46">
        <v>170648</v>
      </c>
      <c r="H1016" s="46" t="s">
        <v>2607</v>
      </c>
      <c r="I1016" s="46" t="s">
        <v>2617</v>
      </c>
      <c r="J1016" s="46" t="s">
        <v>2683</v>
      </c>
      <c r="K1016" s="46" t="s">
        <v>3305</v>
      </c>
      <c r="L1016" s="46">
        <v>33</v>
      </c>
    </row>
    <row r="1017" spans="1:12" x14ac:dyDescent="0.3">
      <c r="A1017" s="46" t="s">
        <v>1026</v>
      </c>
      <c r="B1017" s="46">
        <f>LEN(Table2[[#This Row],[Employee ID]])</f>
        <v>7</v>
      </c>
      <c r="C1017" s="46" t="s">
        <v>2319</v>
      </c>
      <c r="D1017" s="47">
        <v>31109</v>
      </c>
      <c r="E1017" s="47">
        <v>28576</v>
      </c>
      <c r="F1017" s="46" t="s">
        <v>2599</v>
      </c>
      <c r="G1017" s="46">
        <v>21034</v>
      </c>
      <c r="H1017" s="46" t="s">
        <v>2606</v>
      </c>
      <c r="I1017" s="46" t="s">
        <v>2616</v>
      </c>
      <c r="J1017" s="46" t="s">
        <v>3228</v>
      </c>
      <c r="K1017" s="46" t="s">
        <v>3307</v>
      </c>
      <c r="L1017" s="46">
        <v>47</v>
      </c>
    </row>
    <row r="1018" spans="1:12" x14ac:dyDescent="0.3">
      <c r="A1018" s="46" t="s">
        <v>1027</v>
      </c>
      <c r="B1018" s="46">
        <f>LEN(Table2[[#This Row],[Employee ID]])</f>
        <v>7</v>
      </c>
      <c r="C1018" s="46" t="s">
        <v>2320</v>
      </c>
      <c r="D1018" s="47">
        <v>37563</v>
      </c>
      <c r="E1018" s="47">
        <v>41359</v>
      </c>
      <c r="F1018" s="46" t="s">
        <v>2605</v>
      </c>
      <c r="G1018" s="46">
        <v>78182</v>
      </c>
      <c r="H1018" s="46" t="s">
        <v>2610</v>
      </c>
      <c r="I1018" s="46" t="s">
        <v>2616</v>
      </c>
      <c r="J1018" s="46" t="s">
        <v>3229</v>
      </c>
      <c r="K1018" s="46" t="s">
        <v>3304</v>
      </c>
      <c r="L1018" s="46">
        <v>12</v>
      </c>
    </row>
    <row r="1019" spans="1:12" x14ac:dyDescent="0.3">
      <c r="A1019" s="46" t="s">
        <v>1028</v>
      </c>
      <c r="B1019" s="46">
        <f>LEN(Table2[[#This Row],[Employee ID]])</f>
        <v>7</v>
      </c>
      <c r="C1019" s="46" t="s">
        <v>2321</v>
      </c>
      <c r="D1019" s="47">
        <v>26954</v>
      </c>
      <c r="E1019" s="47">
        <v>42688</v>
      </c>
      <c r="F1019" s="46" t="s">
        <v>2603</v>
      </c>
      <c r="G1019" s="46">
        <v>184509</v>
      </c>
      <c r="H1019" s="46" t="s">
        <v>2606</v>
      </c>
      <c r="I1019" s="46" t="s">
        <v>2616</v>
      </c>
      <c r="J1019" s="46" t="s">
        <v>3230</v>
      </c>
      <c r="K1019" s="46" t="s">
        <v>3306</v>
      </c>
      <c r="L1019" s="46">
        <v>9</v>
      </c>
    </row>
    <row r="1020" spans="1:12" x14ac:dyDescent="0.3">
      <c r="A1020" s="46" t="s">
        <v>1029</v>
      </c>
      <c r="B1020" s="46">
        <f>LEN(Table2[[#This Row],[Employee ID]])</f>
        <v>7</v>
      </c>
      <c r="C1020" s="46" t="s">
        <v>2322</v>
      </c>
      <c r="D1020" s="47">
        <v>35083</v>
      </c>
      <c r="E1020" s="47">
        <v>26715</v>
      </c>
      <c r="F1020" s="46" t="s">
        <v>2602</v>
      </c>
      <c r="G1020" s="46">
        <v>90327</v>
      </c>
      <c r="H1020" s="46" t="s">
        <v>2608</v>
      </c>
      <c r="I1020" s="46" t="s">
        <v>2616</v>
      </c>
      <c r="J1020" s="46" t="s">
        <v>3231</v>
      </c>
      <c r="K1020" s="46" t="s">
        <v>3310</v>
      </c>
      <c r="L1020" s="46">
        <v>52</v>
      </c>
    </row>
    <row r="1021" spans="1:12" x14ac:dyDescent="0.3">
      <c r="A1021" s="46" t="s">
        <v>1030</v>
      </c>
      <c r="B1021" s="46">
        <f>LEN(Table2[[#This Row],[Employee ID]])</f>
        <v>7</v>
      </c>
      <c r="C1021" s="46" t="s">
        <v>2323</v>
      </c>
      <c r="D1021" s="47">
        <v>26900</v>
      </c>
      <c r="E1021" s="47">
        <v>38282</v>
      </c>
      <c r="F1021" s="46" t="s">
        <v>2599</v>
      </c>
      <c r="G1021" s="46">
        <v>148523</v>
      </c>
      <c r="H1021" s="46" t="s">
        <v>2606</v>
      </c>
      <c r="I1021" s="46" t="s">
        <v>2617</v>
      </c>
      <c r="J1021" s="46" t="s">
        <v>2944</v>
      </c>
      <c r="K1021" s="46" t="s">
        <v>3309</v>
      </c>
      <c r="L1021" s="46">
        <v>21</v>
      </c>
    </row>
    <row r="1022" spans="1:12" x14ac:dyDescent="0.3">
      <c r="A1022" s="46" t="s">
        <v>1031</v>
      </c>
      <c r="B1022" s="46">
        <f>LEN(Table2[[#This Row],[Employee ID]])</f>
        <v>7</v>
      </c>
      <c r="C1022" s="46" t="s">
        <v>2324</v>
      </c>
      <c r="D1022" s="47">
        <v>32185</v>
      </c>
      <c r="E1022" s="47">
        <v>39191</v>
      </c>
      <c r="F1022" s="46" t="s">
        <v>2604</v>
      </c>
      <c r="G1022" s="46">
        <v>23480</v>
      </c>
      <c r="H1022" s="46" t="s">
        <v>2613</v>
      </c>
      <c r="I1022" s="46" t="s">
        <v>2617</v>
      </c>
      <c r="J1022" s="46" t="s">
        <v>3110</v>
      </c>
      <c r="K1022" s="46" t="s">
        <v>3304</v>
      </c>
      <c r="L1022" s="46">
        <v>18</v>
      </c>
    </row>
    <row r="1023" spans="1:12" x14ac:dyDescent="0.3">
      <c r="A1023" s="46" t="s">
        <v>1032</v>
      </c>
      <c r="B1023" s="46">
        <f>LEN(Table2[[#This Row],[Employee ID]])</f>
        <v>7</v>
      </c>
      <c r="C1023" s="46" t="s">
        <v>2325</v>
      </c>
      <c r="D1023" s="47">
        <v>22189</v>
      </c>
      <c r="E1023" s="47">
        <v>43500</v>
      </c>
      <c r="F1023" s="46" t="s">
        <v>2603</v>
      </c>
      <c r="G1023" s="46">
        <v>30829</v>
      </c>
      <c r="H1023" s="46" t="s">
        <v>2615</v>
      </c>
      <c r="I1023" s="46" t="s">
        <v>2616</v>
      </c>
      <c r="J1023" s="46" t="s">
        <v>3232</v>
      </c>
      <c r="K1023" s="46" t="s">
        <v>3306</v>
      </c>
      <c r="L1023" s="46">
        <v>6</v>
      </c>
    </row>
    <row r="1024" spans="1:12" x14ac:dyDescent="0.3">
      <c r="A1024" s="46" t="s">
        <v>1033</v>
      </c>
      <c r="B1024" s="46">
        <f>LEN(Table2[[#This Row],[Employee ID]])</f>
        <v>7</v>
      </c>
      <c r="C1024" s="46" t="s">
        <v>2326</v>
      </c>
      <c r="D1024" s="47">
        <v>22734</v>
      </c>
      <c r="E1024" s="47">
        <v>37819</v>
      </c>
      <c r="F1024" s="46" t="s">
        <v>2604</v>
      </c>
      <c r="G1024" s="46">
        <v>67846</v>
      </c>
      <c r="H1024" s="46" t="s">
        <v>2614</v>
      </c>
      <c r="I1024" s="46" t="s">
        <v>2616</v>
      </c>
      <c r="J1024" s="46" t="s">
        <v>2983</v>
      </c>
      <c r="K1024" s="46" t="s">
        <v>3305</v>
      </c>
      <c r="L1024" s="46">
        <v>22</v>
      </c>
    </row>
    <row r="1025" spans="1:12" x14ac:dyDescent="0.3">
      <c r="A1025" s="46" t="s">
        <v>1034</v>
      </c>
      <c r="B1025" s="46">
        <f>LEN(Table2[[#This Row],[Employee ID]])</f>
        <v>7</v>
      </c>
      <c r="C1025" s="46" t="s">
        <v>2327</v>
      </c>
      <c r="D1025" s="47">
        <v>24612</v>
      </c>
      <c r="E1025" s="47">
        <v>35332</v>
      </c>
      <c r="F1025" s="46" t="s">
        <v>2601</v>
      </c>
      <c r="G1025" s="46">
        <v>162004</v>
      </c>
      <c r="H1025" s="46" t="s">
        <v>2613</v>
      </c>
      <c r="I1025" s="46" t="s">
        <v>2616</v>
      </c>
      <c r="J1025" s="46" t="s">
        <v>3213</v>
      </c>
      <c r="K1025" s="46" t="s">
        <v>3305</v>
      </c>
      <c r="L1025" s="46">
        <v>29</v>
      </c>
    </row>
    <row r="1026" spans="1:12" x14ac:dyDescent="0.3">
      <c r="A1026" s="46" t="s">
        <v>1035</v>
      </c>
      <c r="B1026" s="46">
        <f>LEN(Table2[[#This Row],[Employee ID]])</f>
        <v>7</v>
      </c>
      <c r="C1026" s="46" t="s">
        <v>2328</v>
      </c>
      <c r="D1026" s="47">
        <v>30700</v>
      </c>
      <c r="E1026" s="47">
        <v>29447</v>
      </c>
      <c r="F1026" s="46" t="s">
        <v>2600</v>
      </c>
      <c r="G1026" s="46">
        <v>72389</v>
      </c>
      <c r="H1026" s="46" t="s">
        <v>2606</v>
      </c>
      <c r="I1026" s="46" t="s">
        <v>2616</v>
      </c>
      <c r="J1026" s="46" t="s">
        <v>2629</v>
      </c>
      <c r="K1026" s="46" t="s">
        <v>3307</v>
      </c>
      <c r="L1026" s="46">
        <v>45</v>
      </c>
    </row>
    <row r="1027" spans="1:12" x14ac:dyDescent="0.3">
      <c r="A1027" s="46" t="s">
        <v>1036</v>
      </c>
      <c r="B1027" s="46">
        <f>LEN(Table2[[#This Row],[Employee ID]])</f>
        <v>7</v>
      </c>
      <c r="C1027" s="46" t="s">
        <v>2329</v>
      </c>
      <c r="D1027" s="47">
        <v>22687</v>
      </c>
      <c r="E1027" s="47">
        <v>33655</v>
      </c>
      <c r="F1027" s="46" t="s">
        <v>2604</v>
      </c>
      <c r="G1027" s="46">
        <v>128431</v>
      </c>
      <c r="H1027" s="46" t="s">
        <v>2615</v>
      </c>
      <c r="I1027" s="46" t="s">
        <v>2617</v>
      </c>
      <c r="J1027" s="46" t="s">
        <v>2882</v>
      </c>
      <c r="K1027" s="46" t="s">
        <v>3306</v>
      </c>
      <c r="L1027" s="46">
        <v>33</v>
      </c>
    </row>
    <row r="1028" spans="1:12" x14ac:dyDescent="0.3">
      <c r="A1028" s="46" t="s">
        <v>1037</v>
      </c>
      <c r="B1028" s="46">
        <f>LEN(Table2[[#This Row],[Employee ID]])</f>
        <v>7</v>
      </c>
      <c r="C1028" s="46" t="s">
        <v>2330</v>
      </c>
      <c r="D1028" s="47">
        <v>36956</v>
      </c>
      <c r="E1028" s="47">
        <v>31152</v>
      </c>
      <c r="F1028" s="46" t="s">
        <v>2600</v>
      </c>
      <c r="G1028" s="46">
        <v>146730</v>
      </c>
      <c r="H1028" s="46" t="s">
        <v>2606</v>
      </c>
      <c r="I1028" s="46" t="s">
        <v>2617</v>
      </c>
      <c r="J1028" s="46" t="s">
        <v>2804</v>
      </c>
      <c r="K1028" s="46" t="s">
        <v>3308</v>
      </c>
      <c r="L1028" s="46">
        <v>40</v>
      </c>
    </row>
    <row r="1029" spans="1:12" x14ac:dyDescent="0.3">
      <c r="A1029" s="46" t="s">
        <v>1038</v>
      </c>
      <c r="B1029" s="46">
        <f>LEN(Table2[[#This Row],[Employee ID]])</f>
        <v>7</v>
      </c>
      <c r="C1029" s="46" t="s">
        <v>2331</v>
      </c>
      <c r="D1029" s="47">
        <v>32807</v>
      </c>
      <c r="E1029" s="47">
        <v>33079</v>
      </c>
      <c r="F1029" s="46" t="s">
        <v>2604</v>
      </c>
      <c r="G1029" s="46">
        <v>98036</v>
      </c>
      <c r="H1029" s="46" t="s">
        <v>2611</v>
      </c>
      <c r="I1029" s="46" t="s">
        <v>2616</v>
      </c>
      <c r="J1029" s="46" t="s">
        <v>3113</v>
      </c>
      <c r="K1029" s="46" t="s">
        <v>3304</v>
      </c>
      <c r="L1029" s="46">
        <v>35</v>
      </c>
    </row>
    <row r="1030" spans="1:12" x14ac:dyDescent="0.3">
      <c r="A1030" s="46" t="s">
        <v>1039</v>
      </c>
      <c r="B1030" s="46">
        <f>LEN(Table2[[#This Row],[Employee ID]])</f>
        <v>7</v>
      </c>
      <c r="C1030" s="46" t="s">
        <v>2332</v>
      </c>
      <c r="D1030" s="47">
        <v>33305</v>
      </c>
      <c r="E1030" s="47">
        <v>41368</v>
      </c>
      <c r="F1030" s="46" t="s">
        <v>2601</v>
      </c>
      <c r="G1030" s="46">
        <v>177383</v>
      </c>
      <c r="H1030" s="46" t="s">
        <v>2606</v>
      </c>
      <c r="I1030" s="46" t="s">
        <v>2617</v>
      </c>
      <c r="J1030" s="46" t="s">
        <v>3233</v>
      </c>
      <c r="K1030" s="46" t="s">
        <v>3310</v>
      </c>
      <c r="L1030" s="46">
        <v>12</v>
      </c>
    </row>
    <row r="1031" spans="1:12" x14ac:dyDescent="0.3">
      <c r="A1031" s="46" t="s">
        <v>1040</v>
      </c>
      <c r="B1031" s="46">
        <f>LEN(Table2[[#This Row],[Employee ID]])</f>
        <v>7</v>
      </c>
      <c r="C1031" s="46" t="s">
        <v>2333</v>
      </c>
      <c r="D1031" s="47">
        <v>37585</v>
      </c>
      <c r="E1031" s="47">
        <v>29374</v>
      </c>
      <c r="F1031" s="46" t="s">
        <v>2602</v>
      </c>
      <c r="G1031" s="46">
        <v>134338</v>
      </c>
      <c r="H1031" s="46" t="s">
        <v>2608</v>
      </c>
      <c r="I1031" s="46" t="s">
        <v>2617</v>
      </c>
      <c r="J1031" s="46" t="s">
        <v>2888</v>
      </c>
      <c r="K1031" s="46" t="s">
        <v>3310</v>
      </c>
      <c r="L1031" s="46">
        <v>45</v>
      </c>
    </row>
    <row r="1032" spans="1:12" x14ac:dyDescent="0.3">
      <c r="A1032" s="46" t="s">
        <v>1041</v>
      </c>
      <c r="B1032" s="46">
        <f>LEN(Table2[[#This Row],[Employee ID]])</f>
        <v>7</v>
      </c>
      <c r="C1032" s="46" t="s">
        <v>2334</v>
      </c>
      <c r="D1032" s="47">
        <v>35107</v>
      </c>
      <c r="E1032" s="47">
        <v>32591</v>
      </c>
      <c r="F1032" s="46" t="s">
        <v>2600</v>
      </c>
      <c r="G1032" s="46">
        <v>48106</v>
      </c>
      <c r="H1032" s="46" t="s">
        <v>2614</v>
      </c>
      <c r="I1032" s="46" t="s">
        <v>2617</v>
      </c>
      <c r="J1032" s="46" t="s">
        <v>3132</v>
      </c>
      <c r="K1032" s="46" t="s">
        <v>3308</v>
      </c>
      <c r="L1032" s="46">
        <v>36</v>
      </c>
    </row>
    <row r="1033" spans="1:12" x14ac:dyDescent="0.3">
      <c r="A1033" s="46" t="s">
        <v>1042</v>
      </c>
      <c r="B1033" s="46">
        <f>LEN(Table2[[#This Row],[Employee ID]])</f>
        <v>7</v>
      </c>
      <c r="C1033" s="46" t="s">
        <v>2335</v>
      </c>
      <c r="D1033" s="47">
        <v>31542</v>
      </c>
      <c r="E1033" s="47">
        <v>26307</v>
      </c>
      <c r="F1033" s="46" t="s">
        <v>2602</v>
      </c>
      <c r="G1033" s="46">
        <v>163575</v>
      </c>
      <c r="H1033" s="46" t="s">
        <v>2614</v>
      </c>
      <c r="I1033" s="46" t="s">
        <v>2617</v>
      </c>
      <c r="J1033" s="46" t="s">
        <v>3032</v>
      </c>
      <c r="K1033" s="46" t="s">
        <v>3307</v>
      </c>
      <c r="L1033" s="46">
        <v>53</v>
      </c>
    </row>
    <row r="1034" spans="1:12" x14ac:dyDescent="0.3">
      <c r="A1034" s="46" t="s">
        <v>1043</v>
      </c>
      <c r="B1034" s="46">
        <f>LEN(Table2[[#This Row],[Employee ID]])</f>
        <v>7</v>
      </c>
      <c r="C1034" s="46" t="s">
        <v>2336</v>
      </c>
      <c r="D1034" s="47">
        <v>31044</v>
      </c>
      <c r="E1034" s="47">
        <v>43290</v>
      </c>
      <c r="F1034" s="46" t="s">
        <v>2600</v>
      </c>
      <c r="G1034" s="46">
        <v>55975</v>
      </c>
      <c r="H1034" s="46" t="s">
        <v>2612</v>
      </c>
      <c r="I1034" s="46" t="s">
        <v>2616</v>
      </c>
      <c r="J1034" s="46" t="s">
        <v>2665</v>
      </c>
      <c r="K1034" s="46" t="s">
        <v>3306</v>
      </c>
      <c r="L1034" s="46">
        <v>7</v>
      </c>
    </row>
    <row r="1035" spans="1:12" x14ac:dyDescent="0.3">
      <c r="A1035" s="46" t="s">
        <v>1044</v>
      </c>
      <c r="B1035" s="46">
        <f>LEN(Table2[[#This Row],[Employee ID]])</f>
        <v>7</v>
      </c>
      <c r="C1035" s="46" t="s">
        <v>2337</v>
      </c>
      <c r="D1035" s="47">
        <v>25529</v>
      </c>
      <c r="E1035" s="47">
        <v>32898</v>
      </c>
      <c r="F1035" s="46" t="s">
        <v>2605</v>
      </c>
      <c r="G1035" s="46">
        <v>192385</v>
      </c>
      <c r="H1035" s="46" t="s">
        <v>2607</v>
      </c>
      <c r="I1035" s="46" t="s">
        <v>2616</v>
      </c>
      <c r="J1035" s="46" t="s">
        <v>2925</v>
      </c>
      <c r="K1035" s="46" t="s">
        <v>3306</v>
      </c>
      <c r="L1035" s="46">
        <v>35</v>
      </c>
    </row>
    <row r="1036" spans="1:12" x14ac:dyDescent="0.3">
      <c r="A1036" s="46" t="s">
        <v>1045</v>
      </c>
      <c r="B1036" s="46">
        <f>LEN(Table2[[#This Row],[Employee ID]])</f>
        <v>7</v>
      </c>
      <c r="C1036" s="46" t="s">
        <v>2338</v>
      </c>
      <c r="D1036" s="47">
        <v>31705</v>
      </c>
      <c r="E1036" s="47">
        <v>41216</v>
      </c>
      <c r="F1036" s="46" t="s">
        <v>2601</v>
      </c>
      <c r="G1036" s="46">
        <v>163031</v>
      </c>
      <c r="H1036" s="46" t="s">
        <v>2613</v>
      </c>
      <c r="I1036" s="46" t="s">
        <v>2616</v>
      </c>
      <c r="J1036" s="46" t="s">
        <v>3234</v>
      </c>
      <c r="K1036" s="46" t="s">
        <v>3306</v>
      </c>
      <c r="L1036" s="46">
        <v>13</v>
      </c>
    </row>
    <row r="1037" spans="1:12" x14ac:dyDescent="0.3">
      <c r="A1037" s="46" t="s">
        <v>1046</v>
      </c>
      <c r="B1037" s="46">
        <f>LEN(Table2[[#This Row],[Employee ID]])</f>
        <v>7</v>
      </c>
      <c r="C1037" s="46" t="s">
        <v>2339</v>
      </c>
      <c r="D1037" s="47">
        <v>28440</v>
      </c>
      <c r="E1037" s="47">
        <v>38674</v>
      </c>
      <c r="F1037" s="46" t="s">
        <v>2601</v>
      </c>
      <c r="G1037" s="46">
        <v>199068</v>
      </c>
      <c r="H1037" s="46" t="s">
        <v>2612</v>
      </c>
      <c r="I1037" s="46" t="s">
        <v>2617</v>
      </c>
      <c r="J1037" s="46" t="s">
        <v>3028</v>
      </c>
      <c r="K1037" s="46" t="s">
        <v>3308</v>
      </c>
      <c r="L1037" s="46">
        <v>20</v>
      </c>
    </row>
    <row r="1038" spans="1:12" x14ac:dyDescent="0.3">
      <c r="A1038" s="46" t="s">
        <v>1047</v>
      </c>
      <c r="B1038" s="46">
        <f>LEN(Table2[[#This Row],[Employee ID]])</f>
        <v>7</v>
      </c>
      <c r="C1038" s="46" t="s">
        <v>2340</v>
      </c>
      <c r="D1038" s="47">
        <v>29945</v>
      </c>
      <c r="E1038" s="47">
        <v>34153</v>
      </c>
      <c r="F1038" s="46" t="s">
        <v>2603</v>
      </c>
      <c r="G1038" s="46">
        <v>97560</v>
      </c>
      <c r="H1038" s="46" t="s">
        <v>2615</v>
      </c>
      <c r="I1038" s="46" t="s">
        <v>2616</v>
      </c>
      <c r="J1038" s="46" t="s">
        <v>2888</v>
      </c>
      <c r="K1038" s="46" t="s">
        <v>3308</v>
      </c>
      <c r="L1038" s="46">
        <v>32</v>
      </c>
    </row>
    <row r="1039" spans="1:12" x14ac:dyDescent="0.3">
      <c r="A1039" s="46" t="s">
        <v>1048</v>
      </c>
      <c r="B1039" s="46">
        <f>LEN(Table2[[#This Row],[Employee ID]])</f>
        <v>7</v>
      </c>
      <c r="C1039" s="46" t="s">
        <v>2341</v>
      </c>
      <c r="D1039" s="47">
        <v>29225</v>
      </c>
      <c r="E1039" s="47">
        <v>42763</v>
      </c>
      <c r="F1039" s="46" t="s">
        <v>2604</v>
      </c>
      <c r="G1039" s="46">
        <v>135164</v>
      </c>
      <c r="H1039" s="46" t="s">
        <v>2608</v>
      </c>
      <c r="I1039" s="46" t="s">
        <v>2616</v>
      </c>
      <c r="J1039" s="46" t="s">
        <v>3235</v>
      </c>
      <c r="K1039" s="46" t="s">
        <v>3304</v>
      </c>
      <c r="L1039" s="46">
        <v>8</v>
      </c>
    </row>
    <row r="1040" spans="1:12" x14ac:dyDescent="0.3">
      <c r="A1040" s="46" t="s">
        <v>1049</v>
      </c>
      <c r="B1040" s="46">
        <f>LEN(Table2[[#This Row],[Employee ID]])</f>
        <v>7</v>
      </c>
      <c r="C1040" s="46" t="s">
        <v>2342</v>
      </c>
      <c r="D1040" s="47">
        <v>25033</v>
      </c>
      <c r="E1040" s="47">
        <v>41731</v>
      </c>
      <c r="F1040" s="46" t="s">
        <v>2599</v>
      </c>
      <c r="G1040" s="46">
        <v>191336</v>
      </c>
      <c r="H1040" s="46" t="s">
        <v>2615</v>
      </c>
      <c r="I1040" s="46" t="s">
        <v>2617</v>
      </c>
      <c r="J1040" s="46" t="s">
        <v>2675</v>
      </c>
      <c r="K1040" s="46" t="s">
        <v>3310</v>
      </c>
      <c r="L1040" s="46">
        <v>11</v>
      </c>
    </row>
    <row r="1041" spans="1:12" x14ac:dyDescent="0.3">
      <c r="A1041" s="46" t="s">
        <v>1050</v>
      </c>
      <c r="B1041" s="46">
        <f>LEN(Table2[[#This Row],[Employee ID]])</f>
        <v>7</v>
      </c>
      <c r="C1041" s="46" t="s">
        <v>2343</v>
      </c>
      <c r="D1041" s="47">
        <v>34669</v>
      </c>
      <c r="E1041" s="47">
        <v>41071</v>
      </c>
      <c r="F1041" s="46" t="s">
        <v>2603</v>
      </c>
      <c r="G1041" s="46">
        <v>167218</v>
      </c>
      <c r="H1041" s="46" t="s">
        <v>2606</v>
      </c>
      <c r="I1041" s="46" t="s">
        <v>2617</v>
      </c>
      <c r="J1041" s="46" t="s">
        <v>3006</v>
      </c>
      <c r="K1041" s="46" t="s">
        <v>3308</v>
      </c>
      <c r="L1041" s="46">
        <v>13</v>
      </c>
    </row>
    <row r="1042" spans="1:12" x14ac:dyDescent="0.3">
      <c r="A1042" s="46" t="s">
        <v>1051</v>
      </c>
      <c r="B1042" s="46">
        <f>LEN(Table2[[#This Row],[Employee ID]])</f>
        <v>7</v>
      </c>
      <c r="C1042" s="46" t="s">
        <v>2344</v>
      </c>
      <c r="D1042" s="47">
        <v>29394</v>
      </c>
      <c r="E1042" s="47">
        <v>43504</v>
      </c>
      <c r="F1042" s="46" t="s">
        <v>2600</v>
      </c>
      <c r="G1042" s="46">
        <v>69063</v>
      </c>
      <c r="H1042" s="46" t="s">
        <v>2610</v>
      </c>
      <c r="I1042" s="46" t="s">
        <v>2616</v>
      </c>
      <c r="J1042" s="46" t="s">
        <v>2859</v>
      </c>
      <c r="K1042" s="46" t="s">
        <v>3305</v>
      </c>
      <c r="L1042" s="46">
        <v>6</v>
      </c>
    </row>
    <row r="1043" spans="1:12" x14ac:dyDescent="0.3">
      <c r="A1043" s="46" t="s">
        <v>1052</v>
      </c>
      <c r="B1043" s="46">
        <f>LEN(Table2[[#This Row],[Employee ID]])</f>
        <v>7</v>
      </c>
      <c r="C1043" s="46" t="s">
        <v>2345</v>
      </c>
      <c r="D1043" s="47">
        <v>29975</v>
      </c>
      <c r="E1043" s="47">
        <v>27318</v>
      </c>
      <c r="F1043" s="46" t="s">
        <v>2604</v>
      </c>
      <c r="G1043" s="46">
        <v>83432</v>
      </c>
      <c r="H1043" s="46" t="s">
        <v>2610</v>
      </c>
      <c r="I1043" s="46" t="s">
        <v>2616</v>
      </c>
      <c r="J1043" s="46" t="s">
        <v>3018</v>
      </c>
      <c r="K1043" s="46" t="s">
        <v>3304</v>
      </c>
      <c r="L1043" s="46">
        <v>51</v>
      </c>
    </row>
    <row r="1044" spans="1:12" x14ac:dyDescent="0.3">
      <c r="A1044" s="46" t="s">
        <v>1053</v>
      </c>
      <c r="B1044" s="46">
        <f>LEN(Table2[[#This Row],[Employee ID]])</f>
        <v>7</v>
      </c>
      <c r="C1044" s="46" t="s">
        <v>2346</v>
      </c>
      <c r="D1044" s="47">
        <v>31018</v>
      </c>
      <c r="E1044" s="47">
        <v>25771</v>
      </c>
      <c r="F1044" s="46" t="s">
        <v>2604</v>
      </c>
      <c r="G1044" s="46">
        <v>148752</v>
      </c>
      <c r="H1044" s="46" t="s">
        <v>2609</v>
      </c>
      <c r="I1044" s="46" t="s">
        <v>2616</v>
      </c>
      <c r="J1044" s="46" t="s">
        <v>2657</v>
      </c>
      <c r="K1044" s="46" t="s">
        <v>3306</v>
      </c>
      <c r="L1044" s="46">
        <v>55</v>
      </c>
    </row>
    <row r="1045" spans="1:12" x14ac:dyDescent="0.3">
      <c r="A1045" s="46" t="s">
        <v>1054</v>
      </c>
      <c r="B1045" s="46">
        <f>LEN(Table2[[#This Row],[Employee ID]])</f>
        <v>7</v>
      </c>
      <c r="C1045" s="46" t="s">
        <v>2347</v>
      </c>
      <c r="D1045" s="47">
        <v>26053</v>
      </c>
      <c r="E1045" s="47">
        <v>35077</v>
      </c>
      <c r="F1045" s="46" t="s">
        <v>2603</v>
      </c>
      <c r="G1045" s="46">
        <v>179311</v>
      </c>
      <c r="H1045" s="46" t="s">
        <v>2612</v>
      </c>
      <c r="I1045" s="46" t="s">
        <v>2617</v>
      </c>
      <c r="J1045" s="46" t="s">
        <v>2654</v>
      </c>
      <c r="K1045" s="46" t="s">
        <v>3307</v>
      </c>
      <c r="L1045" s="46">
        <v>29</v>
      </c>
    </row>
    <row r="1046" spans="1:12" x14ac:dyDescent="0.3">
      <c r="A1046" s="46" t="s">
        <v>1055</v>
      </c>
      <c r="B1046" s="46">
        <f>LEN(Table2[[#This Row],[Employee ID]])</f>
        <v>7</v>
      </c>
      <c r="C1046" s="46" t="s">
        <v>2348</v>
      </c>
      <c r="D1046" s="47">
        <v>34540</v>
      </c>
      <c r="E1046" s="47">
        <v>30958</v>
      </c>
      <c r="F1046" s="46" t="s">
        <v>2602</v>
      </c>
      <c r="G1046" s="46">
        <v>164522</v>
      </c>
      <c r="H1046" s="46" t="s">
        <v>2615</v>
      </c>
      <c r="I1046" s="46" t="s">
        <v>2617</v>
      </c>
      <c r="J1046" s="46" t="s">
        <v>3000</v>
      </c>
      <c r="K1046" s="46" t="s">
        <v>3307</v>
      </c>
      <c r="L1046" s="46">
        <v>41</v>
      </c>
    </row>
    <row r="1047" spans="1:12" x14ac:dyDescent="0.3">
      <c r="A1047" s="46" t="s">
        <v>1056</v>
      </c>
      <c r="B1047" s="46">
        <f>LEN(Table2[[#This Row],[Employee ID]])</f>
        <v>7</v>
      </c>
      <c r="C1047" s="46" t="s">
        <v>2349</v>
      </c>
      <c r="D1047" s="47">
        <v>23887</v>
      </c>
      <c r="E1047" s="47">
        <v>30750</v>
      </c>
      <c r="F1047" s="46" t="s">
        <v>2602</v>
      </c>
      <c r="G1047" s="46">
        <v>148308</v>
      </c>
      <c r="H1047" s="46" t="s">
        <v>2608</v>
      </c>
      <c r="I1047" s="46" t="s">
        <v>2616</v>
      </c>
      <c r="J1047" s="46" t="s">
        <v>3025</v>
      </c>
      <c r="K1047" s="46" t="s">
        <v>3307</v>
      </c>
      <c r="L1047" s="46">
        <v>41</v>
      </c>
    </row>
    <row r="1048" spans="1:12" x14ac:dyDescent="0.3">
      <c r="A1048" s="46" t="s">
        <v>1057</v>
      </c>
      <c r="B1048" s="46">
        <f>LEN(Table2[[#This Row],[Employee ID]])</f>
        <v>7</v>
      </c>
      <c r="C1048" s="46" t="s">
        <v>2350</v>
      </c>
      <c r="D1048" s="47">
        <v>33940</v>
      </c>
      <c r="E1048" s="47">
        <v>37432</v>
      </c>
      <c r="F1048" s="46" t="s">
        <v>2600</v>
      </c>
      <c r="G1048" s="46">
        <v>78252</v>
      </c>
      <c r="H1048" s="46" t="s">
        <v>2612</v>
      </c>
      <c r="I1048" s="46" t="s">
        <v>2617</v>
      </c>
      <c r="J1048" s="46" t="s">
        <v>2855</v>
      </c>
      <c r="K1048" s="46" t="s">
        <v>3306</v>
      </c>
      <c r="L1048" s="46">
        <v>23</v>
      </c>
    </row>
    <row r="1049" spans="1:12" x14ac:dyDescent="0.3">
      <c r="A1049" s="46" t="s">
        <v>1058</v>
      </c>
      <c r="B1049" s="46">
        <f>LEN(Table2[[#This Row],[Employee ID]])</f>
        <v>7</v>
      </c>
      <c r="C1049" s="46" t="s">
        <v>2351</v>
      </c>
      <c r="D1049" s="47">
        <v>30753</v>
      </c>
      <c r="E1049" s="47">
        <v>34400</v>
      </c>
      <c r="F1049" s="46" t="s">
        <v>2600</v>
      </c>
      <c r="G1049" s="46">
        <v>148061</v>
      </c>
      <c r="H1049" s="46" t="s">
        <v>2612</v>
      </c>
      <c r="I1049" s="46" t="s">
        <v>2616</v>
      </c>
      <c r="J1049" s="46" t="s">
        <v>2702</v>
      </c>
      <c r="K1049" s="46" t="s">
        <v>3307</v>
      </c>
      <c r="L1049" s="46">
        <v>31</v>
      </c>
    </row>
    <row r="1050" spans="1:12" x14ac:dyDescent="0.3">
      <c r="A1050" s="46" t="s">
        <v>1059</v>
      </c>
      <c r="B1050" s="46">
        <f>LEN(Table2[[#This Row],[Employee ID]])</f>
        <v>7</v>
      </c>
      <c r="C1050" s="46" t="s">
        <v>2352</v>
      </c>
      <c r="D1050" s="47">
        <v>32945</v>
      </c>
      <c r="E1050" s="47">
        <v>36597</v>
      </c>
      <c r="F1050" s="46" t="s">
        <v>2599</v>
      </c>
      <c r="G1050" s="46">
        <v>158805</v>
      </c>
      <c r="H1050" s="46" t="s">
        <v>2612</v>
      </c>
      <c r="I1050" s="46" t="s">
        <v>2617</v>
      </c>
      <c r="J1050" s="46" t="s">
        <v>2873</v>
      </c>
      <c r="K1050" s="46" t="s">
        <v>3305</v>
      </c>
      <c r="L1050" s="46">
        <v>25</v>
      </c>
    </row>
    <row r="1051" spans="1:12" x14ac:dyDescent="0.3">
      <c r="A1051" s="46" t="s">
        <v>1060</v>
      </c>
      <c r="B1051" s="46">
        <f>LEN(Table2[[#This Row],[Employee ID]])</f>
        <v>7</v>
      </c>
      <c r="C1051" s="46" t="s">
        <v>2353</v>
      </c>
      <c r="D1051" s="47">
        <v>35285</v>
      </c>
      <c r="E1051" s="47">
        <v>36715</v>
      </c>
      <c r="F1051" s="46" t="s">
        <v>2599</v>
      </c>
      <c r="G1051" s="46">
        <v>93316</v>
      </c>
      <c r="H1051" s="46" t="s">
        <v>2613</v>
      </c>
      <c r="I1051" s="46" t="s">
        <v>2616</v>
      </c>
      <c r="J1051" s="46" t="s">
        <v>2861</v>
      </c>
      <c r="K1051" s="46" t="s">
        <v>3305</v>
      </c>
      <c r="L1051" s="46">
        <v>25</v>
      </c>
    </row>
    <row r="1052" spans="1:12" x14ac:dyDescent="0.3">
      <c r="A1052" s="46" t="s">
        <v>1061</v>
      </c>
      <c r="B1052" s="46">
        <f>LEN(Table2[[#This Row],[Employee ID]])</f>
        <v>7</v>
      </c>
      <c r="C1052" s="46" t="s">
        <v>2354</v>
      </c>
      <c r="D1052" s="47">
        <v>35960</v>
      </c>
      <c r="E1052" s="47">
        <v>38276</v>
      </c>
      <c r="F1052" s="46" t="s">
        <v>2605</v>
      </c>
      <c r="G1052" s="46">
        <v>194294</v>
      </c>
      <c r="H1052" s="46" t="s">
        <v>2606</v>
      </c>
      <c r="I1052" s="46" t="s">
        <v>2616</v>
      </c>
      <c r="J1052" s="46" t="s">
        <v>2837</v>
      </c>
      <c r="K1052" s="46" t="s">
        <v>3304</v>
      </c>
      <c r="L1052" s="46">
        <v>21</v>
      </c>
    </row>
    <row r="1053" spans="1:12" x14ac:dyDescent="0.3">
      <c r="A1053" s="46" t="s">
        <v>1062</v>
      </c>
      <c r="B1053" s="46">
        <f>LEN(Table2[[#This Row],[Employee ID]])</f>
        <v>7</v>
      </c>
      <c r="C1053" s="46" t="s">
        <v>2355</v>
      </c>
      <c r="D1053" s="47">
        <v>23406</v>
      </c>
      <c r="E1053" s="47">
        <v>44851</v>
      </c>
      <c r="F1053" s="46" t="s">
        <v>2604</v>
      </c>
      <c r="G1053" s="46">
        <v>112927</v>
      </c>
      <c r="H1053" s="46" t="s">
        <v>2611</v>
      </c>
      <c r="I1053" s="46" t="s">
        <v>2616</v>
      </c>
      <c r="J1053" s="46" t="s">
        <v>3236</v>
      </c>
      <c r="K1053" s="46" t="s">
        <v>3309</v>
      </c>
      <c r="L1053" s="46">
        <v>3</v>
      </c>
    </row>
    <row r="1054" spans="1:12" x14ac:dyDescent="0.3">
      <c r="A1054" s="46" t="s">
        <v>1063</v>
      </c>
      <c r="B1054" s="46">
        <f>LEN(Table2[[#This Row],[Employee ID]])</f>
        <v>7</v>
      </c>
      <c r="C1054" s="46" t="s">
        <v>2356</v>
      </c>
      <c r="D1054" s="47">
        <v>30108</v>
      </c>
      <c r="E1054" s="47">
        <v>42227</v>
      </c>
      <c r="F1054" s="46" t="s">
        <v>2600</v>
      </c>
      <c r="G1054" s="46">
        <v>93813</v>
      </c>
      <c r="H1054" s="46" t="s">
        <v>2607</v>
      </c>
      <c r="I1054" s="46" t="s">
        <v>2616</v>
      </c>
      <c r="J1054" s="46" t="s">
        <v>3237</v>
      </c>
      <c r="K1054" s="46" t="s">
        <v>3306</v>
      </c>
      <c r="L1054" s="46">
        <v>10</v>
      </c>
    </row>
    <row r="1055" spans="1:12" x14ac:dyDescent="0.3">
      <c r="A1055" s="46" t="s">
        <v>1064</v>
      </c>
      <c r="B1055" s="46">
        <f>LEN(Table2[[#This Row],[Employee ID]])</f>
        <v>7</v>
      </c>
      <c r="C1055" s="46" t="s">
        <v>2357</v>
      </c>
      <c r="D1055" s="47">
        <v>35534</v>
      </c>
      <c r="E1055" s="47">
        <v>26151</v>
      </c>
      <c r="F1055" s="46" t="s">
        <v>2600</v>
      </c>
      <c r="G1055" s="46">
        <v>77518</v>
      </c>
      <c r="H1055" s="46" t="s">
        <v>2609</v>
      </c>
      <c r="I1055" s="46" t="s">
        <v>2616</v>
      </c>
      <c r="J1055" s="46" t="s">
        <v>3238</v>
      </c>
      <c r="K1055" s="46" t="s">
        <v>3307</v>
      </c>
      <c r="L1055" s="46">
        <v>54</v>
      </c>
    </row>
    <row r="1056" spans="1:12" x14ac:dyDescent="0.3">
      <c r="A1056" s="46" t="s">
        <v>1065</v>
      </c>
      <c r="B1056" s="46">
        <f>LEN(Table2[[#This Row],[Employee ID]])</f>
        <v>7</v>
      </c>
      <c r="C1056" s="46" t="s">
        <v>2358</v>
      </c>
      <c r="D1056" s="47">
        <v>35116</v>
      </c>
      <c r="E1056" s="47">
        <v>27588</v>
      </c>
      <c r="F1056" s="46" t="s">
        <v>2603</v>
      </c>
      <c r="G1056" s="46">
        <v>191402</v>
      </c>
      <c r="H1056" s="46" t="s">
        <v>2614</v>
      </c>
      <c r="I1056" s="46" t="s">
        <v>2616</v>
      </c>
      <c r="J1056" s="46" t="s">
        <v>3239</v>
      </c>
      <c r="K1056" s="46" t="s">
        <v>3304</v>
      </c>
      <c r="L1056" s="46">
        <v>50</v>
      </c>
    </row>
    <row r="1057" spans="1:12" x14ac:dyDescent="0.3">
      <c r="A1057" s="46" t="s">
        <v>1066</v>
      </c>
      <c r="B1057" s="46">
        <f>LEN(Table2[[#This Row],[Employee ID]])</f>
        <v>7</v>
      </c>
      <c r="C1057" s="46" t="s">
        <v>2359</v>
      </c>
      <c r="D1057" s="47">
        <v>37405</v>
      </c>
      <c r="E1057" s="47">
        <v>42378</v>
      </c>
      <c r="F1057" s="46" t="s">
        <v>2599</v>
      </c>
      <c r="G1057" s="46">
        <v>185430</v>
      </c>
      <c r="H1057" s="46" t="s">
        <v>2609</v>
      </c>
      <c r="I1057" s="46" t="s">
        <v>2617</v>
      </c>
      <c r="J1057" s="46" t="s">
        <v>3103</v>
      </c>
      <c r="K1057" s="46" t="s">
        <v>3310</v>
      </c>
      <c r="L1057" s="46">
        <v>9</v>
      </c>
    </row>
    <row r="1058" spans="1:12" x14ac:dyDescent="0.3">
      <c r="A1058" s="46" t="s">
        <v>1067</v>
      </c>
      <c r="B1058" s="46">
        <f>LEN(Table2[[#This Row],[Employee ID]])</f>
        <v>7</v>
      </c>
      <c r="C1058" s="46" t="s">
        <v>2360</v>
      </c>
      <c r="D1058" s="47">
        <v>34872</v>
      </c>
      <c r="E1058" s="47">
        <v>40205</v>
      </c>
      <c r="F1058" s="46" t="s">
        <v>2603</v>
      </c>
      <c r="G1058" s="46">
        <v>39431</v>
      </c>
      <c r="H1058" s="46" t="s">
        <v>2615</v>
      </c>
      <c r="I1058" s="46" t="s">
        <v>2616</v>
      </c>
      <c r="J1058" s="46" t="s">
        <v>3143</v>
      </c>
      <c r="K1058" s="46" t="s">
        <v>3308</v>
      </c>
      <c r="L1058" s="46">
        <v>15</v>
      </c>
    </row>
    <row r="1059" spans="1:12" x14ac:dyDescent="0.3">
      <c r="A1059" s="46" t="s">
        <v>1068</v>
      </c>
      <c r="B1059" s="46">
        <f>LEN(Table2[[#This Row],[Employee ID]])</f>
        <v>7</v>
      </c>
      <c r="C1059" s="46" t="s">
        <v>2361</v>
      </c>
      <c r="D1059" s="47">
        <v>31876</v>
      </c>
      <c r="E1059" s="47">
        <v>34506</v>
      </c>
      <c r="F1059" s="46" t="s">
        <v>2604</v>
      </c>
      <c r="G1059" s="46">
        <v>146589</v>
      </c>
      <c r="H1059" s="46" t="s">
        <v>2607</v>
      </c>
      <c r="I1059" s="46" t="s">
        <v>2616</v>
      </c>
      <c r="J1059" s="46" t="s">
        <v>3240</v>
      </c>
      <c r="K1059" s="46" t="s">
        <v>3305</v>
      </c>
      <c r="L1059" s="46">
        <v>31</v>
      </c>
    </row>
    <row r="1060" spans="1:12" x14ac:dyDescent="0.3">
      <c r="A1060" s="46" t="s">
        <v>1069</v>
      </c>
      <c r="B1060" s="46">
        <f>LEN(Table2[[#This Row],[Employee ID]])</f>
        <v>7</v>
      </c>
      <c r="C1060" s="46" t="s">
        <v>2362</v>
      </c>
      <c r="D1060" s="47">
        <v>26971</v>
      </c>
      <c r="E1060" s="47">
        <v>36029</v>
      </c>
      <c r="F1060" s="46" t="s">
        <v>2604</v>
      </c>
      <c r="G1060" s="46">
        <v>122514</v>
      </c>
      <c r="H1060" s="46" t="s">
        <v>2613</v>
      </c>
      <c r="I1060" s="46" t="s">
        <v>2617</v>
      </c>
      <c r="J1060" s="46" t="s">
        <v>3241</v>
      </c>
      <c r="K1060" s="46" t="s">
        <v>3304</v>
      </c>
      <c r="L1060" s="46">
        <v>27</v>
      </c>
    </row>
    <row r="1061" spans="1:12" x14ac:dyDescent="0.3">
      <c r="A1061" s="46" t="s">
        <v>1070</v>
      </c>
      <c r="B1061" s="46">
        <f>LEN(Table2[[#This Row],[Employee ID]])</f>
        <v>7</v>
      </c>
      <c r="C1061" s="46" t="s">
        <v>2363</v>
      </c>
      <c r="D1061" s="47">
        <v>27248</v>
      </c>
      <c r="E1061" s="47">
        <v>32788</v>
      </c>
      <c r="F1061" s="46" t="s">
        <v>2604</v>
      </c>
      <c r="G1061" s="46">
        <v>187945</v>
      </c>
      <c r="H1061" s="46" t="s">
        <v>2611</v>
      </c>
      <c r="I1061" s="46" t="s">
        <v>2617</v>
      </c>
      <c r="J1061" s="46" t="s">
        <v>3242</v>
      </c>
      <c r="K1061" s="46" t="s">
        <v>3310</v>
      </c>
      <c r="L1061" s="46">
        <v>36</v>
      </c>
    </row>
    <row r="1062" spans="1:12" x14ac:dyDescent="0.3">
      <c r="A1062" s="46" t="s">
        <v>1071</v>
      </c>
      <c r="B1062" s="46">
        <f>LEN(Table2[[#This Row],[Employee ID]])</f>
        <v>7</v>
      </c>
      <c r="C1062" s="46" t="s">
        <v>2364</v>
      </c>
      <c r="D1062" s="47">
        <v>35702</v>
      </c>
      <c r="E1062" s="47">
        <v>30979</v>
      </c>
      <c r="F1062" s="46" t="s">
        <v>2599</v>
      </c>
      <c r="G1062" s="46">
        <v>96966</v>
      </c>
      <c r="H1062" s="46" t="s">
        <v>2608</v>
      </c>
      <c r="I1062" s="46" t="s">
        <v>2616</v>
      </c>
      <c r="J1062" s="46" t="s">
        <v>2741</v>
      </c>
      <c r="K1062" s="46" t="s">
        <v>3309</v>
      </c>
      <c r="L1062" s="46">
        <v>41</v>
      </c>
    </row>
    <row r="1063" spans="1:12" x14ac:dyDescent="0.3">
      <c r="A1063" s="46" t="s">
        <v>1072</v>
      </c>
      <c r="B1063" s="46">
        <f>LEN(Table2[[#This Row],[Employee ID]])</f>
        <v>7</v>
      </c>
      <c r="C1063" s="46" t="s">
        <v>2365</v>
      </c>
      <c r="D1063" s="47">
        <v>31526</v>
      </c>
      <c r="E1063" s="47">
        <v>25707</v>
      </c>
      <c r="F1063" s="46" t="s">
        <v>2604</v>
      </c>
      <c r="G1063" s="46">
        <v>157725</v>
      </c>
      <c r="H1063" s="46" t="s">
        <v>2611</v>
      </c>
      <c r="I1063" s="46" t="s">
        <v>2616</v>
      </c>
      <c r="J1063" s="46" t="s">
        <v>2843</v>
      </c>
      <c r="K1063" s="46" t="s">
        <v>3307</v>
      </c>
      <c r="L1063" s="46">
        <v>55</v>
      </c>
    </row>
    <row r="1064" spans="1:12" x14ac:dyDescent="0.3">
      <c r="A1064" s="46" t="s">
        <v>1073</v>
      </c>
      <c r="B1064" s="46">
        <f>LEN(Table2[[#This Row],[Employee ID]])</f>
        <v>7</v>
      </c>
      <c r="C1064" s="46" t="s">
        <v>2366</v>
      </c>
      <c r="D1064" s="47">
        <v>32015</v>
      </c>
      <c r="E1064" s="47">
        <v>27582</v>
      </c>
      <c r="F1064" s="46" t="s">
        <v>2599</v>
      </c>
      <c r="G1064" s="46">
        <v>65509</v>
      </c>
      <c r="H1064" s="46" t="s">
        <v>2615</v>
      </c>
      <c r="I1064" s="46" t="s">
        <v>2617</v>
      </c>
      <c r="J1064" s="46" t="s">
        <v>2951</v>
      </c>
      <c r="K1064" s="46" t="s">
        <v>3309</v>
      </c>
      <c r="L1064" s="46">
        <v>50</v>
      </c>
    </row>
    <row r="1065" spans="1:12" x14ac:dyDescent="0.3">
      <c r="A1065" s="46" t="s">
        <v>1074</v>
      </c>
      <c r="B1065" s="46">
        <f>LEN(Table2[[#This Row],[Employee ID]])</f>
        <v>7</v>
      </c>
      <c r="C1065" s="46" t="s">
        <v>2367</v>
      </c>
      <c r="D1065" s="47">
        <v>35588</v>
      </c>
      <c r="E1065" s="47">
        <v>28977</v>
      </c>
      <c r="F1065" s="46" t="s">
        <v>2602</v>
      </c>
      <c r="G1065" s="46">
        <v>42956</v>
      </c>
      <c r="H1065" s="46" t="s">
        <v>2614</v>
      </c>
      <c r="I1065" s="46" t="s">
        <v>2617</v>
      </c>
      <c r="J1065" s="46" t="s">
        <v>3243</v>
      </c>
      <c r="K1065" s="46" t="s">
        <v>3310</v>
      </c>
      <c r="L1065" s="46">
        <v>46</v>
      </c>
    </row>
    <row r="1066" spans="1:12" x14ac:dyDescent="0.3">
      <c r="A1066" s="46" t="s">
        <v>1075</v>
      </c>
      <c r="B1066" s="46">
        <f>LEN(Table2[[#This Row],[Employee ID]])</f>
        <v>7</v>
      </c>
      <c r="C1066" s="46" t="s">
        <v>2368</v>
      </c>
      <c r="D1066" s="47">
        <v>23017</v>
      </c>
      <c r="E1066" s="47">
        <v>42974</v>
      </c>
      <c r="F1066" s="46" t="s">
        <v>2601</v>
      </c>
      <c r="G1066" s="46">
        <v>163964</v>
      </c>
      <c r="H1066" s="46" t="s">
        <v>2609</v>
      </c>
      <c r="I1066" s="46" t="s">
        <v>2616</v>
      </c>
      <c r="J1066" s="46" t="s">
        <v>2917</v>
      </c>
      <c r="K1066" s="46" t="s">
        <v>3306</v>
      </c>
      <c r="L1066" s="46">
        <v>8</v>
      </c>
    </row>
    <row r="1067" spans="1:12" x14ac:dyDescent="0.3">
      <c r="A1067" s="46" t="s">
        <v>1076</v>
      </c>
      <c r="B1067" s="46">
        <f>LEN(Table2[[#This Row],[Employee ID]])</f>
        <v>7</v>
      </c>
      <c r="C1067" s="46" t="s">
        <v>2369</v>
      </c>
      <c r="D1067" s="47">
        <v>24618</v>
      </c>
      <c r="E1067" s="47">
        <v>32244</v>
      </c>
      <c r="F1067" s="46" t="s">
        <v>2599</v>
      </c>
      <c r="G1067" s="46">
        <v>73697</v>
      </c>
      <c r="H1067" s="46" t="s">
        <v>2611</v>
      </c>
      <c r="I1067" s="46" t="s">
        <v>2617</v>
      </c>
      <c r="J1067" s="46" t="s">
        <v>3244</v>
      </c>
      <c r="K1067" s="46" t="s">
        <v>3305</v>
      </c>
      <c r="L1067" s="46">
        <v>37</v>
      </c>
    </row>
    <row r="1068" spans="1:12" x14ac:dyDescent="0.3">
      <c r="A1068" s="46" t="s">
        <v>1077</v>
      </c>
      <c r="B1068" s="46">
        <f>LEN(Table2[[#This Row],[Employee ID]])</f>
        <v>7</v>
      </c>
      <c r="C1068" s="46" t="s">
        <v>2370</v>
      </c>
      <c r="D1068" s="47">
        <v>35581</v>
      </c>
      <c r="E1068" s="47">
        <v>34117</v>
      </c>
      <c r="F1068" s="46" t="s">
        <v>2602</v>
      </c>
      <c r="G1068" s="46">
        <v>182150</v>
      </c>
      <c r="H1068" s="46" t="s">
        <v>2610</v>
      </c>
      <c r="I1068" s="46" t="s">
        <v>2617</v>
      </c>
      <c r="J1068" s="46" t="s">
        <v>2775</v>
      </c>
      <c r="K1068" s="46" t="s">
        <v>3308</v>
      </c>
      <c r="L1068" s="46">
        <v>32</v>
      </c>
    </row>
    <row r="1069" spans="1:12" x14ac:dyDescent="0.3">
      <c r="A1069" s="46" t="s">
        <v>1078</v>
      </c>
      <c r="B1069" s="46">
        <f>LEN(Table2[[#This Row],[Employee ID]])</f>
        <v>7</v>
      </c>
      <c r="C1069" s="46" t="s">
        <v>2371</v>
      </c>
      <c r="D1069" s="47">
        <v>35611</v>
      </c>
      <c r="E1069" s="47">
        <v>29990</v>
      </c>
      <c r="F1069" s="46" t="s">
        <v>2603</v>
      </c>
      <c r="G1069" s="46">
        <v>95176</v>
      </c>
      <c r="H1069" s="46" t="s">
        <v>2606</v>
      </c>
      <c r="I1069" s="46" t="s">
        <v>2617</v>
      </c>
      <c r="J1069" s="46" t="s">
        <v>3245</v>
      </c>
      <c r="K1069" s="46" t="s">
        <v>3309</v>
      </c>
      <c r="L1069" s="46">
        <v>43</v>
      </c>
    </row>
    <row r="1070" spans="1:12" x14ac:dyDescent="0.3">
      <c r="A1070" s="46" t="s">
        <v>1079</v>
      </c>
      <c r="B1070" s="46">
        <f>LEN(Table2[[#This Row],[Employee ID]])</f>
        <v>7</v>
      </c>
      <c r="C1070" s="46" t="s">
        <v>2372</v>
      </c>
      <c r="D1070" s="47">
        <v>24837</v>
      </c>
      <c r="E1070" s="47">
        <v>38840</v>
      </c>
      <c r="F1070" s="46" t="s">
        <v>2601</v>
      </c>
      <c r="G1070" s="46">
        <v>138159</v>
      </c>
      <c r="H1070" s="46" t="s">
        <v>2607</v>
      </c>
      <c r="I1070" s="46" t="s">
        <v>2617</v>
      </c>
      <c r="J1070" s="46" t="s">
        <v>3246</v>
      </c>
      <c r="K1070" s="46" t="s">
        <v>3308</v>
      </c>
      <c r="L1070" s="46">
        <v>19</v>
      </c>
    </row>
    <row r="1071" spans="1:12" x14ac:dyDescent="0.3">
      <c r="A1071" s="46" t="s">
        <v>1080</v>
      </c>
      <c r="B1071" s="46">
        <f>LEN(Table2[[#This Row],[Employee ID]])</f>
        <v>7</v>
      </c>
      <c r="C1071" s="46" t="s">
        <v>2373</v>
      </c>
      <c r="D1071" s="47">
        <v>27137</v>
      </c>
      <c r="E1071" s="47">
        <v>34036</v>
      </c>
      <c r="F1071" s="46" t="s">
        <v>2601</v>
      </c>
      <c r="G1071" s="46">
        <v>59034</v>
      </c>
      <c r="H1071" s="46" t="s">
        <v>2607</v>
      </c>
      <c r="I1071" s="46" t="s">
        <v>2616</v>
      </c>
      <c r="J1071" s="46" t="s">
        <v>3012</v>
      </c>
      <c r="K1071" s="46" t="s">
        <v>3304</v>
      </c>
      <c r="L1071" s="46">
        <v>32</v>
      </c>
    </row>
    <row r="1072" spans="1:12" x14ac:dyDescent="0.3">
      <c r="A1072" s="46" t="s">
        <v>1081</v>
      </c>
      <c r="B1072" s="46">
        <f>LEN(Table2[[#This Row],[Employee ID]])</f>
        <v>7</v>
      </c>
      <c r="C1072" s="46" t="s">
        <v>2374</v>
      </c>
      <c r="D1072" s="47">
        <v>30393</v>
      </c>
      <c r="E1072" s="47">
        <v>28898</v>
      </c>
      <c r="F1072" s="46" t="s">
        <v>2603</v>
      </c>
      <c r="G1072" s="46">
        <v>40772</v>
      </c>
      <c r="H1072" s="46" t="s">
        <v>2613</v>
      </c>
      <c r="I1072" s="46" t="s">
        <v>2617</v>
      </c>
      <c r="J1072" s="46" t="s">
        <v>3053</v>
      </c>
      <c r="K1072" s="46" t="s">
        <v>3305</v>
      </c>
      <c r="L1072" s="46">
        <v>46</v>
      </c>
    </row>
    <row r="1073" spans="1:12" x14ac:dyDescent="0.3">
      <c r="A1073" s="46" t="s">
        <v>1082</v>
      </c>
      <c r="B1073" s="46">
        <f>LEN(Table2[[#This Row],[Employee ID]])</f>
        <v>7</v>
      </c>
      <c r="C1073" s="46" t="s">
        <v>2375</v>
      </c>
      <c r="D1073" s="47">
        <v>33414</v>
      </c>
      <c r="E1073" s="47">
        <v>33547</v>
      </c>
      <c r="F1073" s="46" t="s">
        <v>2604</v>
      </c>
      <c r="G1073" s="46">
        <v>198331</v>
      </c>
      <c r="H1073" s="46" t="s">
        <v>2612</v>
      </c>
      <c r="I1073" s="46" t="s">
        <v>2617</v>
      </c>
      <c r="J1073" s="46" t="s">
        <v>2797</v>
      </c>
      <c r="K1073" s="46" t="s">
        <v>3306</v>
      </c>
      <c r="L1073" s="46">
        <v>34</v>
      </c>
    </row>
    <row r="1074" spans="1:12" x14ac:dyDescent="0.3">
      <c r="A1074" s="46" t="s">
        <v>1083</v>
      </c>
      <c r="B1074" s="46">
        <f>LEN(Table2[[#This Row],[Employee ID]])</f>
        <v>7</v>
      </c>
      <c r="C1074" s="46" t="s">
        <v>2376</v>
      </c>
      <c r="D1074" s="47">
        <v>23406</v>
      </c>
      <c r="E1074" s="47">
        <v>34063</v>
      </c>
      <c r="F1074" s="46" t="s">
        <v>2603</v>
      </c>
      <c r="G1074" s="46">
        <v>36978</v>
      </c>
      <c r="H1074" s="46" t="s">
        <v>2606</v>
      </c>
      <c r="I1074" s="46" t="s">
        <v>2616</v>
      </c>
      <c r="J1074" s="46" t="s">
        <v>3027</v>
      </c>
      <c r="K1074" s="46" t="s">
        <v>3310</v>
      </c>
      <c r="L1074" s="46">
        <v>32</v>
      </c>
    </row>
    <row r="1075" spans="1:12" x14ac:dyDescent="0.3">
      <c r="A1075" s="46" t="s">
        <v>1084</v>
      </c>
      <c r="B1075" s="46">
        <f>LEN(Table2[[#This Row],[Employee ID]])</f>
        <v>7</v>
      </c>
      <c r="C1075" s="46" t="s">
        <v>2377</v>
      </c>
      <c r="D1075" s="47">
        <v>26999</v>
      </c>
      <c r="E1075" s="47">
        <v>43254</v>
      </c>
      <c r="F1075" s="46" t="s">
        <v>2600</v>
      </c>
      <c r="G1075" s="46">
        <v>24840</v>
      </c>
      <c r="H1075" s="46" t="s">
        <v>2612</v>
      </c>
      <c r="I1075" s="46" t="s">
        <v>2617</v>
      </c>
      <c r="J1075" s="46" t="s">
        <v>3247</v>
      </c>
      <c r="K1075" s="46" t="s">
        <v>3309</v>
      </c>
      <c r="L1075" s="46">
        <v>7</v>
      </c>
    </row>
    <row r="1076" spans="1:12" x14ac:dyDescent="0.3">
      <c r="A1076" s="46" t="s">
        <v>1085</v>
      </c>
      <c r="B1076" s="46">
        <f>LEN(Table2[[#This Row],[Employee ID]])</f>
        <v>7</v>
      </c>
      <c r="C1076" s="46" t="s">
        <v>2378</v>
      </c>
      <c r="D1076" s="47">
        <v>34218</v>
      </c>
      <c r="E1076" s="47">
        <v>40095</v>
      </c>
      <c r="F1076" s="46" t="s">
        <v>2603</v>
      </c>
      <c r="G1076" s="46">
        <v>43618</v>
      </c>
      <c r="H1076" s="46" t="s">
        <v>2611</v>
      </c>
      <c r="I1076" s="46" t="s">
        <v>2616</v>
      </c>
      <c r="J1076" s="46" t="s">
        <v>3030</v>
      </c>
      <c r="K1076" s="46" t="s">
        <v>3304</v>
      </c>
      <c r="L1076" s="46">
        <v>16</v>
      </c>
    </row>
    <row r="1077" spans="1:12" x14ac:dyDescent="0.3">
      <c r="A1077" s="46" t="s">
        <v>1086</v>
      </c>
      <c r="B1077" s="46">
        <f>LEN(Table2[[#This Row],[Employee ID]])</f>
        <v>7</v>
      </c>
      <c r="C1077" s="46" t="s">
        <v>2379</v>
      </c>
      <c r="D1077" s="47">
        <v>26177</v>
      </c>
      <c r="E1077" s="47">
        <v>30204</v>
      </c>
      <c r="F1077" s="46" t="s">
        <v>2605</v>
      </c>
      <c r="G1077" s="46">
        <v>108968</v>
      </c>
      <c r="H1077" s="46" t="s">
        <v>2609</v>
      </c>
      <c r="I1077" s="46" t="s">
        <v>2617</v>
      </c>
      <c r="J1077" s="46" t="s">
        <v>3248</v>
      </c>
      <c r="K1077" s="46" t="s">
        <v>3308</v>
      </c>
      <c r="L1077" s="46">
        <v>43</v>
      </c>
    </row>
    <row r="1078" spans="1:12" x14ac:dyDescent="0.3">
      <c r="A1078" s="46" t="s">
        <v>1087</v>
      </c>
      <c r="B1078" s="46">
        <f>LEN(Table2[[#This Row],[Employee ID]])</f>
        <v>7</v>
      </c>
      <c r="C1078" s="46" t="s">
        <v>2380</v>
      </c>
      <c r="D1078" s="47">
        <v>26696</v>
      </c>
      <c r="E1078" s="47">
        <v>37505</v>
      </c>
      <c r="F1078" s="46" t="s">
        <v>2603</v>
      </c>
      <c r="G1078" s="46">
        <v>123262</v>
      </c>
      <c r="H1078" s="46" t="s">
        <v>2611</v>
      </c>
      <c r="I1078" s="46" t="s">
        <v>2616</v>
      </c>
      <c r="J1078" s="46" t="s">
        <v>3249</v>
      </c>
      <c r="K1078" s="46" t="s">
        <v>3305</v>
      </c>
      <c r="L1078" s="46">
        <v>23</v>
      </c>
    </row>
    <row r="1079" spans="1:12" x14ac:dyDescent="0.3">
      <c r="A1079" s="46" t="s">
        <v>1088</v>
      </c>
      <c r="B1079" s="46">
        <f>LEN(Table2[[#This Row],[Employee ID]])</f>
        <v>7</v>
      </c>
      <c r="C1079" s="46" t="s">
        <v>2381</v>
      </c>
      <c r="D1079" s="47">
        <v>32714</v>
      </c>
      <c r="E1079" s="47">
        <v>29789</v>
      </c>
      <c r="F1079" s="46" t="s">
        <v>2604</v>
      </c>
      <c r="G1079" s="46">
        <v>28792</v>
      </c>
      <c r="H1079" s="46" t="s">
        <v>2614</v>
      </c>
      <c r="I1079" s="46" t="s">
        <v>2617</v>
      </c>
      <c r="J1079" s="46" t="s">
        <v>3250</v>
      </c>
      <c r="K1079" s="46" t="s">
        <v>3307</v>
      </c>
      <c r="L1079" s="46">
        <v>44</v>
      </c>
    </row>
    <row r="1080" spans="1:12" x14ac:dyDescent="0.3">
      <c r="A1080" s="46" t="s">
        <v>1089</v>
      </c>
      <c r="B1080" s="46">
        <f>LEN(Table2[[#This Row],[Employee ID]])</f>
        <v>7</v>
      </c>
      <c r="C1080" s="46" t="s">
        <v>2382</v>
      </c>
      <c r="D1080" s="47">
        <v>26246</v>
      </c>
      <c r="E1080" s="47">
        <v>38233</v>
      </c>
      <c r="F1080" s="46" t="s">
        <v>2599</v>
      </c>
      <c r="G1080" s="46">
        <v>127121</v>
      </c>
      <c r="H1080" s="46" t="s">
        <v>2606</v>
      </c>
      <c r="I1080" s="46" t="s">
        <v>2616</v>
      </c>
      <c r="J1080" s="46" t="s">
        <v>2858</v>
      </c>
      <c r="K1080" s="46" t="s">
        <v>3306</v>
      </c>
      <c r="L1080" s="46">
        <v>21</v>
      </c>
    </row>
    <row r="1081" spans="1:12" x14ac:dyDescent="0.3">
      <c r="A1081" s="46" t="s">
        <v>1090</v>
      </c>
      <c r="B1081" s="46">
        <f>LEN(Table2[[#This Row],[Employee ID]])</f>
        <v>7</v>
      </c>
      <c r="C1081" s="46" t="s">
        <v>2383</v>
      </c>
      <c r="D1081" s="47">
        <v>21714</v>
      </c>
      <c r="E1081" s="47">
        <v>26848</v>
      </c>
      <c r="F1081" s="46" t="s">
        <v>2600</v>
      </c>
      <c r="G1081" s="46">
        <v>34904</v>
      </c>
      <c r="H1081" s="46" t="s">
        <v>2606</v>
      </c>
      <c r="I1081" s="46" t="s">
        <v>2617</v>
      </c>
      <c r="J1081" s="46" t="s">
        <v>3251</v>
      </c>
      <c r="K1081" s="46" t="s">
        <v>3307</v>
      </c>
      <c r="L1081" s="46">
        <v>52</v>
      </c>
    </row>
    <row r="1082" spans="1:12" x14ac:dyDescent="0.3">
      <c r="A1082" s="46" t="s">
        <v>1091</v>
      </c>
      <c r="B1082" s="46">
        <f>LEN(Table2[[#This Row],[Employee ID]])</f>
        <v>7</v>
      </c>
      <c r="C1082" s="46" t="s">
        <v>2384</v>
      </c>
      <c r="D1082" s="47">
        <v>36546</v>
      </c>
      <c r="E1082" s="47">
        <v>41875</v>
      </c>
      <c r="F1082" s="46" t="s">
        <v>2601</v>
      </c>
      <c r="G1082" s="46">
        <v>69067</v>
      </c>
      <c r="H1082" s="46" t="s">
        <v>2614</v>
      </c>
      <c r="I1082" s="46" t="s">
        <v>2617</v>
      </c>
      <c r="J1082" s="46" t="s">
        <v>3120</v>
      </c>
      <c r="K1082" s="46" t="s">
        <v>3307</v>
      </c>
      <c r="L1082" s="46">
        <v>11</v>
      </c>
    </row>
    <row r="1083" spans="1:12" x14ac:dyDescent="0.3">
      <c r="A1083" s="46" t="s">
        <v>1092</v>
      </c>
      <c r="B1083" s="46">
        <f>LEN(Table2[[#This Row],[Employee ID]])</f>
        <v>7</v>
      </c>
      <c r="C1083" s="46" t="s">
        <v>2385</v>
      </c>
      <c r="D1083" s="47">
        <v>31859</v>
      </c>
      <c r="E1083" s="47">
        <v>36529</v>
      </c>
      <c r="F1083" s="46" t="s">
        <v>2605</v>
      </c>
      <c r="G1083" s="46">
        <v>63594</v>
      </c>
      <c r="H1083" s="46" t="s">
        <v>2608</v>
      </c>
      <c r="I1083" s="46" t="s">
        <v>2617</v>
      </c>
      <c r="J1083" s="46" t="s">
        <v>3126</v>
      </c>
      <c r="K1083" s="46" t="s">
        <v>3310</v>
      </c>
      <c r="L1083" s="46">
        <v>25</v>
      </c>
    </row>
    <row r="1084" spans="1:12" x14ac:dyDescent="0.3">
      <c r="A1084" s="46" t="s">
        <v>1093</v>
      </c>
      <c r="B1084" s="46">
        <f>LEN(Table2[[#This Row],[Employee ID]])</f>
        <v>7</v>
      </c>
      <c r="C1084" s="46" t="s">
        <v>2386</v>
      </c>
      <c r="D1084" s="47">
        <v>24385</v>
      </c>
      <c r="E1084" s="47">
        <v>39033</v>
      </c>
      <c r="F1084" s="46" t="s">
        <v>2599</v>
      </c>
      <c r="G1084" s="46">
        <v>198015</v>
      </c>
      <c r="H1084" s="46" t="s">
        <v>2610</v>
      </c>
      <c r="I1084" s="46" t="s">
        <v>2617</v>
      </c>
      <c r="J1084" s="46" t="s">
        <v>2712</v>
      </c>
      <c r="K1084" s="46" t="s">
        <v>3307</v>
      </c>
      <c r="L1084" s="46">
        <v>19</v>
      </c>
    </row>
    <row r="1085" spans="1:12" x14ac:dyDescent="0.3">
      <c r="A1085" s="46" t="s">
        <v>1094</v>
      </c>
      <c r="B1085" s="46">
        <f>LEN(Table2[[#This Row],[Employee ID]])</f>
        <v>7</v>
      </c>
      <c r="C1085" s="46" t="s">
        <v>2387</v>
      </c>
      <c r="D1085" s="47">
        <v>21678</v>
      </c>
      <c r="E1085" s="47">
        <v>31181</v>
      </c>
      <c r="F1085" s="46" t="s">
        <v>2599</v>
      </c>
      <c r="G1085" s="46">
        <v>197711</v>
      </c>
      <c r="H1085" s="46" t="s">
        <v>2615</v>
      </c>
      <c r="I1085" s="46" t="s">
        <v>2617</v>
      </c>
      <c r="J1085" s="46" t="s">
        <v>2827</v>
      </c>
      <c r="K1085" s="46" t="s">
        <v>3304</v>
      </c>
      <c r="L1085" s="46">
        <v>40</v>
      </c>
    </row>
    <row r="1086" spans="1:12" x14ac:dyDescent="0.3">
      <c r="A1086" s="46" t="s">
        <v>1095</v>
      </c>
      <c r="B1086" s="46">
        <f>LEN(Table2[[#This Row],[Employee ID]])</f>
        <v>7</v>
      </c>
      <c r="C1086" s="46" t="s">
        <v>2388</v>
      </c>
      <c r="D1086" s="47">
        <v>29986</v>
      </c>
      <c r="E1086" s="47">
        <v>39764</v>
      </c>
      <c r="F1086" s="46" t="s">
        <v>2603</v>
      </c>
      <c r="G1086" s="46">
        <v>126954</v>
      </c>
      <c r="H1086" s="46" t="s">
        <v>2611</v>
      </c>
      <c r="I1086" s="46" t="s">
        <v>2616</v>
      </c>
      <c r="J1086" s="46" t="s">
        <v>3127</v>
      </c>
      <c r="K1086" s="46" t="s">
        <v>3308</v>
      </c>
      <c r="L1086" s="46">
        <v>17</v>
      </c>
    </row>
    <row r="1087" spans="1:12" x14ac:dyDescent="0.3">
      <c r="A1087" s="46" t="s">
        <v>1096</v>
      </c>
      <c r="B1087" s="46">
        <f>LEN(Table2[[#This Row],[Employee ID]])</f>
        <v>7</v>
      </c>
      <c r="C1087" s="46" t="s">
        <v>2389</v>
      </c>
      <c r="D1087" s="47">
        <v>28143</v>
      </c>
      <c r="E1087" s="47">
        <v>27573</v>
      </c>
      <c r="F1087" s="46" t="s">
        <v>2602</v>
      </c>
      <c r="G1087" s="46">
        <v>84147</v>
      </c>
      <c r="H1087" s="46" t="s">
        <v>2610</v>
      </c>
      <c r="I1087" s="46" t="s">
        <v>2616</v>
      </c>
      <c r="J1087" s="46" t="s">
        <v>3252</v>
      </c>
      <c r="K1087" s="46" t="s">
        <v>3306</v>
      </c>
      <c r="L1087" s="46">
        <v>50</v>
      </c>
    </row>
    <row r="1088" spans="1:12" x14ac:dyDescent="0.3">
      <c r="A1088" s="46" t="s">
        <v>1097</v>
      </c>
      <c r="B1088" s="46">
        <f>LEN(Table2[[#This Row],[Employee ID]])</f>
        <v>7</v>
      </c>
      <c r="C1088" s="46" t="s">
        <v>2390</v>
      </c>
      <c r="D1088" s="47">
        <v>31857</v>
      </c>
      <c r="E1088" s="47">
        <v>41800</v>
      </c>
      <c r="F1088" s="46" t="s">
        <v>2600</v>
      </c>
      <c r="G1088" s="46">
        <v>129936</v>
      </c>
      <c r="H1088" s="46" t="s">
        <v>2611</v>
      </c>
      <c r="I1088" s="46" t="s">
        <v>2617</v>
      </c>
      <c r="J1088" s="46" t="s">
        <v>3253</v>
      </c>
      <c r="K1088" s="46" t="s">
        <v>3308</v>
      </c>
      <c r="L1088" s="46">
        <v>11</v>
      </c>
    </row>
    <row r="1089" spans="1:12" x14ac:dyDescent="0.3">
      <c r="A1089" s="46" t="s">
        <v>1098</v>
      </c>
      <c r="B1089" s="46">
        <f>LEN(Table2[[#This Row],[Employee ID]])</f>
        <v>7</v>
      </c>
      <c r="C1089" s="46" t="s">
        <v>2391</v>
      </c>
      <c r="D1089" s="47">
        <v>27237</v>
      </c>
      <c r="E1089" s="47">
        <v>31836</v>
      </c>
      <c r="F1089" s="46" t="s">
        <v>2599</v>
      </c>
      <c r="G1089" s="46">
        <v>163435</v>
      </c>
      <c r="H1089" s="46" t="s">
        <v>2613</v>
      </c>
      <c r="I1089" s="46" t="s">
        <v>2616</v>
      </c>
      <c r="J1089" s="46" t="s">
        <v>3254</v>
      </c>
      <c r="K1089" s="46" t="s">
        <v>3308</v>
      </c>
      <c r="L1089" s="46">
        <v>38</v>
      </c>
    </row>
    <row r="1090" spans="1:12" x14ac:dyDescent="0.3">
      <c r="A1090" s="46" t="s">
        <v>1099</v>
      </c>
      <c r="B1090" s="46">
        <f>LEN(Table2[[#This Row],[Employee ID]])</f>
        <v>7</v>
      </c>
      <c r="C1090" s="46" t="s">
        <v>2392</v>
      </c>
      <c r="D1090" s="47">
        <v>37523</v>
      </c>
      <c r="E1090" s="47">
        <v>34674</v>
      </c>
      <c r="F1090" s="46" t="s">
        <v>2602</v>
      </c>
      <c r="G1090" s="46">
        <v>58501</v>
      </c>
      <c r="H1090" s="46" t="s">
        <v>2612</v>
      </c>
      <c r="I1090" s="46" t="s">
        <v>2617</v>
      </c>
      <c r="J1090" s="46" t="s">
        <v>3110</v>
      </c>
      <c r="K1090" s="46" t="s">
        <v>3310</v>
      </c>
      <c r="L1090" s="46">
        <v>31</v>
      </c>
    </row>
    <row r="1091" spans="1:12" x14ac:dyDescent="0.3">
      <c r="A1091" s="46" t="s">
        <v>1100</v>
      </c>
      <c r="B1091" s="46">
        <f>LEN(Table2[[#This Row],[Employee ID]])</f>
        <v>7</v>
      </c>
      <c r="C1091" s="46" t="s">
        <v>2393</v>
      </c>
      <c r="D1091" s="47">
        <v>34597</v>
      </c>
      <c r="E1091" s="47">
        <v>33086</v>
      </c>
      <c r="F1091" s="46" t="s">
        <v>2605</v>
      </c>
      <c r="G1091" s="46">
        <v>77919</v>
      </c>
      <c r="H1091" s="46" t="s">
        <v>2609</v>
      </c>
      <c r="I1091" s="46" t="s">
        <v>2617</v>
      </c>
      <c r="J1091" s="46" t="s">
        <v>3157</v>
      </c>
      <c r="K1091" s="46" t="s">
        <v>3305</v>
      </c>
      <c r="L1091" s="46">
        <v>35</v>
      </c>
    </row>
    <row r="1092" spans="1:12" x14ac:dyDescent="0.3">
      <c r="A1092" s="46" t="s">
        <v>1101</v>
      </c>
      <c r="B1092" s="46">
        <f>LEN(Table2[[#This Row],[Employee ID]])</f>
        <v>7</v>
      </c>
      <c r="C1092" s="46" t="s">
        <v>2394</v>
      </c>
      <c r="D1092" s="47">
        <v>25065</v>
      </c>
      <c r="E1092" s="47">
        <v>28557</v>
      </c>
      <c r="F1092" s="46" t="s">
        <v>2600</v>
      </c>
      <c r="G1092" s="46">
        <v>134532</v>
      </c>
      <c r="H1092" s="46" t="s">
        <v>2607</v>
      </c>
      <c r="I1092" s="46" t="s">
        <v>2616</v>
      </c>
      <c r="J1092" s="46" t="s">
        <v>3255</v>
      </c>
      <c r="K1092" s="46" t="s">
        <v>3305</v>
      </c>
      <c r="L1092" s="46">
        <v>47</v>
      </c>
    </row>
    <row r="1093" spans="1:12" x14ac:dyDescent="0.3">
      <c r="A1093" s="46" t="s">
        <v>1102</v>
      </c>
      <c r="B1093" s="46">
        <f>LEN(Table2[[#This Row],[Employee ID]])</f>
        <v>7</v>
      </c>
      <c r="C1093" s="46" t="s">
        <v>2395</v>
      </c>
      <c r="D1093" s="47">
        <v>24329</v>
      </c>
      <c r="E1093" s="47">
        <v>33100</v>
      </c>
      <c r="F1093" s="46" t="s">
        <v>2601</v>
      </c>
      <c r="G1093" s="46">
        <v>36563</v>
      </c>
      <c r="H1093" s="46" t="s">
        <v>2613</v>
      </c>
      <c r="I1093" s="46" t="s">
        <v>2616</v>
      </c>
      <c r="J1093" s="46" t="s">
        <v>3256</v>
      </c>
      <c r="K1093" s="46" t="s">
        <v>3309</v>
      </c>
      <c r="L1093" s="46">
        <v>35</v>
      </c>
    </row>
    <row r="1094" spans="1:12" x14ac:dyDescent="0.3">
      <c r="A1094" s="46" t="s">
        <v>1103</v>
      </c>
      <c r="B1094" s="46">
        <f>LEN(Table2[[#This Row],[Employee ID]])</f>
        <v>7</v>
      </c>
      <c r="C1094" s="46" t="s">
        <v>2396</v>
      </c>
      <c r="D1094" s="47">
        <v>22742</v>
      </c>
      <c r="E1094" s="47">
        <v>39105</v>
      </c>
      <c r="F1094" s="46" t="s">
        <v>2600</v>
      </c>
      <c r="G1094" s="46">
        <v>113420</v>
      </c>
      <c r="H1094" s="46" t="s">
        <v>2612</v>
      </c>
      <c r="I1094" s="46" t="s">
        <v>2616</v>
      </c>
      <c r="J1094" s="46" t="s">
        <v>2716</v>
      </c>
      <c r="K1094" s="46" t="s">
        <v>3305</v>
      </c>
      <c r="L1094" s="46">
        <v>18</v>
      </c>
    </row>
    <row r="1095" spans="1:12" x14ac:dyDescent="0.3">
      <c r="A1095" s="46" t="s">
        <v>1104</v>
      </c>
      <c r="B1095" s="46">
        <f>LEN(Table2[[#This Row],[Employee ID]])</f>
        <v>7</v>
      </c>
      <c r="C1095" s="46" t="s">
        <v>2397</v>
      </c>
      <c r="D1095" s="47">
        <v>34453</v>
      </c>
      <c r="E1095" s="47">
        <v>34264</v>
      </c>
      <c r="F1095" s="46" t="s">
        <v>2600</v>
      </c>
      <c r="G1095" s="46">
        <v>110126</v>
      </c>
      <c r="H1095" s="46" t="s">
        <v>2609</v>
      </c>
      <c r="I1095" s="46" t="s">
        <v>2617</v>
      </c>
      <c r="J1095" s="46" t="s">
        <v>3257</v>
      </c>
      <c r="K1095" s="46" t="s">
        <v>3308</v>
      </c>
      <c r="L1095" s="46">
        <v>32</v>
      </c>
    </row>
    <row r="1096" spans="1:12" x14ac:dyDescent="0.3">
      <c r="A1096" s="46" t="s">
        <v>1105</v>
      </c>
      <c r="B1096" s="46">
        <f>LEN(Table2[[#This Row],[Employee ID]])</f>
        <v>7</v>
      </c>
      <c r="C1096" s="46" t="s">
        <v>2398</v>
      </c>
      <c r="D1096" s="47">
        <v>21898</v>
      </c>
      <c r="E1096" s="47">
        <v>26471</v>
      </c>
      <c r="F1096" s="46" t="s">
        <v>2605</v>
      </c>
      <c r="G1096" s="46">
        <v>85929</v>
      </c>
      <c r="H1096" s="46" t="s">
        <v>2609</v>
      </c>
      <c r="I1096" s="46" t="s">
        <v>2616</v>
      </c>
      <c r="J1096" s="46" t="s">
        <v>3258</v>
      </c>
      <c r="K1096" s="46" t="s">
        <v>3305</v>
      </c>
      <c r="L1096" s="46">
        <v>53</v>
      </c>
    </row>
    <row r="1097" spans="1:12" x14ac:dyDescent="0.3">
      <c r="A1097" s="46" t="s">
        <v>1106</v>
      </c>
      <c r="B1097" s="46">
        <f>LEN(Table2[[#This Row],[Employee ID]])</f>
        <v>7</v>
      </c>
      <c r="C1097" s="46" t="s">
        <v>2399</v>
      </c>
      <c r="D1097" s="47">
        <v>28147</v>
      </c>
      <c r="E1097" s="47">
        <v>40107</v>
      </c>
      <c r="F1097" s="46" t="s">
        <v>2603</v>
      </c>
      <c r="G1097" s="46">
        <v>24886</v>
      </c>
      <c r="H1097" s="46" t="s">
        <v>2608</v>
      </c>
      <c r="I1097" s="46" t="s">
        <v>2616</v>
      </c>
      <c r="J1097" s="46" t="s">
        <v>2721</v>
      </c>
      <c r="K1097" s="46" t="s">
        <v>3306</v>
      </c>
      <c r="L1097" s="46">
        <v>16</v>
      </c>
    </row>
    <row r="1098" spans="1:12" x14ac:dyDescent="0.3">
      <c r="A1098" s="46" t="s">
        <v>1107</v>
      </c>
      <c r="B1098" s="46">
        <f>LEN(Table2[[#This Row],[Employee ID]])</f>
        <v>7</v>
      </c>
      <c r="C1098" s="46" t="s">
        <v>2400</v>
      </c>
      <c r="D1098" s="47">
        <v>30122</v>
      </c>
      <c r="E1098" s="47">
        <v>26536</v>
      </c>
      <c r="F1098" s="46" t="s">
        <v>2605</v>
      </c>
      <c r="G1098" s="46">
        <v>82379</v>
      </c>
      <c r="H1098" s="46" t="s">
        <v>2612</v>
      </c>
      <c r="I1098" s="46" t="s">
        <v>2616</v>
      </c>
      <c r="J1098" s="46" t="s">
        <v>3259</v>
      </c>
      <c r="K1098" s="46" t="s">
        <v>3305</v>
      </c>
      <c r="L1098" s="46">
        <v>53</v>
      </c>
    </row>
    <row r="1099" spans="1:12" x14ac:dyDescent="0.3">
      <c r="A1099" s="46" t="s">
        <v>1108</v>
      </c>
      <c r="B1099" s="46">
        <f>LEN(Table2[[#This Row],[Employee ID]])</f>
        <v>7</v>
      </c>
      <c r="C1099" s="46" t="s">
        <v>2401</v>
      </c>
      <c r="D1099" s="47">
        <v>28308</v>
      </c>
      <c r="E1099" s="47">
        <v>31224</v>
      </c>
      <c r="F1099" s="46" t="s">
        <v>2603</v>
      </c>
      <c r="G1099" s="46">
        <v>76515</v>
      </c>
      <c r="H1099" s="46" t="s">
        <v>2610</v>
      </c>
      <c r="I1099" s="46" t="s">
        <v>2616</v>
      </c>
      <c r="J1099" s="46" t="s">
        <v>3260</v>
      </c>
      <c r="K1099" s="46" t="s">
        <v>3310</v>
      </c>
      <c r="L1099" s="46">
        <v>40</v>
      </c>
    </row>
    <row r="1100" spans="1:12" x14ac:dyDescent="0.3">
      <c r="A1100" s="46" t="s">
        <v>1109</v>
      </c>
      <c r="B1100" s="46">
        <f>LEN(Table2[[#This Row],[Employee ID]])</f>
        <v>7</v>
      </c>
      <c r="C1100" s="46" t="s">
        <v>2402</v>
      </c>
      <c r="D1100" s="47">
        <v>22872</v>
      </c>
      <c r="E1100" s="47">
        <v>36778</v>
      </c>
      <c r="F1100" s="46" t="s">
        <v>2599</v>
      </c>
      <c r="G1100" s="46">
        <v>27631</v>
      </c>
      <c r="H1100" s="46" t="s">
        <v>2610</v>
      </c>
      <c r="I1100" s="46" t="s">
        <v>2617</v>
      </c>
      <c r="J1100" s="46" t="s">
        <v>2638</v>
      </c>
      <c r="K1100" s="46" t="s">
        <v>3305</v>
      </c>
      <c r="L1100" s="46">
        <v>25</v>
      </c>
    </row>
    <row r="1101" spans="1:12" x14ac:dyDescent="0.3">
      <c r="A1101" s="46" t="s">
        <v>1110</v>
      </c>
      <c r="B1101" s="46">
        <f>LEN(Table2[[#This Row],[Employee ID]])</f>
        <v>7</v>
      </c>
      <c r="C1101" s="46" t="s">
        <v>2403</v>
      </c>
      <c r="D1101" s="47">
        <v>35146</v>
      </c>
      <c r="E1101" s="47">
        <v>39874</v>
      </c>
      <c r="F1101" s="46" t="s">
        <v>2601</v>
      </c>
      <c r="G1101" s="46">
        <v>155045</v>
      </c>
      <c r="H1101" s="46" t="s">
        <v>2611</v>
      </c>
      <c r="I1101" s="46" t="s">
        <v>2616</v>
      </c>
      <c r="J1101" s="46" t="s">
        <v>3261</v>
      </c>
      <c r="K1101" s="46" t="s">
        <v>3307</v>
      </c>
      <c r="L1101" s="46">
        <v>16</v>
      </c>
    </row>
    <row r="1102" spans="1:12" x14ac:dyDescent="0.3">
      <c r="A1102" s="46" t="s">
        <v>1111</v>
      </c>
      <c r="B1102" s="46">
        <f>LEN(Table2[[#This Row],[Employee ID]])</f>
        <v>7</v>
      </c>
      <c r="C1102" s="46" t="s">
        <v>2404</v>
      </c>
      <c r="D1102" s="47">
        <v>31459</v>
      </c>
      <c r="E1102" s="47">
        <v>34949</v>
      </c>
      <c r="F1102" s="46" t="s">
        <v>2600</v>
      </c>
      <c r="G1102" s="46">
        <v>118621</v>
      </c>
      <c r="H1102" s="46" t="s">
        <v>2610</v>
      </c>
      <c r="I1102" s="46" t="s">
        <v>2616</v>
      </c>
      <c r="J1102" s="46" t="s">
        <v>3262</v>
      </c>
      <c r="K1102" s="46" t="s">
        <v>3305</v>
      </c>
      <c r="L1102" s="46">
        <v>30</v>
      </c>
    </row>
    <row r="1103" spans="1:12" x14ac:dyDescent="0.3">
      <c r="A1103" s="46" t="s">
        <v>1112</v>
      </c>
      <c r="B1103" s="46">
        <f>LEN(Table2[[#This Row],[Employee ID]])</f>
        <v>7</v>
      </c>
      <c r="C1103" s="46" t="s">
        <v>2405</v>
      </c>
      <c r="D1103" s="47">
        <v>27873</v>
      </c>
      <c r="E1103" s="47">
        <v>42045</v>
      </c>
      <c r="F1103" s="46" t="s">
        <v>2603</v>
      </c>
      <c r="G1103" s="46">
        <v>120149</v>
      </c>
      <c r="H1103" s="46" t="s">
        <v>2613</v>
      </c>
      <c r="I1103" s="46" t="s">
        <v>2616</v>
      </c>
      <c r="J1103" s="46" t="s">
        <v>2689</v>
      </c>
      <c r="K1103" s="46" t="s">
        <v>3306</v>
      </c>
      <c r="L1103" s="46">
        <v>10</v>
      </c>
    </row>
    <row r="1104" spans="1:12" x14ac:dyDescent="0.3">
      <c r="A1104" s="46" t="s">
        <v>1113</v>
      </c>
      <c r="B1104" s="46">
        <f>LEN(Table2[[#This Row],[Employee ID]])</f>
        <v>7</v>
      </c>
      <c r="C1104" s="46" t="s">
        <v>2406</v>
      </c>
      <c r="D1104" s="47">
        <v>32371</v>
      </c>
      <c r="E1104" s="47">
        <v>33758</v>
      </c>
      <c r="F1104" s="46" t="s">
        <v>2605</v>
      </c>
      <c r="G1104" s="46">
        <v>106253</v>
      </c>
      <c r="H1104" s="46" t="s">
        <v>2611</v>
      </c>
      <c r="I1104" s="46" t="s">
        <v>2616</v>
      </c>
      <c r="J1104" s="46" t="s">
        <v>2935</v>
      </c>
      <c r="K1104" s="46" t="s">
        <v>3307</v>
      </c>
      <c r="L1104" s="46">
        <v>33</v>
      </c>
    </row>
    <row r="1105" spans="1:12" x14ac:dyDescent="0.3">
      <c r="A1105" s="46" t="s">
        <v>1114</v>
      </c>
      <c r="B1105" s="46">
        <f>LEN(Table2[[#This Row],[Employee ID]])</f>
        <v>7</v>
      </c>
      <c r="C1105" s="46" t="s">
        <v>2407</v>
      </c>
      <c r="D1105" s="47">
        <v>32653</v>
      </c>
      <c r="E1105" s="47">
        <v>27351</v>
      </c>
      <c r="F1105" s="46" t="s">
        <v>2599</v>
      </c>
      <c r="G1105" s="46">
        <v>87922</v>
      </c>
      <c r="H1105" s="46" t="s">
        <v>2614</v>
      </c>
      <c r="I1105" s="46" t="s">
        <v>2616</v>
      </c>
      <c r="J1105" s="46" t="s">
        <v>3153</v>
      </c>
      <c r="K1105" s="46" t="s">
        <v>3310</v>
      </c>
      <c r="L1105" s="46">
        <v>51</v>
      </c>
    </row>
    <row r="1106" spans="1:12" x14ac:dyDescent="0.3">
      <c r="A1106" s="46" t="s">
        <v>1115</v>
      </c>
      <c r="B1106" s="46">
        <f>LEN(Table2[[#This Row],[Employee ID]])</f>
        <v>7</v>
      </c>
      <c r="C1106" s="46" t="s">
        <v>2408</v>
      </c>
      <c r="D1106" s="47">
        <v>23622</v>
      </c>
      <c r="E1106" s="47">
        <v>27403</v>
      </c>
      <c r="F1106" s="46" t="s">
        <v>2603</v>
      </c>
      <c r="G1106" s="46">
        <v>67188</v>
      </c>
      <c r="H1106" s="46" t="s">
        <v>2611</v>
      </c>
      <c r="I1106" s="46" t="s">
        <v>2617</v>
      </c>
      <c r="J1106" s="46" t="s">
        <v>3263</v>
      </c>
      <c r="K1106" s="46" t="s">
        <v>3310</v>
      </c>
      <c r="L1106" s="46">
        <v>50</v>
      </c>
    </row>
    <row r="1107" spans="1:12" x14ac:dyDescent="0.3">
      <c r="A1107" s="46" t="s">
        <v>1116</v>
      </c>
      <c r="B1107" s="46">
        <f>LEN(Table2[[#This Row],[Employee ID]])</f>
        <v>7</v>
      </c>
      <c r="C1107" s="46" t="s">
        <v>2409</v>
      </c>
      <c r="D1107" s="47">
        <v>23051</v>
      </c>
      <c r="E1107" s="47">
        <v>32745</v>
      </c>
      <c r="F1107" s="46" t="s">
        <v>2601</v>
      </c>
      <c r="G1107" s="46">
        <v>81184</v>
      </c>
      <c r="H1107" s="46" t="s">
        <v>2613</v>
      </c>
      <c r="I1107" s="46" t="s">
        <v>2617</v>
      </c>
      <c r="J1107" s="46" t="s">
        <v>3193</v>
      </c>
      <c r="K1107" s="46" t="s">
        <v>3307</v>
      </c>
      <c r="L1107" s="46">
        <v>36</v>
      </c>
    </row>
    <row r="1108" spans="1:12" x14ac:dyDescent="0.3">
      <c r="A1108" s="46" t="s">
        <v>1117</v>
      </c>
      <c r="B1108" s="46">
        <f>LEN(Table2[[#This Row],[Employee ID]])</f>
        <v>7</v>
      </c>
      <c r="C1108" s="46" t="s">
        <v>2410</v>
      </c>
      <c r="D1108" s="47">
        <v>31602</v>
      </c>
      <c r="E1108" s="47">
        <v>42691</v>
      </c>
      <c r="F1108" s="46" t="s">
        <v>2600</v>
      </c>
      <c r="G1108" s="46">
        <v>80279</v>
      </c>
      <c r="H1108" s="46" t="s">
        <v>2613</v>
      </c>
      <c r="I1108" s="46" t="s">
        <v>2616</v>
      </c>
      <c r="J1108" s="46" t="s">
        <v>2667</v>
      </c>
      <c r="K1108" s="46" t="s">
        <v>3304</v>
      </c>
      <c r="L1108" s="46">
        <v>9</v>
      </c>
    </row>
    <row r="1109" spans="1:12" x14ac:dyDescent="0.3">
      <c r="A1109" s="46" t="s">
        <v>1118</v>
      </c>
      <c r="B1109" s="46">
        <f>LEN(Table2[[#This Row],[Employee ID]])</f>
        <v>7</v>
      </c>
      <c r="C1109" s="46" t="s">
        <v>2411</v>
      </c>
      <c r="D1109" s="47">
        <v>28982</v>
      </c>
      <c r="E1109" s="47">
        <v>26581</v>
      </c>
      <c r="F1109" s="46" t="s">
        <v>2605</v>
      </c>
      <c r="G1109" s="46">
        <v>119139</v>
      </c>
      <c r="H1109" s="46" t="s">
        <v>2611</v>
      </c>
      <c r="I1109" s="46" t="s">
        <v>2617</v>
      </c>
      <c r="J1109" s="46" t="s">
        <v>2931</v>
      </c>
      <c r="K1109" s="46" t="s">
        <v>3305</v>
      </c>
      <c r="L1109" s="46">
        <v>53</v>
      </c>
    </row>
    <row r="1110" spans="1:12" x14ac:dyDescent="0.3">
      <c r="A1110" s="46" t="s">
        <v>1119</v>
      </c>
      <c r="B1110" s="46">
        <f>LEN(Table2[[#This Row],[Employee ID]])</f>
        <v>7</v>
      </c>
      <c r="C1110" s="46" t="s">
        <v>2412</v>
      </c>
      <c r="D1110" s="47">
        <v>35270</v>
      </c>
      <c r="E1110" s="47">
        <v>30661</v>
      </c>
      <c r="F1110" s="46" t="s">
        <v>2601</v>
      </c>
      <c r="G1110" s="46">
        <v>139590</v>
      </c>
      <c r="H1110" s="46" t="s">
        <v>2611</v>
      </c>
      <c r="I1110" s="46" t="s">
        <v>2617</v>
      </c>
      <c r="J1110" s="46" t="s">
        <v>2889</v>
      </c>
      <c r="K1110" s="46" t="s">
        <v>3307</v>
      </c>
      <c r="L1110" s="46">
        <v>42</v>
      </c>
    </row>
    <row r="1111" spans="1:12" x14ac:dyDescent="0.3">
      <c r="A1111" s="46" t="s">
        <v>1120</v>
      </c>
      <c r="B1111" s="46">
        <f>LEN(Table2[[#This Row],[Employee ID]])</f>
        <v>7</v>
      </c>
      <c r="C1111" s="46" t="s">
        <v>2413</v>
      </c>
      <c r="D1111" s="47">
        <v>27542</v>
      </c>
      <c r="E1111" s="47">
        <v>29482</v>
      </c>
      <c r="F1111" s="46" t="s">
        <v>2600</v>
      </c>
      <c r="G1111" s="46">
        <v>24941</v>
      </c>
      <c r="H1111" s="46" t="s">
        <v>2608</v>
      </c>
      <c r="I1111" s="46" t="s">
        <v>2616</v>
      </c>
      <c r="J1111" s="46" t="s">
        <v>2751</v>
      </c>
      <c r="K1111" s="46" t="s">
        <v>3306</v>
      </c>
      <c r="L1111" s="46">
        <v>45</v>
      </c>
    </row>
    <row r="1112" spans="1:12" x14ac:dyDescent="0.3">
      <c r="A1112" s="46" t="s">
        <v>1121</v>
      </c>
      <c r="B1112" s="46">
        <f>LEN(Table2[[#This Row],[Employee ID]])</f>
        <v>7</v>
      </c>
      <c r="C1112" s="46" t="s">
        <v>2414</v>
      </c>
      <c r="D1112" s="47">
        <v>27349</v>
      </c>
      <c r="E1112" s="47">
        <v>44163</v>
      </c>
      <c r="F1112" s="46" t="s">
        <v>2600</v>
      </c>
      <c r="G1112" s="46">
        <v>199151</v>
      </c>
      <c r="H1112" s="46" t="s">
        <v>2606</v>
      </c>
      <c r="I1112" s="46" t="s">
        <v>2617</v>
      </c>
      <c r="J1112" s="46" t="s">
        <v>2861</v>
      </c>
      <c r="K1112" s="46" t="s">
        <v>3305</v>
      </c>
      <c r="L1112" s="46">
        <v>5</v>
      </c>
    </row>
    <row r="1113" spans="1:12" x14ac:dyDescent="0.3">
      <c r="A1113" s="46" t="s">
        <v>1122</v>
      </c>
      <c r="B1113" s="46">
        <f>LEN(Table2[[#This Row],[Employee ID]])</f>
        <v>7</v>
      </c>
      <c r="C1113" s="46" t="s">
        <v>2415</v>
      </c>
      <c r="D1113" s="47">
        <v>23381</v>
      </c>
      <c r="E1113" s="47">
        <v>42943</v>
      </c>
      <c r="F1113" s="46" t="s">
        <v>2603</v>
      </c>
      <c r="G1113" s="46">
        <v>160880</v>
      </c>
      <c r="H1113" s="46" t="s">
        <v>2613</v>
      </c>
      <c r="I1113" s="46" t="s">
        <v>2617</v>
      </c>
      <c r="J1113" s="46" t="s">
        <v>3264</v>
      </c>
      <c r="K1113" s="46" t="s">
        <v>3310</v>
      </c>
      <c r="L1113" s="46">
        <v>8</v>
      </c>
    </row>
    <row r="1114" spans="1:12" x14ac:dyDescent="0.3">
      <c r="A1114" s="46" t="s">
        <v>1123</v>
      </c>
      <c r="B1114" s="46">
        <f>LEN(Table2[[#This Row],[Employee ID]])</f>
        <v>7</v>
      </c>
      <c r="C1114" s="46" t="s">
        <v>2416</v>
      </c>
      <c r="D1114" s="47">
        <v>28460</v>
      </c>
      <c r="E1114" s="47">
        <v>43235</v>
      </c>
      <c r="F1114" s="46" t="s">
        <v>2604</v>
      </c>
      <c r="G1114" s="46">
        <v>58775</v>
      </c>
      <c r="H1114" s="46" t="s">
        <v>2610</v>
      </c>
      <c r="I1114" s="46" t="s">
        <v>2616</v>
      </c>
      <c r="J1114" s="46" t="s">
        <v>2666</v>
      </c>
      <c r="K1114" s="46" t="s">
        <v>3310</v>
      </c>
      <c r="L1114" s="46">
        <v>7</v>
      </c>
    </row>
    <row r="1115" spans="1:12" x14ac:dyDescent="0.3">
      <c r="A1115" s="46" t="s">
        <v>1124</v>
      </c>
      <c r="B1115" s="46">
        <f>LEN(Table2[[#This Row],[Employee ID]])</f>
        <v>7</v>
      </c>
      <c r="C1115" s="46" t="s">
        <v>2417</v>
      </c>
      <c r="D1115" s="47">
        <v>23842</v>
      </c>
      <c r="E1115" s="47">
        <v>26300</v>
      </c>
      <c r="F1115" s="46" t="s">
        <v>2599</v>
      </c>
      <c r="G1115" s="46">
        <v>161400</v>
      </c>
      <c r="H1115" s="46" t="s">
        <v>2610</v>
      </c>
      <c r="I1115" s="46" t="s">
        <v>2616</v>
      </c>
      <c r="J1115" s="46" t="s">
        <v>3133</v>
      </c>
      <c r="K1115" s="46" t="s">
        <v>3306</v>
      </c>
      <c r="L1115" s="46">
        <v>53</v>
      </c>
    </row>
    <row r="1116" spans="1:12" x14ac:dyDescent="0.3">
      <c r="A1116" s="46" t="s">
        <v>1125</v>
      </c>
      <c r="B1116" s="46">
        <f>LEN(Table2[[#This Row],[Employee ID]])</f>
        <v>7</v>
      </c>
      <c r="C1116" s="46" t="s">
        <v>2418</v>
      </c>
      <c r="D1116" s="47">
        <v>22297</v>
      </c>
      <c r="E1116" s="47">
        <v>33574</v>
      </c>
      <c r="F1116" s="46" t="s">
        <v>2600</v>
      </c>
      <c r="G1116" s="46">
        <v>162914</v>
      </c>
      <c r="H1116" s="46" t="s">
        <v>2612</v>
      </c>
      <c r="I1116" s="46" t="s">
        <v>2617</v>
      </c>
      <c r="J1116" s="46" t="s">
        <v>3185</v>
      </c>
      <c r="K1116" s="46" t="s">
        <v>3308</v>
      </c>
      <c r="L1116" s="46">
        <v>34</v>
      </c>
    </row>
    <row r="1117" spans="1:12" x14ac:dyDescent="0.3">
      <c r="A1117" s="46" t="s">
        <v>1126</v>
      </c>
      <c r="B1117" s="46">
        <f>LEN(Table2[[#This Row],[Employee ID]])</f>
        <v>7</v>
      </c>
      <c r="C1117" s="46" t="s">
        <v>2419</v>
      </c>
      <c r="D1117" s="47">
        <v>28998</v>
      </c>
      <c r="E1117" s="47">
        <v>39337</v>
      </c>
      <c r="F1117" s="46" t="s">
        <v>2603</v>
      </c>
      <c r="G1117" s="46">
        <v>170261</v>
      </c>
      <c r="H1117" s="46" t="s">
        <v>2608</v>
      </c>
      <c r="I1117" s="46" t="s">
        <v>2616</v>
      </c>
      <c r="J1117" s="46" t="s">
        <v>3189</v>
      </c>
      <c r="K1117" s="46" t="s">
        <v>3310</v>
      </c>
      <c r="L1117" s="46">
        <v>18</v>
      </c>
    </row>
    <row r="1118" spans="1:12" x14ac:dyDescent="0.3">
      <c r="A1118" s="46" t="s">
        <v>1127</v>
      </c>
      <c r="B1118" s="46">
        <f>LEN(Table2[[#This Row],[Employee ID]])</f>
        <v>7</v>
      </c>
      <c r="C1118" s="46" t="s">
        <v>2420</v>
      </c>
      <c r="D1118" s="47">
        <v>30909</v>
      </c>
      <c r="E1118" s="47">
        <v>38057</v>
      </c>
      <c r="F1118" s="46" t="s">
        <v>2603</v>
      </c>
      <c r="G1118" s="46">
        <v>151922</v>
      </c>
      <c r="H1118" s="46" t="s">
        <v>2609</v>
      </c>
      <c r="I1118" s="46" t="s">
        <v>2616</v>
      </c>
      <c r="J1118" s="46" t="s">
        <v>3265</v>
      </c>
      <c r="K1118" s="46" t="s">
        <v>3310</v>
      </c>
      <c r="L1118" s="46">
        <v>21</v>
      </c>
    </row>
    <row r="1119" spans="1:12" x14ac:dyDescent="0.3">
      <c r="A1119" s="46" t="s">
        <v>1128</v>
      </c>
      <c r="B1119" s="46">
        <f>LEN(Table2[[#This Row],[Employee ID]])</f>
        <v>7</v>
      </c>
      <c r="C1119" s="46" t="s">
        <v>2421</v>
      </c>
      <c r="D1119" s="47">
        <v>30433</v>
      </c>
      <c r="E1119" s="47">
        <v>27151</v>
      </c>
      <c r="F1119" s="46" t="s">
        <v>2600</v>
      </c>
      <c r="G1119" s="46">
        <v>77266</v>
      </c>
      <c r="H1119" s="46" t="s">
        <v>2614</v>
      </c>
      <c r="I1119" s="46" t="s">
        <v>2616</v>
      </c>
      <c r="J1119" s="46" t="s">
        <v>2826</v>
      </c>
      <c r="K1119" s="46" t="s">
        <v>3309</v>
      </c>
      <c r="L1119" s="46">
        <v>51</v>
      </c>
    </row>
    <row r="1120" spans="1:12" x14ac:dyDescent="0.3">
      <c r="A1120" s="46" t="s">
        <v>1129</v>
      </c>
      <c r="B1120" s="46">
        <f>LEN(Table2[[#This Row],[Employee ID]])</f>
        <v>7</v>
      </c>
      <c r="C1120" s="46" t="s">
        <v>2422</v>
      </c>
      <c r="D1120" s="47">
        <v>35282</v>
      </c>
      <c r="E1120" s="47">
        <v>29249</v>
      </c>
      <c r="F1120" s="46" t="s">
        <v>2604</v>
      </c>
      <c r="G1120" s="46">
        <v>93385</v>
      </c>
      <c r="H1120" s="46" t="s">
        <v>2610</v>
      </c>
      <c r="I1120" s="46" t="s">
        <v>2617</v>
      </c>
      <c r="J1120" s="46" t="s">
        <v>2983</v>
      </c>
      <c r="K1120" s="46" t="s">
        <v>3307</v>
      </c>
      <c r="L1120" s="46">
        <v>45</v>
      </c>
    </row>
    <row r="1121" spans="1:12" x14ac:dyDescent="0.3">
      <c r="A1121" s="46" t="s">
        <v>1130</v>
      </c>
      <c r="B1121" s="46">
        <f>LEN(Table2[[#This Row],[Employee ID]])</f>
        <v>7</v>
      </c>
      <c r="C1121" s="46" t="s">
        <v>2423</v>
      </c>
      <c r="D1121" s="47">
        <v>23285</v>
      </c>
      <c r="E1121" s="47">
        <v>27120</v>
      </c>
      <c r="F1121" s="46" t="s">
        <v>2600</v>
      </c>
      <c r="G1121" s="46">
        <v>83978</v>
      </c>
      <c r="H1121" s="46" t="s">
        <v>2606</v>
      </c>
      <c r="I1121" s="46" t="s">
        <v>2616</v>
      </c>
      <c r="J1121" s="46" t="s">
        <v>3266</v>
      </c>
      <c r="K1121" s="46" t="s">
        <v>3306</v>
      </c>
      <c r="L1121" s="46">
        <v>51</v>
      </c>
    </row>
    <row r="1122" spans="1:12" x14ac:dyDescent="0.3">
      <c r="A1122" s="46" t="s">
        <v>1131</v>
      </c>
      <c r="B1122" s="46">
        <f>LEN(Table2[[#This Row],[Employee ID]])</f>
        <v>7</v>
      </c>
      <c r="C1122" s="46" t="s">
        <v>2424</v>
      </c>
      <c r="D1122" s="47">
        <v>26975</v>
      </c>
      <c r="E1122" s="47">
        <v>33757</v>
      </c>
      <c r="F1122" s="46" t="s">
        <v>2602</v>
      </c>
      <c r="G1122" s="46">
        <v>49068</v>
      </c>
      <c r="H1122" s="46" t="s">
        <v>2608</v>
      </c>
      <c r="I1122" s="46" t="s">
        <v>2616</v>
      </c>
      <c r="J1122" s="46" t="s">
        <v>2789</v>
      </c>
      <c r="K1122" s="46" t="s">
        <v>3307</v>
      </c>
      <c r="L1122" s="46">
        <v>33</v>
      </c>
    </row>
    <row r="1123" spans="1:12" x14ac:dyDescent="0.3">
      <c r="A1123" s="46" t="s">
        <v>1132</v>
      </c>
      <c r="B1123" s="46">
        <f>LEN(Table2[[#This Row],[Employee ID]])</f>
        <v>7</v>
      </c>
      <c r="C1123" s="46" t="s">
        <v>2425</v>
      </c>
      <c r="D1123" s="47">
        <v>32440</v>
      </c>
      <c r="E1123" s="47">
        <v>41449</v>
      </c>
      <c r="F1123" s="46" t="s">
        <v>2600</v>
      </c>
      <c r="G1123" s="46">
        <v>110974</v>
      </c>
      <c r="H1123" s="46" t="s">
        <v>2613</v>
      </c>
      <c r="I1123" s="46" t="s">
        <v>2617</v>
      </c>
      <c r="J1123" s="46" t="s">
        <v>2789</v>
      </c>
      <c r="K1123" s="46" t="s">
        <v>3308</v>
      </c>
      <c r="L1123" s="46">
        <v>12</v>
      </c>
    </row>
    <row r="1124" spans="1:12" x14ac:dyDescent="0.3">
      <c r="A1124" s="46" t="s">
        <v>1133</v>
      </c>
      <c r="B1124" s="46">
        <f>LEN(Table2[[#This Row],[Employee ID]])</f>
        <v>7</v>
      </c>
      <c r="C1124" s="46" t="s">
        <v>2426</v>
      </c>
      <c r="D1124" s="47">
        <v>35687</v>
      </c>
      <c r="E1124" s="47">
        <v>32018</v>
      </c>
      <c r="F1124" s="46" t="s">
        <v>2605</v>
      </c>
      <c r="G1124" s="46">
        <v>157159</v>
      </c>
      <c r="H1124" s="46" t="s">
        <v>2611</v>
      </c>
      <c r="I1124" s="46" t="s">
        <v>2617</v>
      </c>
      <c r="J1124" s="46" t="s">
        <v>3070</v>
      </c>
      <c r="K1124" s="46" t="s">
        <v>3309</v>
      </c>
      <c r="L1124" s="46">
        <v>38</v>
      </c>
    </row>
    <row r="1125" spans="1:12" x14ac:dyDescent="0.3">
      <c r="A1125" s="46" t="s">
        <v>1134</v>
      </c>
      <c r="B1125" s="46">
        <f>LEN(Table2[[#This Row],[Employee ID]])</f>
        <v>7</v>
      </c>
      <c r="C1125" s="46" t="s">
        <v>2427</v>
      </c>
      <c r="D1125" s="47">
        <v>30560</v>
      </c>
      <c r="E1125" s="47">
        <v>38358</v>
      </c>
      <c r="F1125" s="46" t="s">
        <v>2602</v>
      </c>
      <c r="G1125" s="46">
        <v>139935</v>
      </c>
      <c r="H1125" s="46" t="s">
        <v>2613</v>
      </c>
      <c r="I1125" s="46" t="s">
        <v>2617</v>
      </c>
      <c r="J1125" s="46" t="s">
        <v>3089</v>
      </c>
      <c r="K1125" s="46" t="s">
        <v>3309</v>
      </c>
      <c r="L1125" s="46">
        <v>20</v>
      </c>
    </row>
    <row r="1126" spans="1:12" x14ac:dyDescent="0.3">
      <c r="A1126" s="46" t="s">
        <v>1135</v>
      </c>
      <c r="B1126" s="46">
        <f>LEN(Table2[[#This Row],[Employee ID]])</f>
        <v>7</v>
      </c>
      <c r="C1126" s="46" t="s">
        <v>2428</v>
      </c>
      <c r="D1126" s="47">
        <v>34015</v>
      </c>
      <c r="E1126" s="47">
        <v>28324</v>
      </c>
      <c r="F1126" s="46" t="s">
        <v>2601</v>
      </c>
      <c r="G1126" s="46">
        <v>77362</v>
      </c>
      <c r="H1126" s="46" t="s">
        <v>2611</v>
      </c>
      <c r="I1126" s="46" t="s">
        <v>2616</v>
      </c>
      <c r="J1126" s="46" t="s">
        <v>3007</v>
      </c>
      <c r="K1126" s="46" t="s">
        <v>3305</v>
      </c>
      <c r="L1126" s="46">
        <v>48</v>
      </c>
    </row>
    <row r="1127" spans="1:12" x14ac:dyDescent="0.3">
      <c r="A1127" s="46" t="s">
        <v>1136</v>
      </c>
      <c r="B1127" s="46">
        <f>LEN(Table2[[#This Row],[Employee ID]])</f>
        <v>7</v>
      </c>
      <c r="C1127" s="46" t="s">
        <v>2429</v>
      </c>
      <c r="D1127" s="47">
        <v>23297</v>
      </c>
      <c r="E1127" s="47">
        <v>31978</v>
      </c>
      <c r="F1127" s="46" t="s">
        <v>2601</v>
      </c>
      <c r="G1127" s="46">
        <v>178455</v>
      </c>
      <c r="H1127" s="46" t="s">
        <v>2614</v>
      </c>
      <c r="I1127" s="46" t="s">
        <v>2617</v>
      </c>
      <c r="J1127" s="46" t="s">
        <v>3211</v>
      </c>
      <c r="K1127" s="46" t="s">
        <v>3310</v>
      </c>
      <c r="L1127" s="46">
        <v>38</v>
      </c>
    </row>
    <row r="1128" spans="1:12" x14ac:dyDescent="0.3">
      <c r="A1128" s="46" t="s">
        <v>1137</v>
      </c>
      <c r="B1128" s="46">
        <f>LEN(Table2[[#This Row],[Employee ID]])</f>
        <v>7</v>
      </c>
      <c r="C1128" s="46" t="s">
        <v>2430</v>
      </c>
      <c r="D1128" s="47">
        <v>26685</v>
      </c>
      <c r="E1128" s="47">
        <v>34496</v>
      </c>
      <c r="F1128" s="46" t="s">
        <v>2604</v>
      </c>
      <c r="G1128" s="46">
        <v>34387</v>
      </c>
      <c r="H1128" s="46" t="s">
        <v>2607</v>
      </c>
      <c r="I1128" s="46" t="s">
        <v>2616</v>
      </c>
      <c r="J1128" s="46" t="s">
        <v>3008</v>
      </c>
      <c r="K1128" s="46" t="s">
        <v>3308</v>
      </c>
      <c r="L1128" s="46">
        <v>31</v>
      </c>
    </row>
    <row r="1129" spans="1:12" x14ac:dyDescent="0.3">
      <c r="A1129" s="46" t="s">
        <v>1138</v>
      </c>
      <c r="B1129" s="46">
        <f>LEN(Table2[[#This Row],[Employee ID]])</f>
        <v>7</v>
      </c>
      <c r="C1129" s="46" t="s">
        <v>2431</v>
      </c>
      <c r="D1129" s="47">
        <v>27443</v>
      </c>
      <c r="E1129" s="47">
        <v>44438</v>
      </c>
      <c r="F1129" s="46" t="s">
        <v>2604</v>
      </c>
      <c r="G1129" s="46">
        <v>112007</v>
      </c>
      <c r="H1129" s="46" t="s">
        <v>2608</v>
      </c>
      <c r="I1129" s="46" t="s">
        <v>2617</v>
      </c>
      <c r="J1129" s="46" t="s">
        <v>2923</v>
      </c>
      <c r="K1129" s="46" t="s">
        <v>3307</v>
      </c>
      <c r="L1129" s="46">
        <v>4</v>
      </c>
    </row>
    <row r="1130" spans="1:12" x14ac:dyDescent="0.3">
      <c r="A1130" s="46" t="s">
        <v>1139</v>
      </c>
      <c r="B1130" s="46">
        <f>LEN(Table2[[#This Row],[Employee ID]])</f>
        <v>7</v>
      </c>
      <c r="C1130" s="46" t="s">
        <v>2432</v>
      </c>
      <c r="D1130" s="47">
        <v>27466</v>
      </c>
      <c r="E1130" s="47">
        <v>30406</v>
      </c>
      <c r="F1130" s="46" t="s">
        <v>2604</v>
      </c>
      <c r="G1130" s="46">
        <v>140378</v>
      </c>
      <c r="H1130" s="46" t="s">
        <v>2609</v>
      </c>
      <c r="I1130" s="46" t="s">
        <v>2617</v>
      </c>
      <c r="J1130" s="46" t="s">
        <v>3267</v>
      </c>
      <c r="K1130" s="46" t="s">
        <v>3304</v>
      </c>
      <c r="L1130" s="46">
        <v>42</v>
      </c>
    </row>
    <row r="1131" spans="1:12" x14ac:dyDescent="0.3">
      <c r="A1131" s="46" t="s">
        <v>1140</v>
      </c>
      <c r="B1131" s="46">
        <f>LEN(Table2[[#This Row],[Employee ID]])</f>
        <v>7</v>
      </c>
      <c r="C1131" s="46" t="s">
        <v>2433</v>
      </c>
      <c r="D1131" s="47">
        <v>33272</v>
      </c>
      <c r="E1131" s="47">
        <v>42624</v>
      </c>
      <c r="F1131" s="46" t="s">
        <v>2605</v>
      </c>
      <c r="G1131" s="46">
        <v>126509</v>
      </c>
      <c r="H1131" s="46" t="s">
        <v>2610</v>
      </c>
      <c r="I1131" s="46" t="s">
        <v>2616</v>
      </c>
      <c r="J1131" s="46" t="s">
        <v>2970</v>
      </c>
      <c r="K1131" s="46" t="s">
        <v>3307</v>
      </c>
      <c r="L1131" s="46">
        <v>9</v>
      </c>
    </row>
    <row r="1132" spans="1:12" x14ac:dyDescent="0.3">
      <c r="A1132" s="46" t="s">
        <v>1141</v>
      </c>
      <c r="B1132" s="46">
        <f>LEN(Table2[[#This Row],[Employee ID]])</f>
        <v>7</v>
      </c>
      <c r="C1132" s="46" t="s">
        <v>2434</v>
      </c>
      <c r="D1132" s="47">
        <v>31285</v>
      </c>
      <c r="E1132" s="47">
        <v>29380</v>
      </c>
      <c r="F1132" s="46" t="s">
        <v>2602</v>
      </c>
      <c r="G1132" s="46">
        <v>154195</v>
      </c>
      <c r="H1132" s="46" t="s">
        <v>2615</v>
      </c>
      <c r="I1132" s="46" t="s">
        <v>2616</v>
      </c>
      <c r="J1132" s="46" t="s">
        <v>2656</v>
      </c>
      <c r="K1132" s="46" t="s">
        <v>3306</v>
      </c>
      <c r="L1132" s="46">
        <v>45</v>
      </c>
    </row>
    <row r="1133" spans="1:12" x14ac:dyDescent="0.3">
      <c r="A1133" s="46" t="s">
        <v>1142</v>
      </c>
      <c r="B1133" s="46">
        <f>LEN(Table2[[#This Row],[Employee ID]])</f>
        <v>7</v>
      </c>
      <c r="C1133" s="46" t="s">
        <v>2435</v>
      </c>
      <c r="D1133" s="47">
        <v>22690</v>
      </c>
      <c r="E1133" s="47">
        <v>36219</v>
      </c>
      <c r="F1133" s="46" t="s">
        <v>2599</v>
      </c>
      <c r="G1133" s="46">
        <v>190339</v>
      </c>
      <c r="H1133" s="46" t="s">
        <v>2609</v>
      </c>
      <c r="I1133" s="46" t="s">
        <v>2616</v>
      </c>
      <c r="J1133" s="46" t="s">
        <v>2665</v>
      </c>
      <c r="K1133" s="46" t="s">
        <v>3307</v>
      </c>
      <c r="L1133" s="46">
        <v>26</v>
      </c>
    </row>
    <row r="1134" spans="1:12" x14ac:dyDescent="0.3">
      <c r="A1134" s="46" t="s">
        <v>1143</v>
      </c>
      <c r="B1134" s="46">
        <f>LEN(Table2[[#This Row],[Employee ID]])</f>
        <v>7</v>
      </c>
      <c r="C1134" s="46" t="s">
        <v>2436</v>
      </c>
      <c r="D1134" s="47">
        <v>25557</v>
      </c>
      <c r="E1134" s="47">
        <v>42192</v>
      </c>
      <c r="F1134" s="46" t="s">
        <v>2604</v>
      </c>
      <c r="G1134" s="46">
        <v>73588</v>
      </c>
      <c r="H1134" s="46" t="s">
        <v>2607</v>
      </c>
      <c r="I1134" s="46" t="s">
        <v>2616</v>
      </c>
      <c r="J1134" s="46" t="s">
        <v>3141</v>
      </c>
      <c r="K1134" s="46" t="s">
        <v>3308</v>
      </c>
      <c r="L1134" s="46">
        <v>10</v>
      </c>
    </row>
    <row r="1135" spans="1:12" x14ac:dyDescent="0.3">
      <c r="A1135" s="46" t="s">
        <v>1144</v>
      </c>
      <c r="B1135" s="46">
        <f>LEN(Table2[[#This Row],[Employee ID]])</f>
        <v>7</v>
      </c>
      <c r="C1135" s="46" t="s">
        <v>2437</v>
      </c>
      <c r="D1135" s="47">
        <v>29638</v>
      </c>
      <c r="E1135" s="47">
        <v>34660</v>
      </c>
      <c r="F1135" s="46" t="s">
        <v>2602</v>
      </c>
      <c r="G1135" s="46">
        <v>60333</v>
      </c>
      <c r="H1135" s="46" t="s">
        <v>2614</v>
      </c>
      <c r="I1135" s="46" t="s">
        <v>2616</v>
      </c>
      <c r="J1135" s="46" t="s">
        <v>3268</v>
      </c>
      <c r="K1135" s="46" t="s">
        <v>3304</v>
      </c>
      <c r="L1135" s="46">
        <v>31</v>
      </c>
    </row>
    <row r="1136" spans="1:12" x14ac:dyDescent="0.3">
      <c r="A1136" s="46" t="s">
        <v>1145</v>
      </c>
      <c r="B1136" s="46">
        <f>LEN(Table2[[#This Row],[Employee ID]])</f>
        <v>7</v>
      </c>
      <c r="C1136" s="46" t="s">
        <v>2438</v>
      </c>
      <c r="D1136" s="47">
        <v>24667</v>
      </c>
      <c r="E1136" s="47">
        <v>28344</v>
      </c>
      <c r="F1136" s="46" t="s">
        <v>2601</v>
      </c>
      <c r="G1136" s="46">
        <v>93197</v>
      </c>
      <c r="H1136" s="46" t="s">
        <v>2608</v>
      </c>
      <c r="I1136" s="46" t="s">
        <v>2617</v>
      </c>
      <c r="J1136" s="46" t="s">
        <v>2921</v>
      </c>
      <c r="K1136" s="46" t="s">
        <v>3309</v>
      </c>
      <c r="L1136" s="46">
        <v>48</v>
      </c>
    </row>
    <row r="1137" spans="1:12" x14ac:dyDescent="0.3">
      <c r="A1137" s="46" t="s">
        <v>1146</v>
      </c>
      <c r="B1137" s="46">
        <f>LEN(Table2[[#This Row],[Employee ID]])</f>
        <v>7</v>
      </c>
      <c r="C1137" s="46" t="s">
        <v>2439</v>
      </c>
      <c r="D1137" s="47">
        <v>32481</v>
      </c>
      <c r="E1137" s="47">
        <v>28251</v>
      </c>
      <c r="F1137" s="46" t="s">
        <v>2603</v>
      </c>
      <c r="G1137" s="46">
        <v>24315</v>
      </c>
      <c r="H1137" s="46" t="s">
        <v>2606</v>
      </c>
      <c r="I1137" s="46" t="s">
        <v>2617</v>
      </c>
      <c r="J1137" s="46" t="s">
        <v>2930</v>
      </c>
      <c r="K1137" s="46" t="s">
        <v>3308</v>
      </c>
      <c r="L1137" s="46">
        <v>48</v>
      </c>
    </row>
    <row r="1138" spans="1:12" x14ac:dyDescent="0.3">
      <c r="A1138" s="46" t="s">
        <v>1147</v>
      </c>
      <c r="B1138" s="46">
        <f>LEN(Table2[[#This Row],[Employee ID]])</f>
        <v>7</v>
      </c>
      <c r="C1138" s="46" t="s">
        <v>2440</v>
      </c>
      <c r="D1138" s="47">
        <v>23057</v>
      </c>
      <c r="E1138" s="47">
        <v>35452</v>
      </c>
      <c r="F1138" s="46" t="s">
        <v>2603</v>
      </c>
      <c r="G1138" s="46">
        <v>142631</v>
      </c>
      <c r="H1138" s="46" t="s">
        <v>2611</v>
      </c>
      <c r="I1138" s="46" t="s">
        <v>2617</v>
      </c>
      <c r="J1138" s="46" t="s">
        <v>3269</v>
      </c>
      <c r="K1138" s="46" t="s">
        <v>3304</v>
      </c>
      <c r="L1138" s="46">
        <v>28</v>
      </c>
    </row>
    <row r="1139" spans="1:12" x14ac:dyDescent="0.3">
      <c r="A1139" s="46" t="s">
        <v>1148</v>
      </c>
      <c r="B1139" s="46">
        <f>LEN(Table2[[#This Row],[Employee ID]])</f>
        <v>7</v>
      </c>
      <c r="C1139" s="46" t="s">
        <v>2441</v>
      </c>
      <c r="D1139" s="47">
        <v>35544</v>
      </c>
      <c r="E1139" s="47">
        <v>26125</v>
      </c>
      <c r="F1139" s="46" t="s">
        <v>2600</v>
      </c>
      <c r="G1139" s="46">
        <v>137609</v>
      </c>
      <c r="H1139" s="46" t="s">
        <v>2607</v>
      </c>
      <c r="I1139" s="46" t="s">
        <v>2616</v>
      </c>
      <c r="J1139" s="46" t="s">
        <v>2795</v>
      </c>
      <c r="K1139" s="46" t="s">
        <v>3305</v>
      </c>
      <c r="L1139" s="46">
        <v>54</v>
      </c>
    </row>
    <row r="1140" spans="1:12" x14ac:dyDescent="0.3">
      <c r="A1140" s="46" t="s">
        <v>1149</v>
      </c>
      <c r="B1140" s="46">
        <f>LEN(Table2[[#This Row],[Employee ID]])</f>
        <v>7</v>
      </c>
      <c r="C1140" s="46" t="s">
        <v>2442</v>
      </c>
      <c r="D1140" s="47">
        <v>25082</v>
      </c>
      <c r="E1140" s="47">
        <v>32732</v>
      </c>
      <c r="F1140" s="46" t="s">
        <v>2604</v>
      </c>
      <c r="G1140" s="46">
        <v>194559</v>
      </c>
      <c r="H1140" s="46" t="s">
        <v>2608</v>
      </c>
      <c r="I1140" s="46" t="s">
        <v>2617</v>
      </c>
      <c r="J1140" s="46" t="s">
        <v>3088</v>
      </c>
      <c r="K1140" s="46" t="s">
        <v>3305</v>
      </c>
      <c r="L1140" s="46">
        <v>36</v>
      </c>
    </row>
    <row r="1141" spans="1:12" x14ac:dyDescent="0.3">
      <c r="A1141" s="46" t="s">
        <v>1150</v>
      </c>
      <c r="B1141" s="46">
        <f>LEN(Table2[[#This Row],[Employee ID]])</f>
        <v>7</v>
      </c>
      <c r="C1141" s="46" t="s">
        <v>2443</v>
      </c>
      <c r="D1141" s="47">
        <v>21809</v>
      </c>
      <c r="E1141" s="47">
        <v>42291</v>
      </c>
      <c r="F1141" s="46" t="s">
        <v>2605</v>
      </c>
      <c r="G1141" s="46">
        <v>70059</v>
      </c>
      <c r="H1141" s="46" t="s">
        <v>2613</v>
      </c>
      <c r="I1141" s="46" t="s">
        <v>2616</v>
      </c>
      <c r="J1141" s="46" t="s">
        <v>3270</v>
      </c>
      <c r="K1141" s="46" t="s">
        <v>3310</v>
      </c>
      <c r="L1141" s="46">
        <v>10</v>
      </c>
    </row>
    <row r="1142" spans="1:12" x14ac:dyDescent="0.3">
      <c r="A1142" s="46" t="s">
        <v>1151</v>
      </c>
      <c r="B1142" s="46">
        <f>LEN(Table2[[#This Row],[Employee ID]])</f>
        <v>7</v>
      </c>
      <c r="C1142" s="46" t="s">
        <v>2444</v>
      </c>
      <c r="D1142" s="47">
        <v>25327</v>
      </c>
      <c r="E1142" s="47">
        <v>34360</v>
      </c>
      <c r="F1142" s="46" t="s">
        <v>2602</v>
      </c>
      <c r="G1142" s="46">
        <v>182563</v>
      </c>
      <c r="H1142" s="46" t="s">
        <v>2613</v>
      </c>
      <c r="I1142" s="46" t="s">
        <v>2617</v>
      </c>
      <c r="J1142" s="46" t="s">
        <v>2670</v>
      </c>
      <c r="K1142" s="46" t="s">
        <v>3308</v>
      </c>
      <c r="L1142" s="46">
        <v>31</v>
      </c>
    </row>
    <row r="1143" spans="1:12" x14ac:dyDescent="0.3">
      <c r="A1143" s="46" t="s">
        <v>1152</v>
      </c>
      <c r="B1143" s="46">
        <f>LEN(Table2[[#This Row],[Employee ID]])</f>
        <v>7</v>
      </c>
      <c r="C1143" s="46" t="s">
        <v>2445</v>
      </c>
      <c r="D1143" s="47">
        <v>25843</v>
      </c>
      <c r="E1143" s="47">
        <v>30728</v>
      </c>
      <c r="F1143" s="46" t="s">
        <v>2603</v>
      </c>
      <c r="G1143" s="46">
        <v>174931</v>
      </c>
      <c r="H1143" s="46" t="s">
        <v>2610</v>
      </c>
      <c r="I1143" s="46" t="s">
        <v>2616</v>
      </c>
      <c r="J1143" s="46" t="s">
        <v>2900</v>
      </c>
      <c r="K1143" s="46" t="s">
        <v>3306</v>
      </c>
      <c r="L1143" s="46">
        <v>41</v>
      </c>
    </row>
    <row r="1144" spans="1:12" x14ac:dyDescent="0.3">
      <c r="A1144" s="46" t="s">
        <v>1153</v>
      </c>
      <c r="B1144" s="46">
        <f>LEN(Table2[[#This Row],[Employee ID]])</f>
        <v>7</v>
      </c>
      <c r="C1144" s="46" t="s">
        <v>2446</v>
      </c>
      <c r="D1144" s="47">
        <v>26072</v>
      </c>
      <c r="E1144" s="47">
        <v>43376</v>
      </c>
      <c r="F1144" s="46" t="s">
        <v>2600</v>
      </c>
      <c r="G1144" s="46">
        <v>92102</v>
      </c>
      <c r="H1144" s="46" t="s">
        <v>2611</v>
      </c>
      <c r="I1144" s="46" t="s">
        <v>2616</v>
      </c>
      <c r="J1144" s="46" t="s">
        <v>3271</v>
      </c>
      <c r="K1144" s="46" t="s">
        <v>3308</v>
      </c>
      <c r="L1144" s="46">
        <v>7</v>
      </c>
    </row>
    <row r="1145" spans="1:12" x14ac:dyDescent="0.3">
      <c r="A1145" s="46" t="s">
        <v>1154</v>
      </c>
      <c r="B1145" s="46">
        <f>LEN(Table2[[#This Row],[Employee ID]])</f>
        <v>7</v>
      </c>
      <c r="C1145" s="46" t="s">
        <v>2447</v>
      </c>
      <c r="D1145" s="47">
        <v>35699</v>
      </c>
      <c r="E1145" s="47">
        <v>42991</v>
      </c>
      <c r="F1145" s="46" t="s">
        <v>2603</v>
      </c>
      <c r="G1145" s="46">
        <v>196389</v>
      </c>
      <c r="H1145" s="46" t="s">
        <v>2610</v>
      </c>
      <c r="I1145" s="46" t="s">
        <v>2616</v>
      </c>
      <c r="J1145" s="46" t="s">
        <v>3129</v>
      </c>
      <c r="K1145" s="46" t="s">
        <v>3304</v>
      </c>
      <c r="L1145" s="46">
        <v>8</v>
      </c>
    </row>
    <row r="1146" spans="1:12" x14ac:dyDescent="0.3">
      <c r="A1146" s="46" t="s">
        <v>1155</v>
      </c>
      <c r="B1146" s="46">
        <f>LEN(Table2[[#This Row],[Employee ID]])</f>
        <v>7</v>
      </c>
      <c r="C1146" s="46" t="s">
        <v>2448</v>
      </c>
      <c r="D1146" s="47">
        <v>31973</v>
      </c>
      <c r="E1146" s="47">
        <v>34478</v>
      </c>
      <c r="F1146" s="46" t="s">
        <v>2602</v>
      </c>
      <c r="G1146" s="46">
        <v>193532</v>
      </c>
      <c r="H1146" s="46" t="s">
        <v>2606</v>
      </c>
      <c r="I1146" s="46" t="s">
        <v>2616</v>
      </c>
      <c r="J1146" s="46" t="s">
        <v>2639</v>
      </c>
      <c r="K1146" s="46" t="s">
        <v>3304</v>
      </c>
      <c r="L1146" s="46">
        <v>31</v>
      </c>
    </row>
    <row r="1147" spans="1:12" x14ac:dyDescent="0.3">
      <c r="A1147" s="46" t="s">
        <v>1156</v>
      </c>
      <c r="B1147" s="46">
        <f>LEN(Table2[[#This Row],[Employee ID]])</f>
        <v>7</v>
      </c>
      <c r="C1147" s="46" t="s">
        <v>2449</v>
      </c>
      <c r="D1147" s="47">
        <v>34207</v>
      </c>
      <c r="E1147" s="47">
        <v>29036</v>
      </c>
      <c r="F1147" s="46" t="s">
        <v>2601</v>
      </c>
      <c r="G1147" s="46">
        <v>134856</v>
      </c>
      <c r="H1147" s="46" t="s">
        <v>2607</v>
      </c>
      <c r="I1147" s="46" t="s">
        <v>2617</v>
      </c>
      <c r="J1147" s="46" t="s">
        <v>3064</v>
      </c>
      <c r="K1147" s="46" t="s">
        <v>3306</v>
      </c>
      <c r="L1147" s="46">
        <v>46</v>
      </c>
    </row>
    <row r="1148" spans="1:12" x14ac:dyDescent="0.3">
      <c r="A1148" s="46" t="s">
        <v>1157</v>
      </c>
      <c r="B1148" s="46">
        <f>LEN(Table2[[#This Row],[Employee ID]])</f>
        <v>7</v>
      </c>
      <c r="C1148" s="46" t="s">
        <v>2450</v>
      </c>
      <c r="D1148" s="47">
        <v>22973</v>
      </c>
      <c r="E1148" s="47">
        <v>43414</v>
      </c>
      <c r="F1148" s="46" t="s">
        <v>2605</v>
      </c>
      <c r="G1148" s="46">
        <v>95054</v>
      </c>
      <c r="H1148" s="46" t="s">
        <v>2607</v>
      </c>
      <c r="I1148" s="46" t="s">
        <v>2616</v>
      </c>
      <c r="J1148" s="46" t="s">
        <v>3115</v>
      </c>
      <c r="K1148" s="46" t="s">
        <v>3309</v>
      </c>
      <c r="L1148" s="46">
        <v>7</v>
      </c>
    </row>
    <row r="1149" spans="1:12" x14ac:dyDescent="0.3">
      <c r="A1149" s="46" t="s">
        <v>1158</v>
      </c>
      <c r="B1149" s="46">
        <f>LEN(Table2[[#This Row],[Employee ID]])</f>
        <v>7</v>
      </c>
      <c r="C1149" s="46" t="s">
        <v>2451</v>
      </c>
      <c r="D1149" s="47">
        <v>22299</v>
      </c>
      <c r="E1149" s="47">
        <v>33896</v>
      </c>
      <c r="F1149" s="46" t="s">
        <v>2605</v>
      </c>
      <c r="G1149" s="46">
        <v>191255</v>
      </c>
      <c r="H1149" s="46" t="s">
        <v>2613</v>
      </c>
      <c r="I1149" s="46" t="s">
        <v>2616</v>
      </c>
      <c r="J1149" s="46" t="s">
        <v>3272</v>
      </c>
      <c r="K1149" s="46" t="s">
        <v>3304</v>
      </c>
      <c r="L1149" s="46">
        <v>33</v>
      </c>
    </row>
    <row r="1150" spans="1:12" x14ac:dyDescent="0.3">
      <c r="A1150" s="46" t="s">
        <v>1159</v>
      </c>
      <c r="B1150" s="46">
        <f>LEN(Table2[[#This Row],[Employee ID]])</f>
        <v>7</v>
      </c>
      <c r="C1150" s="46" t="s">
        <v>2452</v>
      </c>
      <c r="D1150" s="47">
        <v>32301</v>
      </c>
      <c r="E1150" s="47">
        <v>28064</v>
      </c>
      <c r="F1150" s="46" t="s">
        <v>2605</v>
      </c>
      <c r="G1150" s="46">
        <v>110728</v>
      </c>
      <c r="H1150" s="46" t="s">
        <v>2607</v>
      </c>
      <c r="I1150" s="46" t="s">
        <v>2617</v>
      </c>
      <c r="J1150" s="46" t="s">
        <v>3055</v>
      </c>
      <c r="K1150" s="46" t="s">
        <v>3310</v>
      </c>
      <c r="L1150" s="46">
        <v>49</v>
      </c>
    </row>
    <row r="1151" spans="1:12" x14ac:dyDescent="0.3">
      <c r="A1151" s="46" t="s">
        <v>1160</v>
      </c>
      <c r="B1151" s="46">
        <f>LEN(Table2[[#This Row],[Employee ID]])</f>
        <v>7</v>
      </c>
      <c r="C1151" s="46" t="s">
        <v>2453</v>
      </c>
      <c r="D1151" s="47">
        <v>31449</v>
      </c>
      <c r="E1151" s="47">
        <v>27500</v>
      </c>
      <c r="F1151" s="46" t="s">
        <v>2605</v>
      </c>
      <c r="G1151" s="46">
        <v>27621</v>
      </c>
      <c r="H1151" s="46" t="s">
        <v>2613</v>
      </c>
      <c r="I1151" s="46" t="s">
        <v>2616</v>
      </c>
      <c r="J1151" s="46" t="s">
        <v>2905</v>
      </c>
      <c r="K1151" s="46" t="s">
        <v>3307</v>
      </c>
      <c r="L1151" s="46">
        <v>50</v>
      </c>
    </row>
    <row r="1152" spans="1:12" x14ac:dyDescent="0.3">
      <c r="A1152" s="46" t="s">
        <v>1161</v>
      </c>
      <c r="B1152" s="46">
        <f>LEN(Table2[[#This Row],[Employee ID]])</f>
        <v>7</v>
      </c>
      <c r="C1152" s="46" t="s">
        <v>2454</v>
      </c>
      <c r="D1152" s="47">
        <v>25790</v>
      </c>
      <c r="E1152" s="47">
        <v>43856</v>
      </c>
      <c r="F1152" s="46" t="s">
        <v>2600</v>
      </c>
      <c r="G1152" s="46">
        <v>133114</v>
      </c>
      <c r="H1152" s="46" t="s">
        <v>2615</v>
      </c>
      <c r="I1152" s="46" t="s">
        <v>2617</v>
      </c>
      <c r="J1152" s="46" t="s">
        <v>2980</v>
      </c>
      <c r="K1152" s="46" t="s">
        <v>3304</v>
      </c>
      <c r="L1152" s="46">
        <v>5</v>
      </c>
    </row>
    <row r="1153" spans="1:12" x14ac:dyDescent="0.3">
      <c r="A1153" s="46" t="s">
        <v>1162</v>
      </c>
      <c r="B1153" s="46">
        <f>LEN(Table2[[#This Row],[Employee ID]])</f>
        <v>7</v>
      </c>
      <c r="C1153" s="46" t="s">
        <v>2455</v>
      </c>
      <c r="D1153" s="47">
        <v>32486</v>
      </c>
      <c r="E1153" s="47">
        <v>30100</v>
      </c>
      <c r="F1153" s="46" t="s">
        <v>2599</v>
      </c>
      <c r="G1153" s="46">
        <v>176130</v>
      </c>
      <c r="H1153" s="46" t="s">
        <v>2610</v>
      </c>
      <c r="I1153" s="46" t="s">
        <v>2616</v>
      </c>
      <c r="J1153" s="46" t="s">
        <v>2733</v>
      </c>
      <c r="K1153" s="46" t="s">
        <v>3304</v>
      </c>
      <c r="L1153" s="46">
        <v>43</v>
      </c>
    </row>
    <row r="1154" spans="1:12" x14ac:dyDescent="0.3">
      <c r="A1154" s="46" t="s">
        <v>1163</v>
      </c>
      <c r="B1154" s="46">
        <f>LEN(Table2[[#This Row],[Employee ID]])</f>
        <v>7</v>
      </c>
      <c r="C1154" s="46" t="s">
        <v>2456</v>
      </c>
      <c r="D1154" s="47">
        <v>23716</v>
      </c>
      <c r="E1154" s="47">
        <v>31506</v>
      </c>
      <c r="F1154" s="46" t="s">
        <v>2599</v>
      </c>
      <c r="G1154" s="46">
        <v>191419</v>
      </c>
      <c r="H1154" s="46" t="s">
        <v>2608</v>
      </c>
      <c r="I1154" s="46" t="s">
        <v>2616</v>
      </c>
      <c r="J1154" s="46" t="s">
        <v>3273</v>
      </c>
      <c r="K1154" s="46" t="s">
        <v>3305</v>
      </c>
      <c r="L1154" s="46">
        <v>39</v>
      </c>
    </row>
    <row r="1155" spans="1:12" x14ac:dyDescent="0.3">
      <c r="A1155" s="46" t="s">
        <v>1164</v>
      </c>
      <c r="B1155" s="46">
        <f>LEN(Table2[[#This Row],[Employee ID]])</f>
        <v>7</v>
      </c>
      <c r="C1155" s="46" t="s">
        <v>2457</v>
      </c>
      <c r="D1155" s="47">
        <v>21634</v>
      </c>
      <c r="E1155" s="47">
        <v>31216</v>
      </c>
      <c r="F1155" s="46" t="s">
        <v>2599</v>
      </c>
      <c r="G1155" s="46">
        <v>29167</v>
      </c>
      <c r="H1155" s="46" t="s">
        <v>2612</v>
      </c>
      <c r="I1155" s="46" t="s">
        <v>2616</v>
      </c>
      <c r="J1155" s="46" t="s">
        <v>2883</v>
      </c>
      <c r="K1155" s="46" t="s">
        <v>3308</v>
      </c>
      <c r="L1155" s="46">
        <v>40</v>
      </c>
    </row>
    <row r="1156" spans="1:12" x14ac:dyDescent="0.3">
      <c r="A1156" s="46" t="s">
        <v>1165</v>
      </c>
      <c r="B1156" s="46">
        <f>LEN(Table2[[#This Row],[Employee ID]])</f>
        <v>7</v>
      </c>
      <c r="C1156" s="46" t="s">
        <v>2458</v>
      </c>
      <c r="D1156" s="47">
        <v>22318</v>
      </c>
      <c r="E1156" s="47">
        <v>43415</v>
      </c>
      <c r="F1156" s="46" t="s">
        <v>2601</v>
      </c>
      <c r="G1156" s="46">
        <v>174302</v>
      </c>
      <c r="H1156" s="46" t="s">
        <v>2613</v>
      </c>
      <c r="I1156" s="46" t="s">
        <v>2616</v>
      </c>
      <c r="J1156" s="46" t="s">
        <v>3274</v>
      </c>
      <c r="K1156" s="46" t="s">
        <v>3307</v>
      </c>
      <c r="L1156" s="46">
        <v>7</v>
      </c>
    </row>
    <row r="1157" spans="1:12" x14ac:dyDescent="0.3">
      <c r="A1157" s="46" t="s">
        <v>1166</v>
      </c>
      <c r="B1157" s="46">
        <f>LEN(Table2[[#This Row],[Employee ID]])</f>
        <v>7</v>
      </c>
      <c r="C1157" s="46" t="s">
        <v>2459</v>
      </c>
      <c r="D1157" s="47">
        <v>35177</v>
      </c>
      <c r="E1157" s="47">
        <v>35600</v>
      </c>
      <c r="F1157" s="46" t="s">
        <v>2605</v>
      </c>
      <c r="G1157" s="46">
        <v>109829</v>
      </c>
      <c r="H1157" s="46" t="s">
        <v>2608</v>
      </c>
      <c r="I1157" s="46" t="s">
        <v>2616</v>
      </c>
      <c r="J1157" s="46" t="s">
        <v>2944</v>
      </c>
      <c r="K1157" s="46" t="s">
        <v>3309</v>
      </c>
      <c r="L1157" s="46">
        <v>28</v>
      </c>
    </row>
    <row r="1158" spans="1:12" x14ac:dyDescent="0.3">
      <c r="A1158" s="46" t="s">
        <v>1167</v>
      </c>
      <c r="B1158" s="46">
        <f>LEN(Table2[[#This Row],[Employee ID]])</f>
        <v>7</v>
      </c>
      <c r="C1158" s="46" t="s">
        <v>2460</v>
      </c>
      <c r="D1158" s="47">
        <v>31269</v>
      </c>
      <c r="E1158" s="47">
        <v>43011</v>
      </c>
      <c r="F1158" s="46" t="s">
        <v>2603</v>
      </c>
      <c r="G1158" s="46">
        <v>130376</v>
      </c>
      <c r="H1158" s="46" t="s">
        <v>2607</v>
      </c>
      <c r="I1158" s="46" t="s">
        <v>2617</v>
      </c>
      <c r="J1158" s="46" t="s">
        <v>3275</v>
      </c>
      <c r="K1158" s="46" t="s">
        <v>3306</v>
      </c>
      <c r="L1158" s="46">
        <v>8</v>
      </c>
    </row>
    <row r="1159" spans="1:12" x14ac:dyDescent="0.3">
      <c r="A1159" s="46" t="s">
        <v>1168</v>
      </c>
      <c r="B1159" s="46">
        <f>LEN(Table2[[#This Row],[Employee ID]])</f>
        <v>7</v>
      </c>
      <c r="C1159" s="46" t="s">
        <v>2461</v>
      </c>
      <c r="D1159" s="47">
        <v>22452</v>
      </c>
      <c r="E1159" s="47">
        <v>27737</v>
      </c>
      <c r="F1159" s="46" t="s">
        <v>2601</v>
      </c>
      <c r="G1159" s="46">
        <v>61330</v>
      </c>
      <c r="H1159" s="46" t="s">
        <v>2606</v>
      </c>
      <c r="I1159" s="46" t="s">
        <v>2617</v>
      </c>
      <c r="J1159" s="46" t="s">
        <v>2920</v>
      </c>
      <c r="K1159" s="46" t="s">
        <v>3306</v>
      </c>
      <c r="L1159" s="46">
        <v>50</v>
      </c>
    </row>
    <row r="1160" spans="1:12" x14ac:dyDescent="0.3">
      <c r="A1160" s="46" t="s">
        <v>1169</v>
      </c>
      <c r="B1160" s="46">
        <f>LEN(Table2[[#This Row],[Employee ID]])</f>
        <v>7</v>
      </c>
      <c r="C1160" s="46" t="s">
        <v>2462</v>
      </c>
      <c r="D1160" s="47">
        <v>27170</v>
      </c>
      <c r="E1160" s="47">
        <v>33220</v>
      </c>
      <c r="F1160" s="46" t="s">
        <v>2602</v>
      </c>
      <c r="G1160" s="46">
        <v>196894</v>
      </c>
      <c r="H1160" s="46" t="s">
        <v>2608</v>
      </c>
      <c r="I1160" s="46" t="s">
        <v>2617</v>
      </c>
      <c r="J1160" s="46" t="s">
        <v>3018</v>
      </c>
      <c r="K1160" s="46" t="s">
        <v>3310</v>
      </c>
      <c r="L1160" s="46">
        <v>35</v>
      </c>
    </row>
    <row r="1161" spans="1:12" x14ac:dyDescent="0.3">
      <c r="A1161" s="46" t="s">
        <v>1170</v>
      </c>
      <c r="B1161" s="46">
        <f>LEN(Table2[[#This Row],[Employee ID]])</f>
        <v>7</v>
      </c>
      <c r="C1161" s="46" t="s">
        <v>2463</v>
      </c>
      <c r="D1161" s="47">
        <v>24522</v>
      </c>
      <c r="E1161" s="47">
        <v>32689</v>
      </c>
      <c r="F1161" s="46" t="s">
        <v>2605</v>
      </c>
      <c r="G1161" s="46">
        <v>138567</v>
      </c>
      <c r="H1161" s="46" t="s">
        <v>2608</v>
      </c>
      <c r="I1161" s="46" t="s">
        <v>2617</v>
      </c>
      <c r="J1161" s="46" t="s">
        <v>2905</v>
      </c>
      <c r="K1161" s="46" t="s">
        <v>3309</v>
      </c>
      <c r="L1161" s="46">
        <v>36</v>
      </c>
    </row>
    <row r="1162" spans="1:12" x14ac:dyDescent="0.3">
      <c r="A1162" s="46" t="s">
        <v>1171</v>
      </c>
      <c r="B1162" s="46">
        <f>LEN(Table2[[#This Row],[Employee ID]])</f>
        <v>7</v>
      </c>
      <c r="C1162" s="46" t="s">
        <v>2464</v>
      </c>
      <c r="D1162" s="47">
        <v>35806</v>
      </c>
      <c r="E1162" s="47">
        <v>29289</v>
      </c>
      <c r="F1162" s="46" t="s">
        <v>2601</v>
      </c>
      <c r="G1162" s="46">
        <v>143316</v>
      </c>
      <c r="H1162" s="46" t="s">
        <v>2610</v>
      </c>
      <c r="I1162" s="46" t="s">
        <v>2617</v>
      </c>
      <c r="J1162" s="46" t="s">
        <v>2759</v>
      </c>
      <c r="K1162" s="46" t="s">
        <v>3305</v>
      </c>
      <c r="L1162" s="46">
        <v>45</v>
      </c>
    </row>
    <row r="1163" spans="1:12" x14ac:dyDescent="0.3">
      <c r="A1163" s="46" t="s">
        <v>1172</v>
      </c>
      <c r="B1163" s="46">
        <f>LEN(Table2[[#This Row],[Employee ID]])</f>
        <v>7</v>
      </c>
      <c r="C1163" s="46" t="s">
        <v>2465</v>
      </c>
      <c r="D1163" s="47">
        <v>35747</v>
      </c>
      <c r="E1163" s="47">
        <v>28025</v>
      </c>
      <c r="F1163" s="46" t="s">
        <v>2604</v>
      </c>
      <c r="G1163" s="46">
        <v>77991</v>
      </c>
      <c r="H1163" s="46" t="s">
        <v>2607</v>
      </c>
      <c r="I1163" s="46" t="s">
        <v>2616</v>
      </c>
      <c r="J1163" s="46" t="s">
        <v>2820</v>
      </c>
      <c r="K1163" s="46" t="s">
        <v>3307</v>
      </c>
      <c r="L1163" s="46">
        <v>49</v>
      </c>
    </row>
    <row r="1164" spans="1:12" x14ac:dyDescent="0.3">
      <c r="A1164" s="46" t="s">
        <v>1173</v>
      </c>
      <c r="B1164" s="46">
        <f>LEN(Table2[[#This Row],[Employee ID]])</f>
        <v>7</v>
      </c>
      <c r="C1164" s="46" t="s">
        <v>2466</v>
      </c>
      <c r="D1164" s="47">
        <v>31245</v>
      </c>
      <c r="E1164" s="47">
        <v>34489</v>
      </c>
      <c r="F1164" s="46" t="s">
        <v>2603</v>
      </c>
      <c r="G1164" s="46">
        <v>62480</v>
      </c>
      <c r="H1164" s="46" t="s">
        <v>2614</v>
      </c>
      <c r="I1164" s="46" t="s">
        <v>2617</v>
      </c>
      <c r="J1164" s="46" t="s">
        <v>2953</v>
      </c>
      <c r="K1164" s="46" t="s">
        <v>3307</v>
      </c>
      <c r="L1164" s="46">
        <v>31</v>
      </c>
    </row>
    <row r="1165" spans="1:12" x14ac:dyDescent="0.3">
      <c r="A1165" s="46" t="s">
        <v>1174</v>
      </c>
      <c r="B1165" s="46">
        <f>LEN(Table2[[#This Row],[Employee ID]])</f>
        <v>7</v>
      </c>
      <c r="C1165" s="46" t="s">
        <v>2467</v>
      </c>
      <c r="D1165" s="47">
        <v>34852</v>
      </c>
      <c r="E1165" s="47">
        <v>34913</v>
      </c>
      <c r="F1165" s="46" t="s">
        <v>2600</v>
      </c>
      <c r="G1165" s="46">
        <v>47150</v>
      </c>
      <c r="H1165" s="46" t="s">
        <v>2614</v>
      </c>
      <c r="I1165" s="46" t="s">
        <v>2617</v>
      </c>
      <c r="J1165" s="46" t="s">
        <v>3188</v>
      </c>
      <c r="K1165" s="46" t="s">
        <v>3306</v>
      </c>
      <c r="L1165" s="46">
        <v>30</v>
      </c>
    </row>
    <row r="1166" spans="1:12" x14ac:dyDescent="0.3">
      <c r="A1166" s="46" t="s">
        <v>1175</v>
      </c>
      <c r="B1166" s="46">
        <f>LEN(Table2[[#This Row],[Employee ID]])</f>
        <v>7</v>
      </c>
      <c r="C1166" s="46" t="s">
        <v>2468</v>
      </c>
      <c r="D1166" s="47">
        <v>31667</v>
      </c>
      <c r="E1166" s="47">
        <v>43970</v>
      </c>
      <c r="F1166" s="46" t="s">
        <v>2601</v>
      </c>
      <c r="G1166" s="46">
        <v>151759</v>
      </c>
      <c r="H1166" s="46" t="s">
        <v>2612</v>
      </c>
      <c r="I1166" s="46" t="s">
        <v>2617</v>
      </c>
      <c r="J1166" s="46" t="s">
        <v>3276</v>
      </c>
      <c r="K1166" s="46" t="s">
        <v>3308</v>
      </c>
      <c r="L1166" s="46">
        <v>5</v>
      </c>
    </row>
    <row r="1167" spans="1:12" x14ac:dyDescent="0.3">
      <c r="A1167" s="46" t="s">
        <v>1176</v>
      </c>
      <c r="B1167" s="46">
        <f>LEN(Table2[[#This Row],[Employee ID]])</f>
        <v>7</v>
      </c>
      <c r="C1167" s="46" t="s">
        <v>2469</v>
      </c>
      <c r="D1167" s="47">
        <v>31955</v>
      </c>
      <c r="E1167" s="47">
        <v>37612</v>
      </c>
      <c r="F1167" s="46" t="s">
        <v>2603</v>
      </c>
      <c r="G1167" s="46">
        <v>166128</v>
      </c>
      <c r="H1167" s="46" t="s">
        <v>2607</v>
      </c>
      <c r="I1167" s="46" t="s">
        <v>2616</v>
      </c>
      <c r="J1167" s="46" t="s">
        <v>2887</v>
      </c>
      <c r="K1167" s="46" t="s">
        <v>3307</v>
      </c>
      <c r="L1167" s="46">
        <v>23</v>
      </c>
    </row>
    <row r="1168" spans="1:12" x14ac:dyDescent="0.3">
      <c r="A1168" s="46" t="s">
        <v>1177</v>
      </c>
      <c r="B1168" s="46">
        <f>LEN(Table2[[#This Row],[Employee ID]])</f>
        <v>7</v>
      </c>
      <c r="C1168" s="46" t="s">
        <v>2470</v>
      </c>
      <c r="D1168" s="47">
        <v>26779</v>
      </c>
      <c r="E1168" s="47">
        <v>44547</v>
      </c>
      <c r="F1168" s="46" t="s">
        <v>2605</v>
      </c>
      <c r="G1168" s="46">
        <v>160582</v>
      </c>
      <c r="H1168" s="46" t="s">
        <v>2609</v>
      </c>
      <c r="I1168" s="46" t="s">
        <v>2616</v>
      </c>
      <c r="J1168" s="46" t="s">
        <v>3277</v>
      </c>
      <c r="K1168" s="46" t="s">
        <v>3306</v>
      </c>
      <c r="L1168" s="46">
        <v>4</v>
      </c>
    </row>
    <row r="1169" spans="1:12" x14ac:dyDescent="0.3">
      <c r="A1169" s="46" t="s">
        <v>1178</v>
      </c>
      <c r="B1169" s="46">
        <f>LEN(Table2[[#This Row],[Employee ID]])</f>
        <v>7</v>
      </c>
      <c r="C1169" s="46" t="s">
        <v>2471</v>
      </c>
      <c r="D1169" s="47">
        <v>36623</v>
      </c>
      <c r="E1169" s="47">
        <v>38658</v>
      </c>
      <c r="F1169" s="46" t="s">
        <v>2604</v>
      </c>
      <c r="G1169" s="46">
        <v>97317</v>
      </c>
      <c r="H1169" s="46" t="s">
        <v>2609</v>
      </c>
      <c r="I1169" s="46" t="s">
        <v>2617</v>
      </c>
      <c r="J1169" s="46" t="s">
        <v>3030</v>
      </c>
      <c r="K1169" s="46" t="s">
        <v>3307</v>
      </c>
      <c r="L1169" s="46">
        <v>20</v>
      </c>
    </row>
    <row r="1170" spans="1:12" x14ac:dyDescent="0.3">
      <c r="A1170" s="46" t="s">
        <v>1179</v>
      </c>
      <c r="B1170" s="46">
        <f>LEN(Table2[[#This Row],[Employee ID]])</f>
        <v>7</v>
      </c>
      <c r="C1170" s="46" t="s">
        <v>2472</v>
      </c>
      <c r="D1170" s="47">
        <v>27318</v>
      </c>
      <c r="E1170" s="47">
        <v>30226</v>
      </c>
      <c r="F1170" s="46" t="s">
        <v>2603</v>
      </c>
      <c r="G1170" s="46">
        <v>23795</v>
      </c>
      <c r="H1170" s="46" t="s">
        <v>2607</v>
      </c>
      <c r="I1170" s="46" t="s">
        <v>2616</v>
      </c>
      <c r="J1170" s="46" t="s">
        <v>3278</v>
      </c>
      <c r="K1170" s="46" t="s">
        <v>3304</v>
      </c>
      <c r="L1170" s="46">
        <v>43</v>
      </c>
    </row>
    <row r="1171" spans="1:12" x14ac:dyDescent="0.3">
      <c r="A1171" s="46" t="s">
        <v>1180</v>
      </c>
      <c r="B1171" s="46">
        <f>LEN(Table2[[#This Row],[Employee ID]])</f>
        <v>7</v>
      </c>
      <c r="C1171" s="46" t="s">
        <v>2473</v>
      </c>
      <c r="D1171" s="47">
        <v>22657</v>
      </c>
      <c r="E1171" s="47">
        <v>42766</v>
      </c>
      <c r="F1171" s="46" t="s">
        <v>2600</v>
      </c>
      <c r="G1171" s="46">
        <v>163896</v>
      </c>
      <c r="H1171" s="46" t="s">
        <v>2608</v>
      </c>
      <c r="I1171" s="46" t="s">
        <v>2617</v>
      </c>
      <c r="J1171" s="46" t="s">
        <v>2812</v>
      </c>
      <c r="K1171" s="46" t="s">
        <v>3306</v>
      </c>
      <c r="L1171" s="46">
        <v>8</v>
      </c>
    </row>
    <row r="1172" spans="1:12" x14ac:dyDescent="0.3">
      <c r="A1172" s="46" t="s">
        <v>1181</v>
      </c>
      <c r="B1172" s="46">
        <f>LEN(Table2[[#This Row],[Employee ID]])</f>
        <v>7</v>
      </c>
      <c r="C1172" s="46" t="s">
        <v>2474</v>
      </c>
      <c r="D1172" s="47">
        <v>23854</v>
      </c>
      <c r="E1172" s="47">
        <v>26966</v>
      </c>
      <c r="F1172" s="46" t="s">
        <v>2604</v>
      </c>
      <c r="G1172" s="46">
        <v>48094</v>
      </c>
      <c r="H1172" s="46" t="s">
        <v>2610</v>
      </c>
      <c r="I1172" s="46" t="s">
        <v>2617</v>
      </c>
      <c r="J1172" s="46" t="s">
        <v>2923</v>
      </c>
      <c r="K1172" s="46" t="s">
        <v>3304</v>
      </c>
      <c r="L1172" s="46">
        <v>52</v>
      </c>
    </row>
    <row r="1173" spans="1:12" x14ac:dyDescent="0.3">
      <c r="A1173" s="46" t="s">
        <v>1182</v>
      </c>
      <c r="B1173" s="46">
        <f>LEN(Table2[[#This Row],[Employee ID]])</f>
        <v>7</v>
      </c>
      <c r="C1173" s="46" t="s">
        <v>2475</v>
      </c>
      <c r="D1173" s="47">
        <v>27353</v>
      </c>
      <c r="E1173" s="47">
        <v>25731</v>
      </c>
      <c r="F1173" s="46" t="s">
        <v>2604</v>
      </c>
      <c r="G1173" s="46">
        <v>115780</v>
      </c>
      <c r="H1173" s="46" t="s">
        <v>2614</v>
      </c>
      <c r="I1173" s="46" t="s">
        <v>2616</v>
      </c>
      <c r="J1173" s="46" t="s">
        <v>3193</v>
      </c>
      <c r="K1173" s="46" t="s">
        <v>3308</v>
      </c>
      <c r="L1173" s="46">
        <v>55</v>
      </c>
    </row>
    <row r="1174" spans="1:12" x14ac:dyDescent="0.3">
      <c r="A1174" s="46" t="s">
        <v>1183</v>
      </c>
      <c r="B1174" s="46">
        <f>LEN(Table2[[#This Row],[Employee ID]])</f>
        <v>7</v>
      </c>
      <c r="C1174" s="46" t="s">
        <v>2476</v>
      </c>
      <c r="D1174" s="47">
        <v>34086</v>
      </c>
      <c r="E1174" s="47">
        <v>41289</v>
      </c>
      <c r="F1174" s="46" t="s">
        <v>2603</v>
      </c>
      <c r="G1174" s="46">
        <v>167512</v>
      </c>
      <c r="H1174" s="46" t="s">
        <v>2613</v>
      </c>
      <c r="I1174" s="46" t="s">
        <v>2617</v>
      </c>
      <c r="J1174" s="46" t="s">
        <v>3091</v>
      </c>
      <c r="K1174" s="46" t="s">
        <v>3310</v>
      </c>
      <c r="L1174" s="46">
        <v>12</v>
      </c>
    </row>
    <row r="1175" spans="1:12" x14ac:dyDescent="0.3">
      <c r="A1175" s="46" t="s">
        <v>1184</v>
      </c>
      <c r="B1175" s="46">
        <f>LEN(Table2[[#This Row],[Employee ID]])</f>
        <v>7</v>
      </c>
      <c r="C1175" s="46" t="s">
        <v>2477</v>
      </c>
      <c r="D1175" s="47">
        <v>28423</v>
      </c>
      <c r="E1175" s="47">
        <v>41543</v>
      </c>
      <c r="F1175" s="46" t="s">
        <v>2604</v>
      </c>
      <c r="G1175" s="46">
        <v>89333</v>
      </c>
      <c r="H1175" s="46" t="s">
        <v>2615</v>
      </c>
      <c r="I1175" s="46" t="s">
        <v>2617</v>
      </c>
      <c r="J1175" s="46" t="s">
        <v>2875</v>
      </c>
      <c r="K1175" s="46" t="s">
        <v>3304</v>
      </c>
      <c r="L1175" s="46">
        <v>12</v>
      </c>
    </row>
    <row r="1176" spans="1:12" x14ac:dyDescent="0.3">
      <c r="A1176" s="46" t="s">
        <v>1185</v>
      </c>
      <c r="B1176" s="46">
        <f>LEN(Table2[[#This Row],[Employee ID]])</f>
        <v>7</v>
      </c>
      <c r="C1176" s="46" t="s">
        <v>2478</v>
      </c>
      <c r="D1176" s="47">
        <v>36068</v>
      </c>
      <c r="E1176" s="47">
        <v>41952</v>
      </c>
      <c r="F1176" s="46" t="s">
        <v>2600</v>
      </c>
      <c r="G1176" s="46">
        <v>42656</v>
      </c>
      <c r="H1176" s="46" t="s">
        <v>2614</v>
      </c>
      <c r="I1176" s="46" t="s">
        <v>2617</v>
      </c>
      <c r="J1176" s="46" t="s">
        <v>2780</v>
      </c>
      <c r="K1176" s="46" t="s">
        <v>3308</v>
      </c>
      <c r="L1176" s="46">
        <v>11</v>
      </c>
    </row>
    <row r="1177" spans="1:12" x14ac:dyDescent="0.3">
      <c r="A1177" s="46" t="s">
        <v>1186</v>
      </c>
      <c r="B1177" s="46">
        <f>LEN(Table2[[#This Row],[Employee ID]])</f>
        <v>7</v>
      </c>
      <c r="C1177" s="46" t="s">
        <v>2479</v>
      </c>
      <c r="D1177" s="47">
        <v>25772</v>
      </c>
      <c r="E1177" s="47">
        <v>31040</v>
      </c>
      <c r="F1177" s="46" t="s">
        <v>2603</v>
      </c>
      <c r="G1177" s="46">
        <v>150557</v>
      </c>
      <c r="H1177" s="46" t="s">
        <v>2613</v>
      </c>
      <c r="I1177" s="46" t="s">
        <v>2617</v>
      </c>
      <c r="J1177" s="46" t="s">
        <v>3272</v>
      </c>
      <c r="K1177" s="46" t="s">
        <v>3309</v>
      </c>
      <c r="L1177" s="46">
        <v>41</v>
      </c>
    </row>
    <row r="1178" spans="1:12" x14ac:dyDescent="0.3">
      <c r="A1178" s="46" t="s">
        <v>1187</v>
      </c>
      <c r="B1178" s="46">
        <f>LEN(Table2[[#This Row],[Employee ID]])</f>
        <v>7</v>
      </c>
      <c r="C1178" s="46" t="s">
        <v>2480</v>
      </c>
      <c r="D1178" s="47">
        <v>35583</v>
      </c>
      <c r="E1178" s="47">
        <v>35832</v>
      </c>
      <c r="F1178" s="46" t="s">
        <v>2603</v>
      </c>
      <c r="G1178" s="46">
        <v>188042</v>
      </c>
      <c r="H1178" s="46" t="s">
        <v>2614</v>
      </c>
      <c r="I1178" s="46" t="s">
        <v>2617</v>
      </c>
      <c r="J1178" s="46" t="s">
        <v>2647</v>
      </c>
      <c r="K1178" s="46" t="s">
        <v>3306</v>
      </c>
      <c r="L1178" s="46">
        <v>27</v>
      </c>
    </row>
    <row r="1179" spans="1:12" x14ac:dyDescent="0.3">
      <c r="A1179" s="46" t="s">
        <v>1188</v>
      </c>
      <c r="B1179" s="46">
        <f>LEN(Table2[[#This Row],[Employee ID]])</f>
        <v>7</v>
      </c>
      <c r="C1179" s="46" t="s">
        <v>2481</v>
      </c>
      <c r="D1179" s="47">
        <v>37595</v>
      </c>
      <c r="E1179" s="47">
        <v>34720</v>
      </c>
      <c r="F1179" s="46" t="s">
        <v>2604</v>
      </c>
      <c r="G1179" s="46">
        <v>75050</v>
      </c>
      <c r="H1179" s="46" t="s">
        <v>2611</v>
      </c>
      <c r="I1179" s="46" t="s">
        <v>2617</v>
      </c>
      <c r="J1179" s="46" t="s">
        <v>3279</v>
      </c>
      <c r="K1179" s="46" t="s">
        <v>3308</v>
      </c>
      <c r="L1179" s="46">
        <v>30</v>
      </c>
    </row>
    <row r="1180" spans="1:12" x14ac:dyDescent="0.3">
      <c r="A1180" s="46" t="s">
        <v>1189</v>
      </c>
      <c r="B1180" s="46">
        <f>LEN(Table2[[#This Row],[Employee ID]])</f>
        <v>7</v>
      </c>
      <c r="C1180" s="46" t="s">
        <v>2482</v>
      </c>
      <c r="D1180" s="47">
        <v>29383</v>
      </c>
      <c r="E1180" s="47">
        <v>27072</v>
      </c>
      <c r="F1180" s="46" t="s">
        <v>2604</v>
      </c>
      <c r="G1180" s="46">
        <v>156434</v>
      </c>
      <c r="H1180" s="46" t="s">
        <v>2614</v>
      </c>
      <c r="I1180" s="46" t="s">
        <v>2616</v>
      </c>
      <c r="J1180" s="46" t="s">
        <v>3063</v>
      </c>
      <c r="K1180" s="46" t="s">
        <v>3305</v>
      </c>
      <c r="L1180" s="46">
        <v>51</v>
      </c>
    </row>
    <row r="1181" spans="1:12" x14ac:dyDescent="0.3">
      <c r="A1181" s="46" t="s">
        <v>1190</v>
      </c>
      <c r="B1181" s="46">
        <f>LEN(Table2[[#This Row],[Employee ID]])</f>
        <v>7</v>
      </c>
      <c r="C1181" s="46" t="s">
        <v>2483</v>
      </c>
      <c r="D1181" s="47">
        <v>33232</v>
      </c>
      <c r="E1181" s="47">
        <v>42832</v>
      </c>
      <c r="F1181" s="46" t="s">
        <v>2604</v>
      </c>
      <c r="G1181" s="46">
        <v>182849</v>
      </c>
      <c r="H1181" s="46" t="s">
        <v>2614</v>
      </c>
      <c r="I1181" s="46" t="s">
        <v>2616</v>
      </c>
      <c r="J1181" s="46" t="s">
        <v>3280</v>
      </c>
      <c r="K1181" s="46" t="s">
        <v>3308</v>
      </c>
      <c r="L1181" s="46">
        <v>8</v>
      </c>
    </row>
    <row r="1182" spans="1:12" x14ac:dyDescent="0.3">
      <c r="A1182" s="46" t="s">
        <v>1191</v>
      </c>
      <c r="B1182" s="46">
        <f>LEN(Table2[[#This Row],[Employee ID]])</f>
        <v>7</v>
      </c>
      <c r="C1182" s="46" t="s">
        <v>2484</v>
      </c>
      <c r="D1182" s="47">
        <v>35325</v>
      </c>
      <c r="E1182" s="47">
        <v>25816</v>
      </c>
      <c r="F1182" s="46" t="s">
        <v>2604</v>
      </c>
      <c r="G1182" s="46">
        <v>133595</v>
      </c>
      <c r="H1182" s="46" t="s">
        <v>2615</v>
      </c>
      <c r="I1182" s="46" t="s">
        <v>2617</v>
      </c>
      <c r="J1182" s="46" t="s">
        <v>2960</v>
      </c>
      <c r="K1182" s="46" t="s">
        <v>3308</v>
      </c>
      <c r="L1182" s="46">
        <v>55</v>
      </c>
    </row>
    <row r="1183" spans="1:12" x14ac:dyDescent="0.3">
      <c r="A1183" s="46" t="s">
        <v>1192</v>
      </c>
      <c r="B1183" s="46">
        <f>LEN(Table2[[#This Row],[Employee ID]])</f>
        <v>7</v>
      </c>
      <c r="C1183" s="46" t="s">
        <v>2485</v>
      </c>
      <c r="D1183" s="47">
        <v>31417</v>
      </c>
      <c r="E1183" s="47">
        <v>36459</v>
      </c>
      <c r="F1183" s="46" t="s">
        <v>2599</v>
      </c>
      <c r="G1183" s="46">
        <v>179300</v>
      </c>
      <c r="H1183" s="46" t="s">
        <v>2610</v>
      </c>
      <c r="I1183" s="46" t="s">
        <v>2617</v>
      </c>
      <c r="J1183" s="46" t="s">
        <v>3281</v>
      </c>
      <c r="K1183" s="46" t="s">
        <v>3305</v>
      </c>
      <c r="L1183" s="46">
        <v>26</v>
      </c>
    </row>
    <row r="1184" spans="1:12" x14ac:dyDescent="0.3">
      <c r="A1184" s="46" t="s">
        <v>1193</v>
      </c>
      <c r="B1184" s="46">
        <f>LEN(Table2[[#This Row],[Employee ID]])</f>
        <v>7</v>
      </c>
      <c r="C1184" s="46" t="s">
        <v>2486</v>
      </c>
      <c r="D1184" s="47">
        <v>31913</v>
      </c>
      <c r="E1184" s="47">
        <v>30193</v>
      </c>
      <c r="F1184" s="46" t="s">
        <v>2603</v>
      </c>
      <c r="G1184" s="46">
        <v>190238</v>
      </c>
      <c r="H1184" s="46" t="s">
        <v>2606</v>
      </c>
      <c r="I1184" s="46" t="s">
        <v>2616</v>
      </c>
      <c r="J1184" s="46" t="s">
        <v>3183</v>
      </c>
      <c r="K1184" s="46" t="s">
        <v>3304</v>
      </c>
      <c r="L1184" s="46">
        <v>43</v>
      </c>
    </row>
    <row r="1185" spans="1:12" x14ac:dyDescent="0.3">
      <c r="A1185" s="46" t="s">
        <v>1194</v>
      </c>
      <c r="B1185" s="46">
        <f>LEN(Table2[[#This Row],[Employee ID]])</f>
        <v>7</v>
      </c>
      <c r="C1185" s="46" t="s">
        <v>2487</v>
      </c>
      <c r="D1185" s="47">
        <v>27506</v>
      </c>
      <c r="E1185" s="47">
        <v>44644</v>
      </c>
      <c r="F1185" s="46" t="s">
        <v>2600</v>
      </c>
      <c r="G1185" s="46">
        <v>198143</v>
      </c>
      <c r="H1185" s="46" t="s">
        <v>2611</v>
      </c>
      <c r="I1185" s="46" t="s">
        <v>2616</v>
      </c>
      <c r="J1185" s="46" t="s">
        <v>3282</v>
      </c>
      <c r="K1185" s="46" t="s">
        <v>3305</v>
      </c>
      <c r="L1185" s="46">
        <v>3</v>
      </c>
    </row>
    <row r="1186" spans="1:12" x14ac:dyDescent="0.3">
      <c r="A1186" s="46" t="s">
        <v>1195</v>
      </c>
      <c r="B1186" s="46">
        <f>LEN(Table2[[#This Row],[Employee ID]])</f>
        <v>7</v>
      </c>
      <c r="C1186" s="46" t="s">
        <v>2488</v>
      </c>
      <c r="D1186" s="47">
        <v>23378</v>
      </c>
      <c r="E1186" s="47">
        <v>37689</v>
      </c>
      <c r="F1186" s="46" t="s">
        <v>2600</v>
      </c>
      <c r="G1186" s="46">
        <v>46269</v>
      </c>
      <c r="H1186" s="46" t="s">
        <v>2608</v>
      </c>
      <c r="I1186" s="46" t="s">
        <v>2616</v>
      </c>
      <c r="J1186" s="46" t="s">
        <v>2938</v>
      </c>
      <c r="K1186" s="46" t="s">
        <v>3309</v>
      </c>
      <c r="L1186" s="46">
        <v>22</v>
      </c>
    </row>
    <row r="1187" spans="1:12" x14ac:dyDescent="0.3">
      <c r="A1187" s="46" t="s">
        <v>1196</v>
      </c>
      <c r="B1187" s="46">
        <f>LEN(Table2[[#This Row],[Employee ID]])</f>
        <v>7</v>
      </c>
      <c r="C1187" s="46" t="s">
        <v>2489</v>
      </c>
      <c r="D1187" s="47">
        <v>27180</v>
      </c>
      <c r="E1187" s="47">
        <v>39498</v>
      </c>
      <c r="F1187" s="46" t="s">
        <v>2601</v>
      </c>
      <c r="G1187" s="46">
        <v>196669</v>
      </c>
      <c r="H1187" s="46" t="s">
        <v>2611</v>
      </c>
      <c r="I1187" s="46" t="s">
        <v>2617</v>
      </c>
      <c r="J1187" s="46" t="s">
        <v>3283</v>
      </c>
      <c r="K1187" s="46" t="s">
        <v>3310</v>
      </c>
      <c r="L1187" s="46">
        <v>17</v>
      </c>
    </row>
    <row r="1188" spans="1:12" x14ac:dyDescent="0.3">
      <c r="A1188" s="46" t="s">
        <v>1197</v>
      </c>
      <c r="B1188" s="46">
        <f>LEN(Table2[[#This Row],[Employee ID]])</f>
        <v>7</v>
      </c>
      <c r="C1188" s="46" t="s">
        <v>2490</v>
      </c>
      <c r="D1188" s="47">
        <v>33382</v>
      </c>
      <c r="E1188" s="47">
        <v>40523</v>
      </c>
      <c r="F1188" s="46" t="s">
        <v>2599</v>
      </c>
      <c r="G1188" s="46">
        <v>141663</v>
      </c>
      <c r="H1188" s="46" t="s">
        <v>2610</v>
      </c>
      <c r="I1188" s="46" t="s">
        <v>2617</v>
      </c>
      <c r="J1188" s="46" t="s">
        <v>2776</v>
      </c>
      <c r="K1188" s="46" t="s">
        <v>3307</v>
      </c>
      <c r="L1188" s="46">
        <v>15</v>
      </c>
    </row>
    <row r="1189" spans="1:12" x14ac:dyDescent="0.3">
      <c r="A1189" s="46" t="s">
        <v>1198</v>
      </c>
      <c r="B1189" s="46">
        <f>LEN(Table2[[#This Row],[Employee ID]])</f>
        <v>7</v>
      </c>
      <c r="C1189" s="46" t="s">
        <v>2491</v>
      </c>
      <c r="D1189" s="47">
        <v>29049</v>
      </c>
      <c r="E1189" s="47">
        <v>28895</v>
      </c>
      <c r="F1189" s="46" t="s">
        <v>2599</v>
      </c>
      <c r="G1189" s="46">
        <v>113538</v>
      </c>
      <c r="H1189" s="46" t="s">
        <v>2611</v>
      </c>
      <c r="I1189" s="46" t="s">
        <v>2617</v>
      </c>
      <c r="J1189" s="46" t="s">
        <v>2691</v>
      </c>
      <c r="K1189" s="46" t="s">
        <v>3310</v>
      </c>
      <c r="L1189" s="46">
        <v>46</v>
      </c>
    </row>
    <row r="1190" spans="1:12" x14ac:dyDescent="0.3">
      <c r="A1190" s="46" t="s">
        <v>1199</v>
      </c>
      <c r="B1190" s="46">
        <f>LEN(Table2[[#This Row],[Employee ID]])</f>
        <v>7</v>
      </c>
      <c r="C1190" s="46" t="s">
        <v>2492</v>
      </c>
      <c r="D1190" s="47">
        <v>27812</v>
      </c>
      <c r="E1190" s="47">
        <v>32599</v>
      </c>
      <c r="F1190" s="46" t="s">
        <v>2603</v>
      </c>
      <c r="G1190" s="46">
        <v>140006</v>
      </c>
      <c r="H1190" s="46" t="s">
        <v>2613</v>
      </c>
      <c r="I1190" s="46" t="s">
        <v>2616</v>
      </c>
      <c r="J1190" s="46" t="s">
        <v>3075</v>
      </c>
      <c r="K1190" s="46" t="s">
        <v>3305</v>
      </c>
      <c r="L1190" s="46">
        <v>36</v>
      </c>
    </row>
    <row r="1191" spans="1:12" x14ac:dyDescent="0.3">
      <c r="A1191" s="46" t="s">
        <v>1200</v>
      </c>
      <c r="B1191" s="46">
        <f>LEN(Table2[[#This Row],[Employee ID]])</f>
        <v>7</v>
      </c>
      <c r="C1191" s="46" t="s">
        <v>2493</v>
      </c>
      <c r="D1191" s="47">
        <v>34228</v>
      </c>
      <c r="E1191" s="47">
        <v>35579</v>
      </c>
      <c r="F1191" s="46" t="s">
        <v>2600</v>
      </c>
      <c r="G1191" s="46">
        <v>102591</v>
      </c>
      <c r="H1191" s="46" t="s">
        <v>2607</v>
      </c>
      <c r="I1191" s="46" t="s">
        <v>2617</v>
      </c>
      <c r="J1191" s="46" t="s">
        <v>2682</v>
      </c>
      <c r="K1191" s="46" t="s">
        <v>3305</v>
      </c>
      <c r="L1191" s="46">
        <v>28</v>
      </c>
    </row>
    <row r="1192" spans="1:12" x14ac:dyDescent="0.3">
      <c r="A1192" s="46" t="s">
        <v>1201</v>
      </c>
      <c r="B1192" s="46">
        <f>LEN(Table2[[#This Row],[Employee ID]])</f>
        <v>7</v>
      </c>
      <c r="C1192" s="46" t="s">
        <v>2494</v>
      </c>
      <c r="D1192" s="47">
        <v>35845</v>
      </c>
      <c r="E1192" s="47">
        <v>38702</v>
      </c>
      <c r="F1192" s="46" t="s">
        <v>2603</v>
      </c>
      <c r="G1192" s="46">
        <v>94314</v>
      </c>
      <c r="H1192" s="46" t="s">
        <v>2613</v>
      </c>
      <c r="I1192" s="46" t="s">
        <v>2617</v>
      </c>
      <c r="J1192" s="46" t="s">
        <v>3284</v>
      </c>
      <c r="K1192" s="46" t="s">
        <v>3306</v>
      </c>
      <c r="L1192" s="46">
        <v>20</v>
      </c>
    </row>
    <row r="1193" spans="1:12" x14ac:dyDescent="0.3">
      <c r="A1193" s="46" t="s">
        <v>1202</v>
      </c>
      <c r="B1193" s="46">
        <f>LEN(Table2[[#This Row],[Employee ID]])</f>
        <v>7</v>
      </c>
      <c r="C1193" s="46" t="s">
        <v>2450</v>
      </c>
      <c r="D1193" s="47">
        <v>26895</v>
      </c>
      <c r="E1193" s="47">
        <v>44816</v>
      </c>
      <c r="F1193" s="46" t="s">
        <v>2601</v>
      </c>
      <c r="G1193" s="46">
        <v>141588</v>
      </c>
      <c r="H1193" s="46" t="s">
        <v>2608</v>
      </c>
      <c r="I1193" s="46" t="s">
        <v>2617</v>
      </c>
      <c r="J1193" s="46" t="s">
        <v>2838</v>
      </c>
      <c r="K1193" s="46" t="s">
        <v>3308</v>
      </c>
      <c r="L1193" s="46">
        <v>3</v>
      </c>
    </row>
    <row r="1194" spans="1:12" x14ac:dyDescent="0.3">
      <c r="A1194" s="46" t="s">
        <v>1203</v>
      </c>
      <c r="B1194" s="46">
        <f>LEN(Table2[[#This Row],[Employee ID]])</f>
        <v>7</v>
      </c>
      <c r="C1194" s="46" t="s">
        <v>2495</v>
      </c>
      <c r="D1194" s="47">
        <v>35230</v>
      </c>
      <c r="E1194" s="47">
        <v>39303</v>
      </c>
      <c r="F1194" s="46" t="s">
        <v>2599</v>
      </c>
      <c r="G1194" s="46">
        <v>28993</v>
      </c>
      <c r="H1194" s="46" t="s">
        <v>2615</v>
      </c>
      <c r="I1194" s="46" t="s">
        <v>2617</v>
      </c>
      <c r="J1194" s="46" t="s">
        <v>3280</v>
      </c>
      <c r="K1194" s="46" t="s">
        <v>3307</v>
      </c>
      <c r="L1194" s="46">
        <v>18</v>
      </c>
    </row>
    <row r="1195" spans="1:12" x14ac:dyDescent="0.3">
      <c r="A1195" s="46" t="s">
        <v>1204</v>
      </c>
      <c r="B1195" s="46">
        <f>LEN(Table2[[#This Row],[Employee ID]])</f>
        <v>7</v>
      </c>
      <c r="C1195" s="46" t="s">
        <v>2496</v>
      </c>
      <c r="D1195" s="47">
        <v>36006</v>
      </c>
      <c r="E1195" s="47">
        <v>32291</v>
      </c>
      <c r="F1195" s="46" t="s">
        <v>2605</v>
      </c>
      <c r="G1195" s="46">
        <v>122010</v>
      </c>
      <c r="H1195" s="46" t="s">
        <v>2609</v>
      </c>
      <c r="I1195" s="46" t="s">
        <v>2617</v>
      </c>
      <c r="J1195" s="46" t="s">
        <v>2925</v>
      </c>
      <c r="K1195" s="46" t="s">
        <v>3304</v>
      </c>
      <c r="L1195" s="46">
        <v>37</v>
      </c>
    </row>
    <row r="1196" spans="1:12" x14ac:dyDescent="0.3">
      <c r="A1196" s="46" t="s">
        <v>1205</v>
      </c>
      <c r="B1196" s="46">
        <f>LEN(Table2[[#This Row],[Employee ID]])</f>
        <v>7</v>
      </c>
      <c r="C1196" s="46" t="s">
        <v>2497</v>
      </c>
      <c r="D1196" s="47">
        <v>35595</v>
      </c>
      <c r="E1196" s="47">
        <v>39191</v>
      </c>
      <c r="F1196" s="46" t="s">
        <v>2604</v>
      </c>
      <c r="G1196" s="46">
        <v>182935</v>
      </c>
      <c r="H1196" s="46" t="s">
        <v>2606</v>
      </c>
      <c r="I1196" s="46" t="s">
        <v>2617</v>
      </c>
      <c r="J1196" s="46" t="s">
        <v>2788</v>
      </c>
      <c r="K1196" s="46" t="s">
        <v>3310</v>
      </c>
      <c r="L1196" s="46">
        <v>18</v>
      </c>
    </row>
    <row r="1197" spans="1:12" x14ac:dyDescent="0.3">
      <c r="A1197" s="46" t="s">
        <v>1206</v>
      </c>
      <c r="B1197" s="46">
        <f>LEN(Table2[[#This Row],[Employee ID]])</f>
        <v>7</v>
      </c>
      <c r="C1197" s="46" t="s">
        <v>2498</v>
      </c>
      <c r="D1197" s="47">
        <v>36674</v>
      </c>
      <c r="E1197" s="47">
        <v>31773</v>
      </c>
      <c r="F1197" s="46" t="s">
        <v>2600</v>
      </c>
      <c r="G1197" s="46">
        <v>61635</v>
      </c>
      <c r="H1197" s="46" t="s">
        <v>2606</v>
      </c>
      <c r="I1197" s="46" t="s">
        <v>2616</v>
      </c>
      <c r="J1197" s="46" t="s">
        <v>2985</v>
      </c>
      <c r="K1197" s="46" t="s">
        <v>3309</v>
      </c>
      <c r="L1197" s="46">
        <v>39</v>
      </c>
    </row>
    <row r="1198" spans="1:12" x14ac:dyDescent="0.3">
      <c r="A1198" s="46" t="s">
        <v>1207</v>
      </c>
      <c r="B1198" s="46">
        <f>LEN(Table2[[#This Row],[Employee ID]])</f>
        <v>7</v>
      </c>
      <c r="C1198" s="46" t="s">
        <v>2499</v>
      </c>
      <c r="D1198" s="47">
        <v>37149</v>
      </c>
      <c r="E1198" s="47">
        <v>44033</v>
      </c>
      <c r="F1198" s="46" t="s">
        <v>2605</v>
      </c>
      <c r="G1198" s="46">
        <v>77653</v>
      </c>
      <c r="H1198" s="46" t="s">
        <v>2611</v>
      </c>
      <c r="I1198" s="46" t="s">
        <v>2616</v>
      </c>
      <c r="J1198" s="46" t="s">
        <v>3196</v>
      </c>
      <c r="K1198" s="46" t="s">
        <v>3304</v>
      </c>
      <c r="L1198" s="46">
        <v>5</v>
      </c>
    </row>
    <row r="1199" spans="1:12" x14ac:dyDescent="0.3">
      <c r="A1199" s="46" t="s">
        <v>1208</v>
      </c>
      <c r="B1199" s="46">
        <f>LEN(Table2[[#This Row],[Employee ID]])</f>
        <v>7</v>
      </c>
      <c r="C1199" s="46" t="s">
        <v>2500</v>
      </c>
      <c r="D1199" s="47">
        <v>35499</v>
      </c>
      <c r="E1199" s="47">
        <v>34689</v>
      </c>
      <c r="F1199" s="46" t="s">
        <v>2601</v>
      </c>
      <c r="G1199" s="46">
        <v>158904</v>
      </c>
      <c r="H1199" s="46" t="s">
        <v>2611</v>
      </c>
      <c r="I1199" s="46" t="s">
        <v>2617</v>
      </c>
      <c r="J1199" s="46" t="s">
        <v>3285</v>
      </c>
      <c r="K1199" s="46" t="s">
        <v>3308</v>
      </c>
      <c r="L1199" s="46">
        <v>31</v>
      </c>
    </row>
    <row r="1200" spans="1:12" x14ac:dyDescent="0.3">
      <c r="A1200" s="46" t="s">
        <v>1209</v>
      </c>
      <c r="B1200" s="46">
        <f>LEN(Table2[[#This Row],[Employee ID]])</f>
        <v>7</v>
      </c>
      <c r="C1200" s="46" t="s">
        <v>2501</v>
      </c>
      <c r="D1200" s="47">
        <v>31583</v>
      </c>
      <c r="E1200" s="47">
        <v>44376</v>
      </c>
      <c r="F1200" s="46" t="s">
        <v>2604</v>
      </c>
      <c r="G1200" s="46">
        <v>124181</v>
      </c>
      <c r="H1200" s="46" t="s">
        <v>2606</v>
      </c>
      <c r="I1200" s="46" t="s">
        <v>2616</v>
      </c>
      <c r="J1200" s="46" t="s">
        <v>3286</v>
      </c>
      <c r="K1200" s="46" t="s">
        <v>3307</v>
      </c>
      <c r="L1200" s="46">
        <v>4</v>
      </c>
    </row>
    <row r="1201" spans="1:12" x14ac:dyDescent="0.3">
      <c r="A1201" s="46" t="s">
        <v>1210</v>
      </c>
      <c r="B1201" s="46">
        <f>LEN(Table2[[#This Row],[Employee ID]])</f>
        <v>7</v>
      </c>
      <c r="C1201" s="46" t="s">
        <v>2502</v>
      </c>
      <c r="D1201" s="47">
        <v>36888</v>
      </c>
      <c r="E1201" s="47">
        <v>42191</v>
      </c>
      <c r="F1201" s="46" t="s">
        <v>2599</v>
      </c>
      <c r="G1201" s="46">
        <v>162819</v>
      </c>
      <c r="H1201" s="46" t="s">
        <v>2608</v>
      </c>
      <c r="I1201" s="46" t="s">
        <v>2617</v>
      </c>
      <c r="J1201" s="46" t="s">
        <v>3218</v>
      </c>
      <c r="K1201" s="46" t="s">
        <v>3308</v>
      </c>
      <c r="L1201" s="46">
        <v>10</v>
      </c>
    </row>
    <row r="1202" spans="1:12" x14ac:dyDescent="0.3">
      <c r="A1202" s="46" t="s">
        <v>1211</v>
      </c>
      <c r="B1202" s="46">
        <f>LEN(Table2[[#This Row],[Employee ID]])</f>
        <v>7</v>
      </c>
      <c r="C1202" s="46" t="s">
        <v>2503</v>
      </c>
      <c r="D1202" s="47">
        <v>28293</v>
      </c>
      <c r="E1202" s="47">
        <v>35495</v>
      </c>
      <c r="F1202" s="46" t="s">
        <v>2599</v>
      </c>
      <c r="G1202" s="46">
        <v>58062</v>
      </c>
      <c r="H1202" s="46" t="s">
        <v>2607</v>
      </c>
      <c r="I1202" s="46" t="s">
        <v>2617</v>
      </c>
      <c r="J1202" s="46" t="s">
        <v>2817</v>
      </c>
      <c r="K1202" s="46" t="s">
        <v>3304</v>
      </c>
      <c r="L1202" s="46">
        <v>28</v>
      </c>
    </row>
    <row r="1203" spans="1:12" x14ac:dyDescent="0.3">
      <c r="A1203" s="46" t="s">
        <v>1212</v>
      </c>
      <c r="B1203" s="46">
        <f>LEN(Table2[[#This Row],[Employee ID]])</f>
        <v>7</v>
      </c>
      <c r="C1203" s="46" t="s">
        <v>2504</v>
      </c>
      <c r="D1203" s="47">
        <v>26884</v>
      </c>
      <c r="E1203" s="47">
        <v>29188</v>
      </c>
      <c r="F1203" s="46" t="s">
        <v>2605</v>
      </c>
      <c r="G1203" s="46">
        <v>64628</v>
      </c>
      <c r="H1203" s="46" t="s">
        <v>2610</v>
      </c>
      <c r="I1203" s="46" t="s">
        <v>2617</v>
      </c>
      <c r="J1203" s="46" t="s">
        <v>3287</v>
      </c>
      <c r="K1203" s="46" t="s">
        <v>3307</v>
      </c>
      <c r="L1203" s="46">
        <v>46</v>
      </c>
    </row>
    <row r="1204" spans="1:12" x14ac:dyDescent="0.3">
      <c r="A1204" s="46" t="s">
        <v>1213</v>
      </c>
      <c r="B1204" s="46">
        <f>LEN(Table2[[#This Row],[Employee ID]])</f>
        <v>7</v>
      </c>
      <c r="C1204" s="46" t="s">
        <v>2505</v>
      </c>
      <c r="D1204" s="47">
        <v>37564</v>
      </c>
      <c r="E1204" s="47">
        <v>31870</v>
      </c>
      <c r="F1204" s="46" t="s">
        <v>2599</v>
      </c>
      <c r="G1204" s="46">
        <v>59759</v>
      </c>
      <c r="H1204" s="46" t="s">
        <v>2606</v>
      </c>
      <c r="I1204" s="46" t="s">
        <v>2616</v>
      </c>
      <c r="J1204" s="46" t="s">
        <v>3288</v>
      </c>
      <c r="K1204" s="46" t="s">
        <v>3308</v>
      </c>
      <c r="L1204" s="46">
        <v>38</v>
      </c>
    </row>
    <row r="1205" spans="1:12" x14ac:dyDescent="0.3">
      <c r="A1205" s="46" t="s">
        <v>1214</v>
      </c>
      <c r="B1205" s="46">
        <f>LEN(Table2[[#This Row],[Employee ID]])</f>
        <v>7</v>
      </c>
      <c r="C1205" s="46" t="s">
        <v>2506</v>
      </c>
      <c r="D1205" s="47">
        <v>32917</v>
      </c>
      <c r="E1205" s="47">
        <v>39879</v>
      </c>
      <c r="F1205" s="46" t="s">
        <v>2601</v>
      </c>
      <c r="G1205" s="46">
        <v>29174</v>
      </c>
      <c r="H1205" s="46" t="s">
        <v>2608</v>
      </c>
      <c r="I1205" s="46" t="s">
        <v>2616</v>
      </c>
      <c r="J1205" s="46" t="s">
        <v>2822</v>
      </c>
      <c r="K1205" s="46" t="s">
        <v>3310</v>
      </c>
      <c r="L1205" s="46">
        <v>16</v>
      </c>
    </row>
    <row r="1206" spans="1:12" x14ac:dyDescent="0.3">
      <c r="A1206" s="46" t="s">
        <v>1215</v>
      </c>
      <c r="B1206" s="46">
        <f>LEN(Table2[[#This Row],[Employee ID]])</f>
        <v>7</v>
      </c>
      <c r="C1206" s="46" t="s">
        <v>2507</v>
      </c>
      <c r="D1206" s="47">
        <v>26743</v>
      </c>
      <c r="E1206" s="47">
        <v>27971</v>
      </c>
      <c r="F1206" s="46" t="s">
        <v>2603</v>
      </c>
      <c r="G1206" s="46">
        <v>80530</v>
      </c>
      <c r="H1206" s="46" t="s">
        <v>2615</v>
      </c>
      <c r="I1206" s="46" t="s">
        <v>2617</v>
      </c>
      <c r="J1206" s="46" t="s">
        <v>2999</v>
      </c>
      <c r="K1206" s="46" t="s">
        <v>3310</v>
      </c>
      <c r="L1206" s="46">
        <v>49</v>
      </c>
    </row>
    <row r="1207" spans="1:12" x14ac:dyDescent="0.3">
      <c r="A1207" s="46" t="s">
        <v>1216</v>
      </c>
      <c r="B1207" s="46">
        <f>LEN(Table2[[#This Row],[Employee ID]])</f>
        <v>7</v>
      </c>
      <c r="C1207" s="46" t="s">
        <v>2508</v>
      </c>
      <c r="D1207" s="47">
        <v>26993</v>
      </c>
      <c r="E1207" s="47">
        <v>39439</v>
      </c>
      <c r="F1207" s="46" t="s">
        <v>2605</v>
      </c>
      <c r="G1207" s="46">
        <v>103039</v>
      </c>
      <c r="H1207" s="46" t="s">
        <v>2606</v>
      </c>
      <c r="I1207" s="46" t="s">
        <v>2617</v>
      </c>
      <c r="J1207" s="46" t="s">
        <v>3125</v>
      </c>
      <c r="K1207" s="46" t="s">
        <v>3305</v>
      </c>
      <c r="L1207" s="46">
        <v>18</v>
      </c>
    </row>
    <row r="1208" spans="1:12" x14ac:dyDescent="0.3">
      <c r="A1208" s="46" t="s">
        <v>1217</v>
      </c>
      <c r="B1208" s="46">
        <f>LEN(Table2[[#This Row],[Employee ID]])</f>
        <v>7</v>
      </c>
      <c r="C1208" s="46" t="s">
        <v>2509</v>
      </c>
      <c r="D1208" s="47">
        <v>24305</v>
      </c>
      <c r="E1208" s="47">
        <v>35926</v>
      </c>
      <c r="F1208" s="46" t="s">
        <v>2602</v>
      </c>
      <c r="G1208" s="46">
        <v>191711</v>
      </c>
      <c r="H1208" s="46" t="s">
        <v>2613</v>
      </c>
      <c r="I1208" s="46" t="s">
        <v>2617</v>
      </c>
      <c r="J1208" s="46" t="s">
        <v>3151</v>
      </c>
      <c r="K1208" s="46" t="s">
        <v>3306</v>
      </c>
      <c r="L1208" s="46">
        <v>27</v>
      </c>
    </row>
    <row r="1209" spans="1:12" x14ac:dyDescent="0.3">
      <c r="A1209" s="46" t="s">
        <v>1218</v>
      </c>
      <c r="B1209" s="46">
        <f>LEN(Table2[[#This Row],[Employee ID]])</f>
        <v>7</v>
      </c>
      <c r="C1209" s="46" t="s">
        <v>2510</v>
      </c>
      <c r="D1209" s="47">
        <v>25472</v>
      </c>
      <c r="E1209" s="47">
        <v>35653</v>
      </c>
      <c r="F1209" s="46" t="s">
        <v>2602</v>
      </c>
      <c r="G1209" s="46">
        <v>40825</v>
      </c>
      <c r="H1209" s="46" t="s">
        <v>2609</v>
      </c>
      <c r="I1209" s="46" t="s">
        <v>2617</v>
      </c>
      <c r="J1209" s="46" t="s">
        <v>2786</v>
      </c>
      <c r="K1209" s="46" t="s">
        <v>3308</v>
      </c>
      <c r="L1209" s="46">
        <v>28</v>
      </c>
    </row>
    <row r="1210" spans="1:12" x14ac:dyDescent="0.3">
      <c r="A1210" s="46" t="s">
        <v>1219</v>
      </c>
      <c r="B1210" s="46">
        <f>LEN(Table2[[#This Row],[Employee ID]])</f>
        <v>7</v>
      </c>
      <c r="C1210" s="46" t="s">
        <v>2511</v>
      </c>
      <c r="D1210" s="47">
        <v>37252</v>
      </c>
      <c r="E1210" s="47">
        <v>37052</v>
      </c>
      <c r="F1210" s="46" t="s">
        <v>2602</v>
      </c>
      <c r="G1210" s="46">
        <v>168507</v>
      </c>
      <c r="H1210" s="46" t="s">
        <v>2607</v>
      </c>
      <c r="I1210" s="46" t="s">
        <v>2617</v>
      </c>
      <c r="J1210" s="46" t="s">
        <v>2890</v>
      </c>
      <c r="K1210" s="46" t="s">
        <v>3310</v>
      </c>
      <c r="L1210" s="46">
        <v>24</v>
      </c>
    </row>
    <row r="1211" spans="1:12" x14ac:dyDescent="0.3">
      <c r="A1211" s="46" t="s">
        <v>1220</v>
      </c>
      <c r="B1211" s="46">
        <f>LEN(Table2[[#This Row],[Employee ID]])</f>
        <v>7</v>
      </c>
      <c r="C1211" s="46" t="s">
        <v>2512</v>
      </c>
      <c r="D1211" s="47">
        <v>29500</v>
      </c>
      <c r="E1211" s="47">
        <v>27662</v>
      </c>
      <c r="F1211" s="46" t="s">
        <v>2599</v>
      </c>
      <c r="G1211" s="46">
        <v>175390</v>
      </c>
      <c r="H1211" s="46" t="s">
        <v>2606</v>
      </c>
      <c r="I1211" s="46" t="s">
        <v>2617</v>
      </c>
      <c r="J1211" s="46" t="s">
        <v>2734</v>
      </c>
      <c r="K1211" s="46" t="s">
        <v>3309</v>
      </c>
      <c r="L1211" s="46">
        <v>50</v>
      </c>
    </row>
    <row r="1212" spans="1:12" x14ac:dyDescent="0.3">
      <c r="A1212" s="46" t="s">
        <v>1221</v>
      </c>
      <c r="B1212" s="46">
        <f>LEN(Table2[[#This Row],[Employee ID]])</f>
        <v>7</v>
      </c>
      <c r="C1212" s="46" t="s">
        <v>2513</v>
      </c>
      <c r="D1212" s="47">
        <v>35710</v>
      </c>
      <c r="E1212" s="47">
        <v>32385</v>
      </c>
      <c r="F1212" s="46" t="s">
        <v>2605</v>
      </c>
      <c r="G1212" s="46">
        <v>33130</v>
      </c>
      <c r="H1212" s="46" t="s">
        <v>2614</v>
      </c>
      <c r="I1212" s="46" t="s">
        <v>2616</v>
      </c>
      <c r="J1212" s="46" t="s">
        <v>3211</v>
      </c>
      <c r="K1212" s="46" t="s">
        <v>3310</v>
      </c>
      <c r="L1212" s="46">
        <v>37</v>
      </c>
    </row>
    <row r="1213" spans="1:12" x14ac:dyDescent="0.3">
      <c r="A1213" s="46" t="s">
        <v>1222</v>
      </c>
      <c r="B1213" s="46">
        <f>LEN(Table2[[#This Row],[Employee ID]])</f>
        <v>7</v>
      </c>
      <c r="C1213" s="46" t="s">
        <v>2514</v>
      </c>
      <c r="D1213" s="47">
        <v>36336</v>
      </c>
      <c r="E1213" s="47">
        <v>43910</v>
      </c>
      <c r="F1213" s="46" t="s">
        <v>2605</v>
      </c>
      <c r="G1213" s="46">
        <v>67883</v>
      </c>
      <c r="H1213" s="46" t="s">
        <v>2609</v>
      </c>
      <c r="I1213" s="46" t="s">
        <v>2616</v>
      </c>
      <c r="J1213" s="46" t="s">
        <v>3279</v>
      </c>
      <c r="K1213" s="46" t="s">
        <v>3309</v>
      </c>
      <c r="L1213" s="46">
        <v>5</v>
      </c>
    </row>
    <row r="1214" spans="1:12" x14ac:dyDescent="0.3">
      <c r="A1214" s="46" t="s">
        <v>1223</v>
      </c>
      <c r="B1214" s="46">
        <f>LEN(Table2[[#This Row],[Employee ID]])</f>
        <v>7</v>
      </c>
      <c r="C1214" s="46" t="s">
        <v>2515</v>
      </c>
      <c r="D1214" s="47">
        <v>21869</v>
      </c>
      <c r="E1214" s="47">
        <v>27944</v>
      </c>
      <c r="F1214" s="46" t="s">
        <v>2605</v>
      </c>
      <c r="G1214" s="46">
        <v>150886</v>
      </c>
      <c r="H1214" s="46" t="s">
        <v>2608</v>
      </c>
      <c r="I1214" s="46" t="s">
        <v>2617</v>
      </c>
      <c r="J1214" s="46" t="s">
        <v>3196</v>
      </c>
      <c r="K1214" s="46" t="s">
        <v>3310</v>
      </c>
      <c r="L1214" s="46">
        <v>49</v>
      </c>
    </row>
    <row r="1215" spans="1:12" x14ac:dyDescent="0.3">
      <c r="A1215" s="46" t="s">
        <v>1224</v>
      </c>
      <c r="B1215" s="46">
        <f>LEN(Table2[[#This Row],[Employee ID]])</f>
        <v>7</v>
      </c>
      <c r="C1215" s="46" t="s">
        <v>2516</v>
      </c>
      <c r="D1215" s="47">
        <v>31757</v>
      </c>
      <c r="E1215" s="47">
        <v>44030</v>
      </c>
      <c r="F1215" s="46" t="s">
        <v>2601</v>
      </c>
      <c r="G1215" s="46">
        <v>64719</v>
      </c>
      <c r="H1215" s="46" t="s">
        <v>2608</v>
      </c>
      <c r="I1215" s="46" t="s">
        <v>2616</v>
      </c>
      <c r="J1215" s="46" t="s">
        <v>2879</v>
      </c>
      <c r="K1215" s="46" t="s">
        <v>3305</v>
      </c>
      <c r="L1215" s="46">
        <v>5</v>
      </c>
    </row>
    <row r="1216" spans="1:12" x14ac:dyDescent="0.3">
      <c r="A1216" s="46" t="s">
        <v>1225</v>
      </c>
      <c r="B1216" s="46">
        <f>LEN(Table2[[#This Row],[Employee ID]])</f>
        <v>7</v>
      </c>
      <c r="C1216" s="46" t="s">
        <v>2517</v>
      </c>
      <c r="D1216" s="47">
        <v>25256</v>
      </c>
      <c r="E1216" s="47">
        <v>37213</v>
      </c>
      <c r="F1216" s="46" t="s">
        <v>2600</v>
      </c>
      <c r="G1216" s="46">
        <v>95658</v>
      </c>
      <c r="H1216" s="46" t="s">
        <v>2610</v>
      </c>
      <c r="I1216" s="46" t="s">
        <v>2616</v>
      </c>
      <c r="J1216" s="46" t="s">
        <v>2619</v>
      </c>
      <c r="K1216" s="46" t="s">
        <v>3305</v>
      </c>
      <c r="L1216" s="46">
        <v>24</v>
      </c>
    </row>
    <row r="1217" spans="1:12" x14ac:dyDescent="0.3">
      <c r="A1217" s="46" t="s">
        <v>1226</v>
      </c>
      <c r="B1217" s="46">
        <f>LEN(Table2[[#This Row],[Employee ID]])</f>
        <v>7</v>
      </c>
      <c r="C1217" s="46" t="s">
        <v>2518</v>
      </c>
      <c r="D1217" s="47">
        <v>21645</v>
      </c>
      <c r="E1217" s="47">
        <v>44429</v>
      </c>
      <c r="F1217" s="46" t="s">
        <v>2602</v>
      </c>
      <c r="G1217" s="46">
        <v>39889</v>
      </c>
      <c r="H1217" s="46" t="s">
        <v>2614</v>
      </c>
      <c r="I1217" s="46" t="s">
        <v>2617</v>
      </c>
      <c r="J1217" s="46" t="s">
        <v>2821</v>
      </c>
      <c r="K1217" s="46" t="s">
        <v>3308</v>
      </c>
      <c r="L1217" s="46">
        <v>4</v>
      </c>
    </row>
    <row r="1218" spans="1:12" x14ac:dyDescent="0.3">
      <c r="A1218" s="46" t="s">
        <v>1227</v>
      </c>
      <c r="B1218" s="46">
        <f>LEN(Table2[[#This Row],[Employee ID]])</f>
        <v>7</v>
      </c>
      <c r="C1218" s="46" t="s">
        <v>2519</v>
      </c>
      <c r="D1218" s="47">
        <v>30062</v>
      </c>
      <c r="E1218" s="47">
        <v>31000</v>
      </c>
      <c r="F1218" s="46" t="s">
        <v>2605</v>
      </c>
      <c r="G1218" s="46">
        <v>184717</v>
      </c>
      <c r="H1218" s="46" t="s">
        <v>2611</v>
      </c>
      <c r="I1218" s="46" t="s">
        <v>2617</v>
      </c>
      <c r="J1218" s="46" t="s">
        <v>3188</v>
      </c>
      <c r="K1218" s="46" t="s">
        <v>3310</v>
      </c>
      <c r="L1218" s="46">
        <v>41</v>
      </c>
    </row>
    <row r="1219" spans="1:12" x14ac:dyDescent="0.3">
      <c r="A1219" s="46" t="s">
        <v>1228</v>
      </c>
      <c r="B1219" s="46">
        <f>LEN(Table2[[#This Row],[Employee ID]])</f>
        <v>7</v>
      </c>
      <c r="C1219" s="46" t="s">
        <v>2520</v>
      </c>
      <c r="D1219" s="47">
        <v>27287</v>
      </c>
      <c r="E1219" s="47">
        <v>43864</v>
      </c>
      <c r="F1219" s="46" t="s">
        <v>2600</v>
      </c>
      <c r="G1219" s="46">
        <v>182633</v>
      </c>
      <c r="H1219" s="46" t="s">
        <v>2611</v>
      </c>
      <c r="I1219" s="46" t="s">
        <v>2617</v>
      </c>
      <c r="J1219" s="46" t="s">
        <v>2619</v>
      </c>
      <c r="K1219" s="46" t="s">
        <v>3304</v>
      </c>
      <c r="L1219" s="46">
        <v>5</v>
      </c>
    </row>
    <row r="1220" spans="1:12" x14ac:dyDescent="0.3">
      <c r="A1220" s="46" t="s">
        <v>1229</v>
      </c>
      <c r="B1220" s="46">
        <f>LEN(Table2[[#This Row],[Employee ID]])</f>
        <v>7</v>
      </c>
      <c r="C1220" s="46" t="s">
        <v>2521</v>
      </c>
      <c r="D1220" s="47">
        <v>35741</v>
      </c>
      <c r="E1220" s="47">
        <v>26022</v>
      </c>
      <c r="F1220" s="46" t="s">
        <v>2602</v>
      </c>
      <c r="G1220" s="46">
        <v>58546</v>
      </c>
      <c r="H1220" s="46" t="s">
        <v>2614</v>
      </c>
      <c r="I1220" s="46" t="s">
        <v>2617</v>
      </c>
      <c r="J1220" s="46" t="s">
        <v>2991</v>
      </c>
      <c r="K1220" s="46" t="s">
        <v>3305</v>
      </c>
      <c r="L1220" s="46">
        <v>54</v>
      </c>
    </row>
    <row r="1221" spans="1:12" x14ac:dyDescent="0.3">
      <c r="A1221" s="46" t="s">
        <v>1230</v>
      </c>
      <c r="B1221" s="46">
        <f>LEN(Table2[[#This Row],[Employee ID]])</f>
        <v>7</v>
      </c>
      <c r="C1221" s="46" t="s">
        <v>2522</v>
      </c>
      <c r="D1221" s="47">
        <v>28165</v>
      </c>
      <c r="E1221" s="47">
        <v>43663</v>
      </c>
      <c r="F1221" s="46" t="s">
        <v>2600</v>
      </c>
      <c r="G1221" s="46">
        <v>121469</v>
      </c>
      <c r="H1221" s="46" t="s">
        <v>2610</v>
      </c>
      <c r="I1221" s="46" t="s">
        <v>2616</v>
      </c>
      <c r="J1221" s="46" t="s">
        <v>3265</v>
      </c>
      <c r="K1221" s="46" t="s">
        <v>3309</v>
      </c>
      <c r="L1221" s="46">
        <v>6</v>
      </c>
    </row>
    <row r="1222" spans="1:12" x14ac:dyDescent="0.3">
      <c r="A1222" s="46" t="s">
        <v>1231</v>
      </c>
      <c r="B1222" s="46">
        <f>LEN(Table2[[#This Row],[Employee ID]])</f>
        <v>7</v>
      </c>
      <c r="C1222" s="46" t="s">
        <v>2523</v>
      </c>
      <c r="D1222" s="47">
        <v>26697</v>
      </c>
      <c r="E1222" s="47">
        <v>26887</v>
      </c>
      <c r="F1222" s="46" t="s">
        <v>2605</v>
      </c>
      <c r="G1222" s="46">
        <v>174595</v>
      </c>
      <c r="H1222" s="46" t="s">
        <v>2612</v>
      </c>
      <c r="I1222" s="46" t="s">
        <v>2616</v>
      </c>
      <c r="J1222" s="46" t="s">
        <v>3289</v>
      </c>
      <c r="K1222" s="46" t="s">
        <v>3310</v>
      </c>
      <c r="L1222" s="46">
        <v>52</v>
      </c>
    </row>
    <row r="1223" spans="1:12" x14ac:dyDescent="0.3">
      <c r="A1223" s="46" t="s">
        <v>1232</v>
      </c>
      <c r="B1223" s="46">
        <f>LEN(Table2[[#This Row],[Employee ID]])</f>
        <v>7</v>
      </c>
      <c r="C1223" s="46" t="s">
        <v>2524</v>
      </c>
      <c r="D1223" s="47">
        <v>36781</v>
      </c>
      <c r="E1223" s="47">
        <v>40840</v>
      </c>
      <c r="F1223" s="46" t="s">
        <v>2599</v>
      </c>
      <c r="G1223" s="46">
        <v>28552</v>
      </c>
      <c r="H1223" s="46" t="s">
        <v>2608</v>
      </c>
      <c r="I1223" s="46" t="s">
        <v>2617</v>
      </c>
      <c r="J1223" s="46" t="s">
        <v>2699</v>
      </c>
      <c r="K1223" s="46" t="s">
        <v>3308</v>
      </c>
      <c r="L1223" s="46">
        <v>14</v>
      </c>
    </row>
    <row r="1224" spans="1:12" x14ac:dyDescent="0.3">
      <c r="A1224" s="46" t="s">
        <v>1233</v>
      </c>
      <c r="B1224" s="46">
        <f>LEN(Table2[[#This Row],[Employee ID]])</f>
        <v>7</v>
      </c>
      <c r="C1224" s="46" t="s">
        <v>2525</v>
      </c>
      <c r="D1224" s="47">
        <v>23969</v>
      </c>
      <c r="E1224" s="47">
        <v>44722</v>
      </c>
      <c r="F1224" s="46" t="s">
        <v>2599</v>
      </c>
      <c r="G1224" s="46">
        <v>77288</v>
      </c>
      <c r="H1224" s="46" t="s">
        <v>2610</v>
      </c>
      <c r="I1224" s="46" t="s">
        <v>2617</v>
      </c>
      <c r="J1224" s="46" t="s">
        <v>3290</v>
      </c>
      <c r="K1224" s="46" t="s">
        <v>3307</v>
      </c>
      <c r="L1224" s="46">
        <v>3</v>
      </c>
    </row>
    <row r="1225" spans="1:12" x14ac:dyDescent="0.3">
      <c r="A1225" s="46" t="s">
        <v>1234</v>
      </c>
      <c r="B1225" s="46">
        <f>LEN(Table2[[#This Row],[Employee ID]])</f>
        <v>7</v>
      </c>
      <c r="C1225" s="46" t="s">
        <v>2526</v>
      </c>
      <c r="D1225" s="47">
        <v>27861</v>
      </c>
      <c r="E1225" s="47">
        <v>38315</v>
      </c>
      <c r="F1225" s="46" t="s">
        <v>2605</v>
      </c>
      <c r="G1225" s="46">
        <v>135183</v>
      </c>
      <c r="H1225" s="46" t="s">
        <v>2613</v>
      </c>
      <c r="I1225" s="46" t="s">
        <v>2616</v>
      </c>
      <c r="J1225" s="46" t="s">
        <v>2993</v>
      </c>
      <c r="K1225" s="46" t="s">
        <v>3306</v>
      </c>
      <c r="L1225" s="46">
        <v>21</v>
      </c>
    </row>
    <row r="1226" spans="1:12" x14ac:dyDescent="0.3">
      <c r="A1226" s="46" t="s">
        <v>1235</v>
      </c>
      <c r="B1226" s="46">
        <f>LEN(Table2[[#This Row],[Employee ID]])</f>
        <v>7</v>
      </c>
      <c r="C1226" s="46" t="s">
        <v>2527</v>
      </c>
      <c r="D1226" s="47">
        <v>29900</v>
      </c>
      <c r="E1226" s="47">
        <v>27918</v>
      </c>
      <c r="F1226" s="46" t="s">
        <v>2602</v>
      </c>
      <c r="G1226" s="46">
        <v>199126</v>
      </c>
      <c r="H1226" s="46" t="s">
        <v>2606</v>
      </c>
      <c r="I1226" s="46" t="s">
        <v>2617</v>
      </c>
      <c r="J1226" s="46" t="s">
        <v>2877</v>
      </c>
      <c r="K1226" s="46" t="s">
        <v>3309</v>
      </c>
      <c r="L1226" s="46">
        <v>49</v>
      </c>
    </row>
    <row r="1227" spans="1:12" x14ac:dyDescent="0.3">
      <c r="A1227" s="46" t="s">
        <v>1236</v>
      </c>
      <c r="B1227" s="46">
        <f>LEN(Table2[[#This Row],[Employee ID]])</f>
        <v>7</v>
      </c>
      <c r="C1227" s="46" t="s">
        <v>2528</v>
      </c>
      <c r="D1227" s="47">
        <v>31255</v>
      </c>
      <c r="E1227" s="47">
        <v>42359</v>
      </c>
      <c r="F1227" s="46" t="s">
        <v>2600</v>
      </c>
      <c r="G1227" s="46">
        <v>182259</v>
      </c>
      <c r="H1227" s="46" t="s">
        <v>2612</v>
      </c>
      <c r="I1227" s="46" t="s">
        <v>2616</v>
      </c>
      <c r="J1227" s="46" t="s">
        <v>3181</v>
      </c>
      <c r="K1227" s="46" t="s">
        <v>3306</v>
      </c>
      <c r="L1227" s="46">
        <v>10</v>
      </c>
    </row>
    <row r="1228" spans="1:12" x14ac:dyDescent="0.3">
      <c r="A1228" s="46" t="s">
        <v>1237</v>
      </c>
      <c r="B1228" s="46">
        <f>LEN(Table2[[#This Row],[Employee ID]])</f>
        <v>7</v>
      </c>
      <c r="C1228" s="46" t="s">
        <v>2529</v>
      </c>
      <c r="D1228" s="47">
        <v>32211</v>
      </c>
      <c r="E1228" s="47">
        <v>35556</v>
      </c>
      <c r="F1228" s="46" t="s">
        <v>2603</v>
      </c>
      <c r="G1228" s="46">
        <v>92307</v>
      </c>
      <c r="H1228" s="46" t="s">
        <v>2612</v>
      </c>
      <c r="I1228" s="46" t="s">
        <v>2616</v>
      </c>
      <c r="J1228" s="46" t="s">
        <v>3001</v>
      </c>
      <c r="K1228" s="46" t="s">
        <v>3305</v>
      </c>
      <c r="L1228" s="46">
        <v>28</v>
      </c>
    </row>
    <row r="1229" spans="1:12" x14ac:dyDescent="0.3">
      <c r="A1229" s="46" t="s">
        <v>1238</v>
      </c>
      <c r="B1229" s="46">
        <f>LEN(Table2[[#This Row],[Employee ID]])</f>
        <v>7</v>
      </c>
      <c r="C1229" s="46" t="s">
        <v>2530</v>
      </c>
      <c r="D1229" s="47">
        <v>35619</v>
      </c>
      <c r="E1229" s="47">
        <v>36337</v>
      </c>
      <c r="F1229" s="46" t="s">
        <v>2599</v>
      </c>
      <c r="G1229" s="46">
        <v>85687</v>
      </c>
      <c r="H1229" s="46" t="s">
        <v>2613</v>
      </c>
      <c r="I1229" s="46" t="s">
        <v>2616</v>
      </c>
      <c r="J1229" s="46" t="s">
        <v>3029</v>
      </c>
      <c r="K1229" s="46" t="s">
        <v>3308</v>
      </c>
      <c r="L1229" s="46">
        <v>26</v>
      </c>
    </row>
    <row r="1230" spans="1:12" x14ac:dyDescent="0.3">
      <c r="A1230" s="46" t="s">
        <v>1239</v>
      </c>
      <c r="B1230" s="46">
        <f>LEN(Table2[[#This Row],[Employee ID]])</f>
        <v>7</v>
      </c>
      <c r="C1230" s="46" t="s">
        <v>2531</v>
      </c>
      <c r="D1230" s="47">
        <v>34757</v>
      </c>
      <c r="E1230" s="47">
        <v>37437</v>
      </c>
      <c r="F1230" s="46" t="s">
        <v>2602</v>
      </c>
      <c r="G1230" s="46">
        <v>21961</v>
      </c>
      <c r="H1230" s="46" t="s">
        <v>2610</v>
      </c>
      <c r="I1230" s="46" t="s">
        <v>2616</v>
      </c>
      <c r="J1230" s="46" t="s">
        <v>3124</v>
      </c>
      <c r="K1230" s="46" t="s">
        <v>3307</v>
      </c>
      <c r="L1230" s="46">
        <v>23</v>
      </c>
    </row>
    <row r="1231" spans="1:12" x14ac:dyDescent="0.3">
      <c r="A1231" s="46" t="s">
        <v>1240</v>
      </c>
      <c r="B1231" s="46">
        <f>LEN(Table2[[#This Row],[Employee ID]])</f>
        <v>7</v>
      </c>
      <c r="C1231" s="46" t="s">
        <v>2532</v>
      </c>
      <c r="D1231" s="47">
        <v>34189</v>
      </c>
      <c r="E1231" s="47">
        <v>28013</v>
      </c>
      <c r="F1231" s="46" t="s">
        <v>2599</v>
      </c>
      <c r="G1231" s="46">
        <v>27152</v>
      </c>
      <c r="H1231" s="46" t="s">
        <v>2611</v>
      </c>
      <c r="I1231" s="46" t="s">
        <v>2616</v>
      </c>
      <c r="J1231" s="46" t="s">
        <v>3267</v>
      </c>
      <c r="K1231" s="46" t="s">
        <v>3307</v>
      </c>
      <c r="L1231" s="46">
        <v>49</v>
      </c>
    </row>
    <row r="1232" spans="1:12" x14ac:dyDescent="0.3">
      <c r="A1232" s="46" t="s">
        <v>1241</v>
      </c>
      <c r="B1232" s="46">
        <f>LEN(Table2[[#This Row],[Employee ID]])</f>
        <v>7</v>
      </c>
      <c r="C1232" s="46" t="s">
        <v>2533</v>
      </c>
      <c r="D1232" s="47">
        <v>28945</v>
      </c>
      <c r="E1232" s="47">
        <v>40313</v>
      </c>
      <c r="F1232" s="46" t="s">
        <v>2603</v>
      </c>
      <c r="G1232" s="46">
        <v>135683</v>
      </c>
      <c r="H1232" s="46" t="s">
        <v>2613</v>
      </c>
      <c r="I1232" s="46" t="s">
        <v>2616</v>
      </c>
      <c r="J1232" s="46" t="s">
        <v>3291</v>
      </c>
      <c r="K1232" s="46" t="s">
        <v>3305</v>
      </c>
      <c r="L1232" s="46">
        <v>15</v>
      </c>
    </row>
    <row r="1233" spans="1:12" x14ac:dyDescent="0.3">
      <c r="A1233" s="46" t="s">
        <v>1242</v>
      </c>
      <c r="B1233" s="46">
        <f>LEN(Table2[[#This Row],[Employee ID]])</f>
        <v>7</v>
      </c>
      <c r="C1233" s="46" t="s">
        <v>2534</v>
      </c>
      <c r="D1233" s="47">
        <v>26955</v>
      </c>
      <c r="E1233" s="47">
        <v>30572</v>
      </c>
      <c r="F1233" s="46" t="s">
        <v>2602</v>
      </c>
      <c r="G1233" s="46">
        <v>113645</v>
      </c>
      <c r="H1233" s="46" t="s">
        <v>2613</v>
      </c>
      <c r="I1233" s="46" t="s">
        <v>2616</v>
      </c>
      <c r="J1233" s="46" t="s">
        <v>3292</v>
      </c>
      <c r="K1233" s="46" t="s">
        <v>3305</v>
      </c>
      <c r="L1233" s="46">
        <v>42</v>
      </c>
    </row>
    <row r="1234" spans="1:12" x14ac:dyDescent="0.3">
      <c r="A1234" s="46" t="s">
        <v>1243</v>
      </c>
      <c r="B1234" s="46">
        <f>LEN(Table2[[#This Row],[Employee ID]])</f>
        <v>7</v>
      </c>
      <c r="C1234" s="46" t="s">
        <v>2535</v>
      </c>
      <c r="D1234" s="47">
        <v>28117</v>
      </c>
      <c r="E1234" s="47">
        <v>42013</v>
      </c>
      <c r="F1234" s="46" t="s">
        <v>2601</v>
      </c>
      <c r="G1234" s="46">
        <v>77655</v>
      </c>
      <c r="H1234" s="46" t="s">
        <v>2610</v>
      </c>
      <c r="I1234" s="46" t="s">
        <v>2616</v>
      </c>
      <c r="J1234" s="46" t="s">
        <v>2827</v>
      </c>
      <c r="K1234" s="46" t="s">
        <v>3307</v>
      </c>
      <c r="L1234" s="46">
        <v>10</v>
      </c>
    </row>
    <row r="1235" spans="1:12" x14ac:dyDescent="0.3">
      <c r="A1235" s="46" t="s">
        <v>1244</v>
      </c>
      <c r="B1235" s="46">
        <f>LEN(Table2[[#This Row],[Employee ID]])</f>
        <v>7</v>
      </c>
      <c r="C1235" s="46" t="s">
        <v>2536</v>
      </c>
      <c r="D1235" s="47">
        <v>34583</v>
      </c>
      <c r="E1235" s="47">
        <v>31207</v>
      </c>
      <c r="F1235" s="46" t="s">
        <v>2604</v>
      </c>
      <c r="G1235" s="46">
        <v>79335</v>
      </c>
      <c r="H1235" s="46" t="s">
        <v>2611</v>
      </c>
      <c r="I1235" s="46" t="s">
        <v>2617</v>
      </c>
      <c r="J1235" s="46" t="s">
        <v>3293</v>
      </c>
      <c r="K1235" s="46" t="s">
        <v>3305</v>
      </c>
      <c r="L1235" s="46">
        <v>40</v>
      </c>
    </row>
    <row r="1236" spans="1:12" x14ac:dyDescent="0.3">
      <c r="A1236" s="46" t="s">
        <v>1245</v>
      </c>
      <c r="B1236" s="46">
        <f>LEN(Table2[[#This Row],[Employee ID]])</f>
        <v>7</v>
      </c>
      <c r="C1236" s="46" t="s">
        <v>2537</v>
      </c>
      <c r="D1236" s="47">
        <v>29792</v>
      </c>
      <c r="E1236" s="47">
        <v>37938</v>
      </c>
      <c r="F1236" s="46" t="s">
        <v>2599</v>
      </c>
      <c r="G1236" s="46">
        <v>63125</v>
      </c>
      <c r="H1236" s="46" t="s">
        <v>2614</v>
      </c>
      <c r="I1236" s="46" t="s">
        <v>2616</v>
      </c>
      <c r="J1236" s="46" t="s">
        <v>3280</v>
      </c>
      <c r="K1236" s="46" t="s">
        <v>3306</v>
      </c>
      <c r="L1236" s="46">
        <v>22</v>
      </c>
    </row>
    <row r="1237" spans="1:12" x14ac:dyDescent="0.3">
      <c r="A1237" s="46" t="s">
        <v>1246</v>
      </c>
      <c r="B1237" s="46">
        <f>LEN(Table2[[#This Row],[Employee ID]])</f>
        <v>7</v>
      </c>
      <c r="C1237" s="46" t="s">
        <v>2538</v>
      </c>
      <c r="D1237" s="47">
        <v>34948</v>
      </c>
      <c r="E1237" s="47">
        <v>26053</v>
      </c>
      <c r="F1237" s="46" t="s">
        <v>2599</v>
      </c>
      <c r="G1237" s="46">
        <v>169153</v>
      </c>
      <c r="H1237" s="46" t="s">
        <v>2611</v>
      </c>
      <c r="I1237" s="46" t="s">
        <v>2616</v>
      </c>
      <c r="J1237" s="46" t="s">
        <v>3150</v>
      </c>
      <c r="K1237" s="46" t="s">
        <v>3305</v>
      </c>
      <c r="L1237" s="46">
        <v>54</v>
      </c>
    </row>
    <row r="1238" spans="1:12" x14ac:dyDescent="0.3">
      <c r="A1238" s="46" t="s">
        <v>1247</v>
      </c>
      <c r="B1238" s="46">
        <f>LEN(Table2[[#This Row],[Employee ID]])</f>
        <v>7</v>
      </c>
      <c r="C1238" s="46" t="s">
        <v>2539</v>
      </c>
      <c r="D1238" s="47">
        <v>24634</v>
      </c>
      <c r="E1238" s="47">
        <v>40695</v>
      </c>
      <c r="F1238" s="46" t="s">
        <v>2600</v>
      </c>
      <c r="G1238" s="46">
        <v>133853</v>
      </c>
      <c r="H1238" s="46" t="s">
        <v>2610</v>
      </c>
      <c r="I1238" s="46" t="s">
        <v>2617</v>
      </c>
      <c r="J1238" s="46" t="s">
        <v>2930</v>
      </c>
      <c r="K1238" s="46" t="s">
        <v>3309</v>
      </c>
      <c r="L1238" s="46">
        <v>14</v>
      </c>
    </row>
    <row r="1239" spans="1:12" x14ac:dyDescent="0.3">
      <c r="A1239" s="46" t="s">
        <v>1248</v>
      </c>
      <c r="B1239" s="46">
        <f>LEN(Table2[[#This Row],[Employee ID]])</f>
        <v>7</v>
      </c>
      <c r="C1239" s="46" t="s">
        <v>2540</v>
      </c>
      <c r="D1239" s="47">
        <v>35285</v>
      </c>
      <c r="E1239" s="47">
        <v>32363</v>
      </c>
      <c r="F1239" s="46" t="s">
        <v>2600</v>
      </c>
      <c r="G1239" s="46">
        <v>22976</v>
      </c>
      <c r="H1239" s="46" t="s">
        <v>2611</v>
      </c>
      <c r="I1239" s="46" t="s">
        <v>2617</v>
      </c>
      <c r="J1239" s="46" t="s">
        <v>3000</v>
      </c>
      <c r="K1239" s="46" t="s">
        <v>3310</v>
      </c>
      <c r="L1239" s="46">
        <v>37</v>
      </c>
    </row>
    <row r="1240" spans="1:12" x14ac:dyDescent="0.3">
      <c r="A1240" s="46" t="s">
        <v>1249</v>
      </c>
      <c r="B1240" s="46">
        <f>LEN(Table2[[#This Row],[Employee ID]])</f>
        <v>7</v>
      </c>
      <c r="C1240" s="46" t="s">
        <v>2541</v>
      </c>
      <c r="D1240" s="47">
        <v>30691</v>
      </c>
      <c r="E1240" s="47">
        <v>40987</v>
      </c>
      <c r="F1240" s="46" t="s">
        <v>2604</v>
      </c>
      <c r="G1240" s="46">
        <v>194616</v>
      </c>
      <c r="H1240" s="46" t="s">
        <v>2610</v>
      </c>
      <c r="I1240" s="46" t="s">
        <v>2617</v>
      </c>
      <c r="J1240" s="46" t="s">
        <v>3294</v>
      </c>
      <c r="K1240" s="46" t="s">
        <v>3308</v>
      </c>
      <c r="L1240" s="46">
        <v>13</v>
      </c>
    </row>
    <row r="1241" spans="1:12" x14ac:dyDescent="0.3">
      <c r="A1241" s="46" t="s">
        <v>1250</v>
      </c>
      <c r="B1241" s="46">
        <f>LEN(Table2[[#This Row],[Employee ID]])</f>
        <v>7</v>
      </c>
      <c r="C1241" s="46" t="s">
        <v>2542</v>
      </c>
      <c r="D1241" s="47">
        <v>30383</v>
      </c>
      <c r="E1241" s="47">
        <v>32385</v>
      </c>
      <c r="F1241" s="46" t="s">
        <v>2600</v>
      </c>
      <c r="G1241" s="46">
        <v>43747</v>
      </c>
      <c r="H1241" s="46" t="s">
        <v>2606</v>
      </c>
      <c r="I1241" s="46" t="s">
        <v>2616</v>
      </c>
      <c r="J1241" s="46" t="s">
        <v>3295</v>
      </c>
      <c r="K1241" s="46" t="s">
        <v>3310</v>
      </c>
      <c r="L1241" s="46">
        <v>37</v>
      </c>
    </row>
    <row r="1242" spans="1:12" x14ac:dyDescent="0.3">
      <c r="A1242" s="46" t="s">
        <v>1251</v>
      </c>
      <c r="B1242" s="46">
        <f>LEN(Table2[[#This Row],[Employee ID]])</f>
        <v>7</v>
      </c>
      <c r="C1242" s="46" t="s">
        <v>2543</v>
      </c>
      <c r="D1242" s="47">
        <v>36929</v>
      </c>
      <c r="E1242" s="47">
        <v>34898</v>
      </c>
      <c r="F1242" s="46" t="s">
        <v>2604</v>
      </c>
      <c r="G1242" s="46">
        <v>199792</v>
      </c>
      <c r="H1242" s="46" t="s">
        <v>2615</v>
      </c>
      <c r="I1242" s="46" t="s">
        <v>2617</v>
      </c>
      <c r="J1242" s="46" t="s">
        <v>2949</v>
      </c>
      <c r="K1242" s="46" t="s">
        <v>3304</v>
      </c>
      <c r="L1242" s="46">
        <v>30</v>
      </c>
    </row>
    <row r="1243" spans="1:12" x14ac:dyDescent="0.3">
      <c r="A1243" s="46" t="s">
        <v>1252</v>
      </c>
      <c r="B1243" s="46">
        <f>LEN(Table2[[#This Row],[Employee ID]])</f>
        <v>7</v>
      </c>
      <c r="C1243" s="46" t="s">
        <v>2544</v>
      </c>
      <c r="D1243" s="47">
        <v>29354</v>
      </c>
      <c r="E1243" s="47">
        <v>41829</v>
      </c>
      <c r="F1243" s="46" t="s">
        <v>2602</v>
      </c>
      <c r="G1243" s="46">
        <v>91578</v>
      </c>
      <c r="H1243" s="46" t="s">
        <v>2615</v>
      </c>
      <c r="I1243" s="46" t="s">
        <v>2616</v>
      </c>
      <c r="J1243" s="46" t="s">
        <v>2837</v>
      </c>
      <c r="K1243" s="46" t="s">
        <v>3304</v>
      </c>
      <c r="L1243" s="46">
        <v>11</v>
      </c>
    </row>
    <row r="1244" spans="1:12" x14ac:dyDescent="0.3">
      <c r="A1244" s="46" t="s">
        <v>1253</v>
      </c>
      <c r="B1244" s="46">
        <f>LEN(Table2[[#This Row],[Employee ID]])</f>
        <v>7</v>
      </c>
      <c r="C1244" s="46" t="s">
        <v>2545</v>
      </c>
      <c r="D1244" s="47">
        <v>30016</v>
      </c>
      <c r="E1244" s="47">
        <v>39484</v>
      </c>
      <c r="F1244" s="46" t="s">
        <v>2605</v>
      </c>
      <c r="G1244" s="46">
        <v>123238</v>
      </c>
      <c r="H1244" s="46" t="s">
        <v>2615</v>
      </c>
      <c r="I1244" s="46" t="s">
        <v>2617</v>
      </c>
      <c r="J1244" s="46" t="s">
        <v>3121</v>
      </c>
      <c r="K1244" s="46" t="s">
        <v>3304</v>
      </c>
      <c r="L1244" s="46">
        <v>17</v>
      </c>
    </row>
    <row r="1245" spans="1:12" x14ac:dyDescent="0.3">
      <c r="A1245" s="46" t="s">
        <v>1254</v>
      </c>
      <c r="B1245" s="46">
        <f>LEN(Table2[[#This Row],[Employee ID]])</f>
        <v>7</v>
      </c>
      <c r="C1245" s="46" t="s">
        <v>2546</v>
      </c>
      <c r="D1245" s="47">
        <v>29775</v>
      </c>
      <c r="E1245" s="47">
        <v>32157</v>
      </c>
      <c r="F1245" s="46" t="s">
        <v>2600</v>
      </c>
      <c r="G1245" s="46">
        <v>147912</v>
      </c>
      <c r="H1245" s="46" t="s">
        <v>2614</v>
      </c>
      <c r="I1245" s="46" t="s">
        <v>2617</v>
      </c>
      <c r="J1245" s="46" t="s">
        <v>2801</v>
      </c>
      <c r="K1245" s="46" t="s">
        <v>3305</v>
      </c>
      <c r="L1245" s="46">
        <v>37</v>
      </c>
    </row>
    <row r="1246" spans="1:12" x14ac:dyDescent="0.3">
      <c r="A1246" s="46" t="s">
        <v>1255</v>
      </c>
      <c r="B1246" s="46">
        <f>LEN(Table2[[#This Row],[Employee ID]])</f>
        <v>7</v>
      </c>
      <c r="C1246" s="46" t="s">
        <v>2547</v>
      </c>
      <c r="D1246" s="47">
        <v>27850</v>
      </c>
      <c r="E1246" s="47">
        <v>27527</v>
      </c>
      <c r="F1246" s="46" t="s">
        <v>2605</v>
      </c>
      <c r="G1246" s="46">
        <v>110097</v>
      </c>
      <c r="H1246" s="46" t="s">
        <v>2610</v>
      </c>
      <c r="I1246" s="46" t="s">
        <v>2617</v>
      </c>
      <c r="J1246" s="46" t="s">
        <v>2998</v>
      </c>
      <c r="K1246" s="46" t="s">
        <v>3305</v>
      </c>
      <c r="L1246" s="46">
        <v>50</v>
      </c>
    </row>
    <row r="1247" spans="1:12" x14ac:dyDescent="0.3">
      <c r="A1247" s="46" t="s">
        <v>1256</v>
      </c>
      <c r="B1247" s="46">
        <f>LEN(Table2[[#This Row],[Employee ID]])</f>
        <v>7</v>
      </c>
      <c r="C1247" s="46" t="s">
        <v>2548</v>
      </c>
      <c r="D1247" s="47">
        <v>37572</v>
      </c>
      <c r="E1247" s="47">
        <v>44167</v>
      </c>
      <c r="F1247" s="46" t="s">
        <v>2599</v>
      </c>
      <c r="G1247" s="46">
        <v>128850</v>
      </c>
      <c r="H1247" s="46" t="s">
        <v>2609</v>
      </c>
      <c r="I1247" s="46" t="s">
        <v>2617</v>
      </c>
      <c r="J1247" s="46" t="s">
        <v>2638</v>
      </c>
      <c r="K1247" s="46" t="s">
        <v>3307</v>
      </c>
      <c r="L1247" s="46">
        <v>5</v>
      </c>
    </row>
    <row r="1248" spans="1:12" x14ac:dyDescent="0.3">
      <c r="A1248" s="46" t="s">
        <v>1257</v>
      </c>
      <c r="B1248" s="46">
        <f>LEN(Table2[[#This Row],[Employee ID]])</f>
        <v>7</v>
      </c>
      <c r="C1248" s="46" t="s">
        <v>2549</v>
      </c>
      <c r="D1248" s="47">
        <v>31847</v>
      </c>
      <c r="E1248" s="47">
        <v>27121</v>
      </c>
      <c r="F1248" s="46" t="s">
        <v>2600</v>
      </c>
      <c r="G1248" s="46">
        <v>42916</v>
      </c>
      <c r="H1248" s="46" t="s">
        <v>2608</v>
      </c>
      <c r="I1248" s="46" t="s">
        <v>2616</v>
      </c>
      <c r="J1248" s="46" t="s">
        <v>3032</v>
      </c>
      <c r="K1248" s="46" t="s">
        <v>3306</v>
      </c>
      <c r="L1248" s="46">
        <v>51</v>
      </c>
    </row>
    <row r="1249" spans="1:12" x14ac:dyDescent="0.3">
      <c r="A1249" s="46" t="s">
        <v>1258</v>
      </c>
      <c r="B1249" s="46">
        <f>LEN(Table2[[#This Row],[Employee ID]])</f>
        <v>7</v>
      </c>
      <c r="C1249" s="46" t="s">
        <v>2550</v>
      </c>
      <c r="D1249" s="47">
        <v>22876</v>
      </c>
      <c r="E1249" s="47">
        <v>42043</v>
      </c>
      <c r="F1249" s="46" t="s">
        <v>2601</v>
      </c>
      <c r="G1249" s="46">
        <v>116462</v>
      </c>
      <c r="H1249" s="46" t="s">
        <v>2613</v>
      </c>
      <c r="I1249" s="46" t="s">
        <v>2617</v>
      </c>
      <c r="J1249" s="46" t="s">
        <v>3129</v>
      </c>
      <c r="K1249" s="46" t="s">
        <v>3308</v>
      </c>
      <c r="L1249" s="46">
        <v>10</v>
      </c>
    </row>
    <row r="1250" spans="1:12" x14ac:dyDescent="0.3">
      <c r="A1250" s="46" t="s">
        <v>1259</v>
      </c>
      <c r="B1250" s="46">
        <f>LEN(Table2[[#This Row],[Employee ID]])</f>
        <v>7</v>
      </c>
      <c r="C1250" s="46" t="s">
        <v>2551</v>
      </c>
      <c r="D1250" s="47">
        <v>28421</v>
      </c>
      <c r="E1250" s="47">
        <v>37258</v>
      </c>
      <c r="F1250" s="46" t="s">
        <v>2605</v>
      </c>
      <c r="G1250" s="46">
        <v>74009</v>
      </c>
      <c r="H1250" s="46" t="s">
        <v>2614</v>
      </c>
      <c r="I1250" s="46" t="s">
        <v>2616</v>
      </c>
      <c r="J1250" s="46" t="s">
        <v>2891</v>
      </c>
      <c r="K1250" s="46" t="s">
        <v>3309</v>
      </c>
      <c r="L1250" s="46">
        <v>23</v>
      </c>
    </row>
    <row r="1251" spans="1:12" x14ac:dyDescent="0.3">
      <c r="A1251" s="46" t="s">
        <v>1260</v>
      </c>
      <c r="B1251" s="46">
        <f>LEN(Table2[[#This Row],[Employee ID]])</f>
        <v>7</v>
      </c>
      <c r="C1251" s="46" t="s">
        <v>2552</v>
      </c>
      <c r="D1251" s="47">
        <v>29648</v>
      </c>
      <c r="E1251" s="47">
        <v>42691</v>
      </c>
      <c r="F1251" s="46" t="s">
        <v>2603</v>
      </c>
      <c r="G1251" s="46">
        <v>125221</v>
      </c>
      <c r="H1251" s="46" t="s">
        <v>2613</v>
      </c>
      <c r="I1251" s="46" t="s">
        <v>2616</v>
      </c>
      <c r="J1251" s="46" t="s">
        <v>3296</v>
      </c>
      <c r="K1251" s="46" t="s">
        <v>3306</v>
      </c>
      <c r="L1251" s="46">
        <v>9</v>
      </c>
    </row>
    <row r="1252" spans="1:12" x14ac:dyDescent="0.3">
      <c r="A1252" s="46" t="s">
        <v>1261</v>
      </c>
      <c r="B1252" s="46">
        <f>LEN(Table2[[#This Row],[Employee ID]])</f>
        <v>7</v>
      </c>
      <c r="C1252" s="46" t="s">
        <v>2553</v>
      </c>
      <c r="D1252" s="47">
        <v>23728</v>
      </c>
      <c r="E1252" s="47">
        <v>37015</v>
      </c>
      <c r="F1252" s="46" t="s">
        <v>2604</v>
      </c>
      <c r="G1252" s="46">
        <v>20149</v>
      </c>
      <c r="H1252" s="46" t="s">
        <v>2614</v>
      </c>
      <c r="I1252" s="46" t="s">
        <v>2616</v>
      </c>
      <c r="J1252" s="46" t="s">
        <v>3214</v>
      </c>
      <c r="K1252" s="46" t="s">
        <v>3305</v>
      </c>
      <c r="L1252" s="46">
        <v>24</v>
      </c>
    </row>
    <row r="1253" spans="1:12" x14ac:dyDescent="0.3">
      <c r="A1253" s="46" t="s">
        <v>1262</v>
      </c>
      <c r="B1253" s="46">
        <f>LEN(Table2[[#This Row],[Employee ID]])</f>
        <v>7</v>
      </c>
      <c r="C1253" s="46" t="s">
        <v>2554</v>
      </c>
      <c r="D1253" s="47">
        <v>28297</v>
      </c>
      <c r="E1253" s="47">
        <v>41143</v>
      </c>
      <c r="F1253" s="46" t="s">
        <v>2603</v>
      </c>
      <c r="G1253" s="46">
        <v>36802</v>
      </c>
      <c r="H1253" s="46" t="s">
        <v>2608</v>
      </c>
      <c r="I1253" s="46" t="s">
        <v>2617</v>
      </c>
      <c r="J1253" s="46" t="s">
        <v>2689</v>
      </c>
      <c r="K1253" s="46" t="s">
        <v>3309</v>
      </c>
      <c r="L1253" s="46">
        <v>13</v>
      </c>
    </row>
    <row r="1254" spans="1:12" x14ac:dyDescent="0.3">
      <c r="A1254" s="46" t="s">
        <v>1263</v>
      </c>
      <c r="B1254" s="46">
        <f>LEN(Table2[[#This Row],[Employee ID]])</f>
        <v>7</v>
      </c>
      <c r="C1254" s="46" t="s">
        <v>2555</v>
      </c>
      <c r="D1254" s="47">
        <v>27648</v>
      </c>
      <c r="E1254" s="47">
        <v>26713</v>
      </c>
      <c r="F1254" s="46" t="s">
        <v>2603</v>
      </c>
      <c r="G1254" s="46">
        <v>126184</v>
      </c>
      <c r="H1254" s="46" t="s">
        <v>2614</v>
      </c>
      <c r="I1254" s="46" t="s">
        <v>2616</v>
      </c>
      <c r="J1254" s="46" t="s">
        <v>3123</v>
      </c>
      <c r="K1254" s="46" t="s">
        <v>3306</v>
      </c>
      <c r="L1254" s="46">
        <v>52</v>
      </c>
    </row>
    <row r="1255" spans="1:12" x14ac:dyDescent="0.3">
      <c r="A1255" s="46" t="s">
        <v>1264</v>
      </c>
      <c r="B1255" s="46">
        <f>LEN(Table2[[#This Row],[Employee ID]])</f>
        <v>7</v>
      </c>
      <c r="C1255" s="46" t="s">
        <v>2556</v>
      </c>
      <c r="D1255" s="47">
        <v>33816</v>
      </c>
      <c r="E1255" s="47">
        <v>36424</v>
      </c>
      <c r="F1255" s="46" t="s">
        <v>2600</v>
      </c>
      <c r="G1255" s="46">
        <v>99989</v>
      </c>
      <c r="H1255" s="46" t="s">
        <v>2609</v>
      </c>
      <c r="I1255" s="46" t="s">
        <v>2616</v>
      </c>
      <c r="J1255" s="46" t="s">
        <v>3297</v>
      </c>
      <c r="K1255" s="46" t="s">
        <v>3307</v>
      </c>
      <c r="L1255" s="46">
        <v>26</v>
      </c>
    </row>
    <row r="1256" spans="1:12" x14ac:dyDescent="0.3">
      <c r="A1256" s="46" t="s">
        <v>1265</v>
      </c>
      <c r="B1256" s="46">
        <f>LEN(Table2[[#This Row],[Employee ID]])</f>
        <v>7</v>
      </c>
      <c r="C1256" s="46" t="s">
        <v>2557</v>
      </c>
      <c r="D1256" s="47">
        <v>26832</v>
      </c>
      <c r="E1256" s="47">
        <v>31055</v>
      </c>
      <c r="F1256" s="46" t="s">
        <v>2604</v>
      </c>
      <c r="G1256" s="46">
        <v>105776</v>
      </c>
      <c r="H1256" s="46" t="s">
        <v>2608</v>
      </c>
      <c r="I1256" s="46" t="s">
        <v>2617</v>
      </c>
      <c r="J1256" s="46" t="s">
        <v>2860</v>
      </c>
      <c r="K1256" s="46" t="s">
        <v>3304</v>
      </c>
      <c r="L1256" s="46">
        <v>40</v>
      </c>
    </row>
    <row r="1257" spans="1:12" x14ac:dyDescent="0.3">
      <c r="A1257" s="46" t="s">
        <v>1266</v>
      </c>
      <c r="B1257" s="46">
        <f>LEN(Table2[[#This Row],[Employee ID]])</f>
        <v>7</v>
      </c>
      <c r="C1257" s="46" t="s">
        <v>2558</v>
      </c>
      <c r="D1257" s="47">
        <v>24726</v>
      </c>
      <c r="E1257" s="47">
        <v>33709</v>
      </c>
      <c r="F1257" s="46" t="s">
        <v>2600</v>
      </c>
      <c r="G1257" s="46">
        <v>52488</v>
      </c>
      <c r="H1257" s="46" t="s">
        <v>2608</v>
      </c>
      <c r="I1257" s="46" t="s">
        <v>2616</v>
      </c>
      <c r="J1257" s="46" t="s">
        <v>2699</v>
      </c>
      <c r="K1257" s="46" t="s">
        <v>3307</v>
      </c>
      <c r="L1257" s="46">
        <v>33</v>
      </c>
    </row>
    <row r="1258" spans="1:12" x14ac:dyDescent="0.3">
      <c r="A1258" s="46" t="s">
        <v>1267</v>
      </c>
      <c r="B1258" s="46">
        <f>LEN(Table2[[#This Row],[Employee ID]])</f>
        <v>7</v>
      </c>
      <c r="C1258" s="46" t="s">
        <v>2559</v>
      </c>
      <c r="D1258" s="47">
        <v>26702</v>
      </c>
      <c r="E1258" s="47">
        <v>29778</v>
      </c>
      <c r="F1258" s="46" t="s">
        <v>2599</v>
      </c>
      <c r="G1258" s="46">
        <v>71463</v>
      </c>
      <c r="H1258" s="46" t="s">
        <v>2610</v>
      </c>
      <c r="I1258" s="46" t="s">
        <v>2617</v>
      </c>
      <c r="J1258" s="46" t="s">
        <v>3055</v>
      </c>
      <c r="K1258" s="46" t="s">
        <v>3309</v>
      </c>
      <c r="L1258" s="46">
        <v>44</v>
      </c>
    </row>
    <row r="1259" spans="1:12" x14ac:dyDescent="0.3">
      <c r="A1259" s="46" t="s">
        <v>1268</v>
      </c>
      <c r="B1259" s="46">
        <f>LEN(Table2[[#This Row],[Employee ID]])</f>
        <v>7</v>
      </c>
      <c r="C1259" s="46" t="s">
        <v>2560</v>
      </c>
      <c r="D1259" s="47">
        <v>21571</v>
      </c>
      <c r="E1259" s="47">
        <v>41285</v>
      </c>
      <c r="F1259" s="46" t="s">
        <v>2605</v>
      </c>
      <c r="G1259" s="46">
        <v>31918</v>
      </c>
      <c r="H1259" s="46" t="s">
        <v>2607</v>
      </c>
      <c r="I1259" s="46" t="s">
        <v>2617</v>
      </c>
      <c r="J1259" s="46" t="s">
        <v>3298</v>
      </c>
      <c r="K1259" s="46" t="s">
        <v>3310</v>
      </c>
      <c r="L1259" s="46">
        <v>12</v>
      </c>
    </row>
    <row r="1260" spans="1:12" x14ac:dyDescent="0.3">
      <c r="A1260" s="46" t="s">
        <v>1269</v>
      </c>
      <c r="B1260" s="46">
        <f>LEN(Table2[[#This Row],[Employee ID]])</f>
        <v>7</v>
      </c>
      <c r="C1260" s="46" t="s">
        <v>2561</v>
      </c>
      <c r="D1260" s="47">
        <v>22283</v>
      </c>
      <c r="E1260" s="47">
        <v>39829</v>
      </c>
      <c r="F1260" s="46" t="s">
        <v>2599</v>
      </c>
      <c r="G1260" s="46">
        <v>79003</v>
      </c>
      <c r="H1260" s="46" t="s">
        <v>2614</v>
      </c>
      <c r="I1260" s="46" t="s">
        <v>2616</v>
      </c>
      <c r="J1260" s="46" t="s">
        <v>3299</v>
      </c>
      <c r="K1260" s="46" t="s">
        <v>3308</v>
      </c>
      <c r="L1260" s="46">
        <v>16</v>
      </c>
    </row>
    <row r="1261" spans="1:12" x14ac:dyDescent="0.3">
      <c r="A1261" s="46" t="s">
        <v>1270</v>
      </c>
      <c r="B1261" s="46">
        <f>LEN(Table2[[#This Row],[Employee ID]])</f>
        <v>7</v>
      </c>
      <c r="C1261" s="46" t="s">
        <v>2562</v>
      </c>
      <c r="D1261" s="47">
        <v>33118</v>
      </c>
      <c r="E1261" s="47">
        <v>27292</v>
      </c>
      <c r="F1261" s="46" t="s">
        <v>2603</v>
      </c>
      <c r="G1261" s="46">
        <v>140775</v>
      </c>
      <c r="H1261" s="46" t="s">
        <v>2607</v>
      </c>
      <c r="I1261" s="46" t="s">
        <v>2616</v>
      </c>
      <c r="J1261" s="46" t="s">
        <v>2932</v>
      </c>
      <c r="K1261" s="46" t="s">
        <v>3306</v>
      </c>
      <c r="L1261" s="46">
        <v>51</v>
      </c>
    </row>
    <row r="1262" spans="1:12" x14ac:dyDescent="0.3">
      <c r="A1262" s="46" t="s">
        <v>1271</v>
      </c>
      <c r="B1262" s="46">
        <f>LEN(Table2[[#This Row],[Employee ID]])</f>
        <v>7</v>
      </c>
      <c r="C1262" s="46" t="s">
        <v>2563</v>
      </c>
      <c r="D1262" s="47">
        <v>21685</v>
      </c>
      <c r="E1262" s="47">
        <v>27567</v>
      </c>
      <c r="F1262" s="46" t="s">
        <v>2599</v>
      </c>
      <c r="G1262" s="46">
        <v>119389</v>
      </c>
      <c r="H1262" s="46" t="s">
        <v>2606</v>
      </c>
      <c r="I1262" s="46" t="s">
        <v>2616</v>
      </c>
      <c r="J1262" s="46" t="s">
        <v>2884</v>
      </c>
      <c r="K1262" s="46" t="s">
        <v>3308</v>
      </c>
      <c r="L1262" s="46">
        <v>50</v>
      </c>
    </row>
    <row r="1263" spans="1:12" x14ac:dyDescent="0.3">
      <c r="A1263" s="46" t="s">
        <v>1272</v>
      </c>
      <c r="B1263" s="46">
        <f>LEN(Table2[[#This Row],[Employee ID]])</f>
        <v>7</v>
      </c>
      <c r="C1263" s="46" t="s">
        <v>2564</v>
      </c>
      <c r="D1263" s="47">
        <v>22662</v>
      </c>
      <c r="E1263" s="47">
        <v>42662</v>
      </c>
      <c r="F1263" s="46" t="s">
        <v>2600</v>
      </c>
      <c r="G1263" s="46">
        <v>161148</v>
      </c>
      <c r="H1263" s="46" t="s">
        <v>2606</v>
      </c>
      <c r="I1263" s="46" t="s">
        <v>2617</v>
      </c>
      <c r="J1263" s="46" t="s">
        <v>2936</v>
      </c>
      <c r="K1263" s="46" t="s">
        <v>3304</v>
      </c>
      <c r="L1263" s="46">
        <v>9</v>
      </c>
    </row>
    <row r="1264" spans="1:12" x14ac:dyDescent="0.3">
      <c r="A1264" s="46" t="s">
        <v>1273</v>
      </c>
      <c r="B1264" s="46">
        <f>LEN(Table2[[#This Row],[Employee ID]])</f>
        <v>7</v>
      </c>
      <c r="C1264" s="46" t="s">
        <v>2565</v>
      </c>
      <c r="D1264" s="47">
        <v>26727</v>
      </c>
      <c r="E1264" s="47">
        <v>31921</v>
      </c>
      <c r="F1264" s="46" t="s">
        <v>2601</v>
      </c>
      <c r="G1264" s="46">
        <v>146019</v>
      </c>
      <c r="H1264" s="46" t="s">
        <v>2608</v>
      </c>
      <c r="I1264" s="46" t="s">
        <v>2617</v>
      </c>
      <c r="J1264" s="46" t="s">
        <v>2917</v>
      </c>
      <c r="K1264" s="46" t="s">
        <v>3305</v>
      </c>
      <c r="L1264" s="46">
        <v>38</v>
      </c>
    </row>
    <row r="1265" spans="1:12" x14ac:dyDescent="0.3">
      <c r="A1265" s="46" t="s">
        <v>1274</v>
      </c>
      <c r="B1265" s="46">
        <f>LEN(Table2[[#This Row],[Employee ID]])</f>
        <v>7</v>
      </c>
      <c r="C1265" s="46" t="s">
        <v>2566</v>
      </c>
      <c r="D1265" s="47">
        <v>37339</v>
      </c>
      <c r="E1265" s="47">
        <v>30002</v>
      </c>
      <c r="F1265" s="46" t="s">
        <v>2604</v>
      </c>
      <c r="G1265" s="46">
        <v>82007</v>
      </c>
      <c r="H1265" s="46" t="s">
        <v>2607</v>
      </c>
      <c r="I1265" s="46" t="s">
        <v>2617</v>
      </c>
      <c r="J1265" s="46" t="s">
        <v>2829</v>
      </c>
      <c r="K1265" s="46" t="s">
        <v>3310</v>
      </c>
      <c r="L1265" s="46">
        <v>43</v>
      </c>
    </row>
    <row r="1266" spans="1:12" x14ac:dyDescent="0.3">
      <c r="A1266" s="46" t="s">
        <v>1275</v>
      </c>
      <c r="B1266" s="46">
        <f>LEN(Table2[[#This Row],[Employee ID]])</f>
        <v>7</v>
      </c>
      <c r="C1266" s="46" t="s">
        <v>2567</v>
      </c>
      <c r="D1266" s="47">
        <v>32133</v>
      </c>
      <c r="E1266" s="47">
        <v>43942</v>
      </c>
      <c r="F1266" s="46" t="s">
        <v>2603</v>
      </c>
      <c r="G1266" s="46">
        <v>193004</v>
      </c>
      <c r="H1266" s="46" t="s">
        <v>2612</v>
      </c>
      <c r="I1266" s="46" t="s">
        <v>2616</v>
      </c>
      <c r="J1266" s="46" t="s">
        <v>2745</v>
      </c>
      <c r="K1266" s="46" t="s">
        <v>3309</v>
      </c>
      <c r="L1266" s="46">
        <v>5</v>
      </c>
    </row>
    <row r="1267" spans="1:12" x14ac:dyDescent="0.3">
      <c r="A1267" s="46" t="s">
        <v>1276</v>
      </c>
      <c r="B1267" s="46">
        <f>LEN(Table2[[#This Row],[Employee ID]])</f>
        <v>7</v>
      </c>
      <c r="C1267" s="46" t="s">
        <v>2568</v>
      </c>
      <c r="D1267" s="47">
        <v>36625</v>
      </c>
      <c r="E1267" s="47">
        <v>40771</v>
      </c>
      <c r="F1267" s="46" t="s">
        <v>2600</v>
      </c>
      <c r="G1267" s="46">
        <v>123824</v>
      </c>
      <c r="H1267" s="46" t="s">
        <v>2608</v>
      </c>
      <c r="I1267" s="46" t="s">
        <v>2617</v>
      </c>
      <c r="J1267" s="46" t="s">
        <v>2798</v>
      </c>
      <c r="K1267" s="46" t="s">
        <v>3306</v>
      </c>
      <c r="L1267" s="46">
        <v>14</v>
      </c>
    </row>
    <row r="1268" spans="1:12" x14ac:dyDescent="0.3">
      <c r="A1268" s="46" t="s">
        <v>1277</v>
      </c>
      <c r="B1268" s="46">
        <f>LEN(Table2[[#This Row],[Employee ID]])</f>
        <v>7</v>
      </c>
      <c r="C1268" s="46" t="s">
        <v>2569</v>
      </c>
      <c r="D1268" s="47">
        <v>26164</v>
      </c>
      <c r="E1268" s="47">
        <v>30054</v>
      </c>
      <c r="F1268" s="46" t="s">
        <v>2601</v>
      </c>
      <c r="G1268" s="46">
        <v>117619</v>
      </c>
      <c r="H1268" s="46" t="s">
        <v>2611</v>
      </c>
      <c r="I1268" s="46" t="s">
        <v>2617</v>
      </c>
      <c r="J1268" s="46" t="s">
        <v>2944</v>
      </c>
      <c r="K1268" s="46" t="s">
        <v>3310</v>
      </c>
      <c r="L1268" s="46">
        <v>43</v>
      </c>
    </row>
    <row r="1269" spans="1:12" x14ac:dyDescent="0.3">
      <c r="A1269" s="46" t="s">
        <v>1278</v>
      </c>
      <c r="B1269" s="46">
        <f>LEN(Table2[[#This Row],[Employee ID]])</f>
        <v>7</v>
      </c>
      <c r="C1269" s="46" t="s">
        <v>2570</v>
      </c>
      <c r="D1269" s="47">
        <v>34092</v>
      </c>
      <c r="E1269" s="47">
        <v>32666</v>
      </c>
      <c r="F1269" s="46" t="s">
        <v>2604</v>
      </c>
      <c r="G1269" s="46">
        <v>122262</v>
      </c>
      <c r="H1269" s="46" t="s">
        <v>2612</v>
      </c>
      <c r="I1269" s="46" t="s">
        <v>2616</v>
      </c>
      <c r="J1269" s="46" t="s">
        <v>3005</v>
      </c>
      <c r="K1269" s="46" t="s">
        <v>3309</v>
      </c>
      <c r="L1269" s="46">
        <v>36</v>
      </c>
    </row>
    <row r="1270" spans="1:12" x14ac:dyDescent="0.3">
      <c r="A1270" s="46" t="s">
        <v>1279</v>
      </c>
      <c r="B1270" s="46">
        <f>LEN(Table2[[#This Row],[Employee ID]])</f>
        <v>7</v>
      </c>
      <c r="C1270" s="46" t="s">
        <v>2571</v>
      </c>
      <c r="D1270" s="47">
        <v>22798</v>
      </c>
      <c r="E1270" s="47">
        <v>44142</v>
      </c>
      <c r="F1270" s="46" t="s">
        <v>2602</v>
      </c>
      <c r="G1270" s="46">
        <v>60126</v>
      </c>
      <c r="H1270" s="46" t="s">
        <v>2611</v>
      </c>
      <c r="I1270" s="46" t="s">
        <v>2617</v>
      </c>
      <c r="J1270" s="46" t="s">
        <v>3004</v>
      </c>
      <c r="K1270" s="46" t="s">
        <v>3306</v>
      </c>
      <c r="L1270" s="46">
        <v>5</v>
      </c>
    </row>
    <row r="1271" spans="1:12" x14ac:dyDescent="0.3">
      <c r="A1271" s="46" t="s">
        <v>1280</v>
      </c>
      <c r="B1271" s="46">
        <f>LEN(Table2[[#This Row],[Employee ID]])</f>
        <v>7</v>
      </c>
      <c r="C1271" s="46" t="s">
        <v>2572</v>
      </c>
      <c r="D1271" s="47">
        <v>23252</v>
      </c>
      <c r="E1271" s="47">
        <v>42590</v>
      </c>
      <c r="F1271" s="46" t="s">
        <v>2604</v>
      </c>
      <c r="G1271" s="46">
        <v>176467</v>
      </c>
      <c r="H1271" s="46" t="s">
        <v>2608</v>
      </c>
      <c r="I1271" s="46" t="s">
        <v>2617</v>
      </c>
      <c r="J1271" s="46" t="s">
        <v>3300</v>
      </c>
      <c r="K1271" s="46" t="s">
        <v>3309</v>
      </c>
      <c r="L1271" s="46">
        <v>9</v>
      </c>
    </row>
    <row r="1272" spans="1:12" x14ac:dyDescent="0.3">
      <c r="A1272" s="46" t="s">
        <v>1281</v>
      </c>
      <c r="B1272" s="46">
        <f>LEN(Table2[[#This Row],[Employee ID]])</f>
        <v>7</v>
      </c>
      <c r="C1272" s="46" t="s">
        <v>2573</v>
      </c>
      <c r="D1272" s="47">
        <v>30112</v>
      </c>
      <c r="E1272" s="47">
        <v>26944</v>
      </c>
      <c r="F1272" s="46" t="s">
        <v>2600</v>
      </c>
      <c r="G1272" s="46">
        <v>112395</v>
      </c>
      <c r="H1272" s="46" t="s">
        <v>2611</v>
      </c>
      <c r="I1272" s="46" t="s">
        <v>2616</v>
      </c>
      <c r="J1272" s="46" t="s">
        <v>2828</v>
      </c>
      <c r="K1272" s="46" t="s">
        <v>3306</v>
      </c>
      <c r="L1272" s="46">
        <v>52</v>
      </c>
    </row>
    <row r="1273" spans="1:12" x14ac:dyDescent="0.3">
      <c r="A1273" s="46" t="s">
        <v>1282</v>
      </c>
      <c r="B1273" s="46">
        <f>LEN(Table2[[#This Row],[Employee ID]])</f>
        <v>7</v>
      </c>
      <c r="C1273" s="46" t="s">
        <v>2574</v>
      </c>
      <c r="D1273" s="47">
        <v>34033</v>
      </c>
      <c r="E1273" s="47">
        <v>44462</v>
      </c>
      <c r="F1273" s="46" t="s">
        <v>2599</v>
      </c>
      <c r="G1273" s="46">
        <v>136500</v>
      </c>
      <c r="H1273" s="46" t="s">
        <v>2609</v>
      </c>
      <c r="I1273" s="46" t="s">
        <v>2617</v>
      </c>
      <c r="J1273" s="46" t="s">
        <v>3301</v>
      </c>
      <c r="K1273" s="46" t="s">
        <v>3310</v>
      </c>
      <c r="L1273" s="46">
        <v>4</v>
      </c>
    </row>
    <row r="1274" spans="1:12" x14ac:dyDescent="0.3">
      <c r="A1274" s="46" t="s">
        <v>1283</v>
      </c>
      <c r="B1274" s="46">
        <f>LEN(Table2[[#This Row],[Employee ID]])</f>
        <v>7</v>
      </c>
      <c r="C1274" s="46" t="s">
        <v>2575</v>
      </c>
      <c r="D1274" s="47">
        <v>25418</v>
      </c>
      <c r="E1274" s="47">
        <v>26740</v>
      </c>
      <c r="F1274" s="46" t="s">
        <v>2605</v>
      </c>
      <c r="G1274" s="46">
        <v>88468</v>
      </c>
      <c r="H1274" s="46" t="s">
        <v>2615</v>
      </c>
      <c r="I1274" s="46" t="s">
        <v>2616</v>
      </c>
      <c r="J1274" s="46" t="s">
        <v>3302</v>
      </c>
      <c r="K1274" s="46" t="s">
        <v>3308</v>
      </c>
      <c r="L1274" s="46">
        <v>52</v>
      </c>
    </row>
    <row r="1275" spans="1:12" x14ac:dyDescent="0.3">
      <c r="A1275" s="46" t="s">
        <v>1284</v>
      </c>
      <c r="B1275" s="46">
        <f>LEN(Table2[[#This Row],[Employee ID]])</f>
        <v>7</v>
      </c>
      <c r="C1275" s="46" t="s">
        <v>2576</v>
      </c>
      <c r="D1275" s="47">
        <v>32748</v>
      </c>
      <c r="E1275" s="47">
        <v>26688</v>
      </c>
      <c r="F1275" s="46" t="s">
        <v>2599</v>
      </c>
      <c r="G1275" s="46">
        <v>41845</v>
      </c>
      <c r="H1275" s="46" t="s">
        <v>2611</v>
      </c>
      <c r="I1275" s="46" t="s">
        <v>2616</v>
      </c>
      <c r="J1275" s="46" t="s">
        <v>3103</v>
      </c>
      <c r="K1275" s="46" t="s">
        <v>3306</v>
      </c>
      <c r="L1275" s="46">
        <v>52</v>
      </c>
    </row>
    <row r="1276" spans="1:12" x14ac:dyDescent="0.3">
      <c r="A1276" s="46" t="s">
        <v>1285</v>
      </c>
      <c r="B1276" s="46">
        <f>LEN(Table2[[#This Row],[Employee ID]])</f>
        <v>7</v>
      </c>
      <c r="C1276" s="46" t="s">
        <v>2577</v>
      </c>
      <c r="D1276" s="47">
        <v>22286</v>
      </c>
      <c r="E1276" s="47">
        <v>44841</v>
      </c>
      <c r="F1276" s="46" t="s">
        <v>2600</v>
      </c>
      <c r="G1276" s="46">
        <v>77645</v>
      </c>
      <c r="H1276" s="46" t="s">
        <v>2611</v>
      </c>
      <c r="I1276" s="46" t="s">
        <v>2617</v>
      </c>
      <c r="J1276" s="46" t="s">
        <v>2630</v>
      </c>
      <c r="K1276" s="46" t="s">
        <v>3305</v>
      </c>
      <c r="L1276" s="46">
        <v>3</v>
      </c>
    </row>
    <row r="1277" spans="1:12" x14ac:dyDescent="0.3">
      <c r="A1277" s="46" t="s">
        <v>1286</v>
      </c>
      <c r="B1277" s="46">
        <f>LEN(Table2[[#This Row],[Employee ID]])</f>
        <v>7</v>
      </c>
      <c r="C1277" s="46" t="s">
        <v>2578</v>
      </c>
      <c r="D1277" s="47">
        <v>35625</v>
      </c>
      <c r="E1277" s="47">
        <v>38000</v>
      </c>
      <c r="F1277" s="46" t="s">
        <v>2604</v>
      </c>
      <c r="G1277" s="46">
        <v>48808</v>
      </c>
      <c r="H1277" s="46" t="s">
        <v>2611</v>
      </c>
      <c r="I1277" s="46" t="s">
        <v>2617</v>
      </c>
      <c r="J1277" s="46" t="s">
        <v>3204</v>
      </c>
      <c r="K1277" s="46" t="s">
        <v>3308</v>
      </c>
      <c r="L1277" s="46">
        <v>21</v>
      </c>
    </row>
    <row r="1278" spans="1:12" x14ac:dyDescent="0.3">
      <c r="A1278" s="46" t="s">
        <v>1287</v>
      </c>
      <c r="B1278" s="46">
        <f>LEN(Table2[[#This Row],[Employee ID]])</f>
        <v>7</v>
      </c>
      <c r="C1278" s="46" t="s">
        <v>2579</v>
      </c>
      <c r="D1278" s="47">
        <v>37598</v>
      </c>
      <c r="E1278" s="47">
        <v>44640</v>
      </c>
      <c r="F1278" s="46" t="s">
        <v>2599</v>
      </c>
      <c r="G1278" s="46">
        <v>59660</v>
      </c>
      <c r="H1278" s="46" t="s">
        <v>2609</v>
      </c>
      <c r="I1278" s="46" t="s">
        <v>2617</v>
      </c>
      <c r="J1278" s="46" t="s">
        <v>2987</v>
      </c>
      <c r="K1278" s="46" t="s">
        <v>3304</v>
      </c>
      <c r="L1278" s="46">
        <v>3</v>
      </c>
    </row>
    <row r="1279" spans="1:12" x14ac:dyDescent="0.3">
      <c r="A1279" s="46" t="s">
        <v>1288</v>
      </c>
      <c r="B1279" s="46">
        <f>LEN(Table2[[#This Row],[Employee ID]])</f>
        <v>7</v>
      </c>
      <c r="C1279" s="46" t="s">
        <v>2580</v>
      </c>
      <c r="D1279" s="47">
        <v>32048</v>
      </c>
      <c r="E1279" s="47">
        <v>43917</v>
      </c>
      <c r="F1279" s="46" t="s">
        <v>2600</v>
      </c>
      <c r="G1279" s="46">
        <v>121284</v>
      </c>
      <c r="H1279" s="46" t="s">
        <v>2610</v>
      </c>
      <c r="I1279" s="46" t="s">
        <v>2617</v>
      </c>
      <c r="J1279" s="46" t="s">
        <v>2645</v>
      </c>
      <c r="K1279" s="46" t="s">
        <v>3309</v>
      </c>
      <c r="L1279" s="46">
        <v>5</v>
      </c>
    </row>
    <row r="1280" spans="1:12" x14ac:dyDescent="0.3">
      <c r="A1280" s="46" t="s">
        <v>1289</v>
      </c>
      <c r="B1280" s="46">
        <f>LEN(Table2[[#This Row],[Employee ID]])</f>
        <v>7</v>
      </c>
      <c r="C1280" s="46" t="s">
        <v>2581</v>
      </c>
      <c r="D1280" s="47">
        <v>29208</v>
      </c>
      <c r="E1280" s="47">
        <v>26966</v>
      </c>
      <c r="F1280" s="46" t="s">
        <v>2603</v>
      </c>
      <c r="G1280" s="46">
        <v>192143</v>
      </c>
      <c r="H1280" s="46" t="s">
        <v>2607</v>
      </c>
      <c r="I1280" s="46" t="s">
        <v>2617</v>
      </c>
      <c r="J1280" s="46" t="s">
        <v>2979</v>
      </c>
      <c r="K1280" s="46" t="s">
        <v>3308</v>
      </c>
      <c r="L1280" s="46">
        <v>52</v>
      </c>
    </row>
    <row r="1281" spans="1:12" x14ac:dyDescent="0.3">
      <c r="A1281" s="46" t="s">
        <v>1290</v>
      </c>
      <c r="B1281" s="46">
        <f>LEN(Table2[[#This Row],[Employee ID]])</f>
        <v>7</v>
      </c>
      <c r="C1281" s="46" t="s">
        <v>2582</v>
      </c>
      <c r="D1281" s="47">
        <v>24677</v>
      </c>
      <c r="E1281" s="47">
        <v>40171</v>
      </c>
      <c r="F1281" s="46" t="s">
        <v>2599</v>
      </c>
      <c r="G1281" s="46">
        <v>190745</v>
      </c>
      <c r="H1281" s="46" t="s">
        <v>2608</v>
      </c>
      <c r="I1281" s="46" t="s">
        <v>2617</v>
      </c>
      <c r="J1281" s="46" t="s">
        <v>3303</v>
      </c>
      <c r="K1281" s="46" t="s">
        <v>3309</v>
      </c>
      <c r="L1281" s="46">
        <v>16</v>
      </c>
    </row>
    <row r="1282" spans="1:12" x14ac:dyDescent="0.3">
      <c r="A1282" s="46" t="s">
        <v>1291</v>
      </c>
      <c r="B1282" s="46">
        <f>LEN(Table2[[#This Row],[Employee ID]])</f>
        <v>7</v>
      </c>
      <c r="C1282" s="46" t="s">
        <v>2583</v>
      </c>
      <c r="D1282" s="47">
        <v>36305</v>
      </c>
      <c r="E1282" s="47">
        <v>36858</v>
      </c>
      <c r="F1282" s="46" t="s">
        <v>2600</v>
      </c>
      <c r="G1282" s="46">
        <v>24848</v>
      </c>
      <c r="H1282" s="46" t="s">
        <v>2612</v>
      </c>
      <c r="I1282" s="46" t="s">
        <v>2616</v>
      </c>
      <c r="J1282" s="46" t="s">
        <v>3036</v>
      </c>
      <c r="K1282" s="46" t="s">
        <v>3305</v>
      </c>
      <c r="L1282" s="46">
        <v>25</v>
      </c>
    </row>
    <row r="1283" spans="1:12" x14ac:dyDescent="0.3">
      <c r="A1283" s="46" t="s">
        <v>1292</v>
      </c>
      <c r="B1283" s="46">
        <f>LEN(Table2[[#This Row],[Employee ID]])</f>
        <v>7</v>
      </c>
      <c r="C1283" s="46" t="s">
        <v>1414</v>
      </c>
      <c r="D1283" s="47">
        <v>23591</v>
      </c>
      <c r="E1283" s="47">
        <v>27530</v>
      </c>
      <c r="F1283" s="46" t="s">
        <v>2599</v>
      </c>
      <c r="G1283" s="46">
        <v>173377</v>
      </c>
      <c r="H1283" s="46" t="s">
        <v>2608</v>
      </c>
      <c r="I1283" s="46" t="s">
        <v>2617</v>
      </c>
      <c r="J1283" s="46" t="s">
        <v>2731</v>
      </c>
      <c r="K1283" s="46" t="s">
        <v>3306</v>
      </c>
      <c r="L1283" s="46">
        <v>50</v>
      </c>
    </row>
    <row r="1284" spans="1:12" x14ac:dyDescent="0.3">
      <c r="A1284" s="46" t="s">
        <v>1293</v>
      </c>
      <c r="B1284" s="46">
        <f>LEN(Table2[[#This Row],[Employee ID]])</f>
        <v>7</v>
      </c>
      <c r="C1284" s="46" t="s">
        <v>2584</v>
      </c>
      <c r="D1284" s="47">
        <v>22622</v>
      </c>
      <c r="E1284" s="47">
        <v>35875</v>
      </c>
      <c r="F1284" s="46" t="s">
        <v>2600</v>
      </c>
      <c r="G1284" s="46">
        <v>74134</v>
      </c>
      <c r="H1284" s="46" t="s">
        <v>2607</v>
      </c>
      <c r="I1284" s="46" t="s">
        <v>2617</v>
      </c>
      <c r="J1284" s="46" t="s">
        <v>3281</v>
      </c>
      <c r="K1284" s="46" t="s">
        <v>3304</v>
      </c>
      <c r="L1284" s="46">
        <v>27</v>
      </c>
    </row>
    <row r="1285" spans="1:12" x14ac:dyDescent="0.3">
      <c r="A1285" s="46" t="s">
        <v>1294</v>
      </c>
      <c r="B1285" s="46">
        <f>LEN(Table2[[#This Row],[Employee ID]])</f>
        <v>7</v>
      </c>
      <c r="C1285" s="46" t="s">
        <v>2585</v>
      </c>
      <c r="D1285" s="47">
        <v>23010</v>
      </c>
      <c r="E1285" s="47">
        <v>42534</v>
      </c>
      <c r="F1285" s="46" t="s">
        <v>2604</v>
      </c>
      <c r="G1285" s="46">
        <v>105582</v>
      </c>
      <c r="H1285" s="46" t="s">
        <v>2613</v>
      </c>
      <c r="I1285" s="46" t="s">
        <v>2616</v>
      </c>
      <c r="J1285" s="46" t="s">
        <v>2965</v>
      </c>
      <c r="K1285" s="46" t="s">
        <v>3306</v>
      </c>
      <c r="L1285" s="46">
        <v>9</v>
      </c>
    </row>
    <row r="1286" spans="1:12" x14ac:dyDescent="0.3">
      <c r="A1286" s="46" t="s">
        <v>1295</v>
      </c>
      <c r="B1286" s="46">
        <f>LEN(Table2[[#This Row],[Employee ID]])</f>
        <v>7</v>
      </c>
      <c r="C1286" s="46" t="s">
        <v>2586</v>
      </c>
      <c r="D1286" s="47">
        <v>37458</v>
      </c>
      <c r="E1286" s="47">
        <v>29239</v>
      </c>
      <c r="F1286" s="46" t="s">
        <v>2602</v>
      </c>
      <c r="G1286" s="46">
        <v>94899</v>
      </c>
      <c r="H1286" s="46" t="s">
        <v>2612</v>
      </c>
      <c r="I1286" s="46" t="s">
        <v>2617</v>
      </c>
      <c r="J1286" s="46" t="s">
        <v>2869</v>
      </c>
      <c r="K1286" s="46" t="s">
        <v>3308</v>
      </c>
      <c r="L1286" s="46">
        <v>45</v>
      </c>
    </row>
    <row r="1287" spans="1:12" x14ac:dyDescent="0.3">
      <c r="A1287" s="46" t="s">
        <v>1296</v>
      </c>
      <c r="B1287" s="46">
        <f>LEN(Table2[[#This Row],[Employee ID]])</f>
        <v>7</v>
      </c>
      <c r="C1287" s="46" t="s">
        <v>2587</v>
      </c>
      <c r="D1287" s="47">
        <v>33759</v>
      </c>
      <c r="E1287" s="47">
        <v>41898</v>
      </c>
      <c r="F1287" s="46" t="s">
        <v>2600</v>
      </c>
      <c r="G1287" s="46">
        <v>178658</v>
      </c>
      <c r="H1287" s="46" t="s">
        <v>2608</v>
      </c>
      <c r="I1287" s="46" t="s">
        <v>2616</v>
      </c>
      <c r="J1287" s="46" t="s">
        <v>3261</v>
      </c>
      <c r="K1287" s="46" t="s">
        <v>3310</v>
      </c>
      <c r="L1287" s="46">
        <v>11</v>
      </c>
    </row>
    <row r="1288" spans="1:12" x14ac:dyDescent="0.3">
      <c r="A1288" s="46" t="s">
        <v>1297</v>
      </c>
      <c r="B1288" s="46">
        <f>LEN(Table2[[#This Row],[Employee ID]])</f>
        <v>7</v>
      </c>
      <c r="C1288" s="46" t="s">
        <v>2588</v>
      </c>
      <c r="D1288" s="47">
        <v>32876</v>
      </c>
      <c r="E1288" s="47">
        <v>35829</v>
      </c>
      <c r="F1288" s="46" t="s">
        <v>2602</v>
      </c>
      <c r="G1288" s="46">
        <v>162079</v>
      </c>
      <c r="H1288" s="46" t="s">
        <v>2606</v>
      </c>
      <c r="I1288" s="46" t="s">
        <v>2617</v>
      </c>
      <c r="J1288" s="46" t="s">
        <v>2822</v>
      </c>
      <c r="K1288" s="46" t="s">
        <v>3309</v>
      </c>
      <c r="L1288" s="46">
        <v>27</v>
      </c>
    </row>
    <row r="1289" spans="1:12" x14ac:dyDescent="0.3">
      <c r="A1289" s="46" t="s">
        <v>1298</v>
      </c>
      <c r="B1289" s="46">
        <f>LEN(Table2[[#This Row],[Employee ID]])</f>
        <v>7</v>
      </c>
      <c r="C1289" s="46" t="s">
        <v>2589</v>
      </c>
      <c r="D1289" s="47">
        <v>25584</v>
      </c>
      <c r="E1289" s="47">
        <v>38487</v>
      </c>
      <c r="F1289" s="46" t="s">
        <v>2600</v>
      </c>
      <c r="G1289" s="46">
        <v>28271</v>
      </c>
      <c r="H1289" s="46" t="s">
        <v>2611</v>
      </c>
      <c r="I1289" s="46" t="s">
        <v>2616</v>
      </c>
      <c r="J1289" s="46" t="s">
        <v>3199</v>
      </c>
      <c r="K1289" s="46" t="s">
        <v>3307</v>
      </c>
      <c r="L1289" s="46">
        <v>20</v>
      </c>
    </row>
    <row r="1290" spans="1:12" x14ac:dyDescent="0.3">
      <c r="A1290" s="46" t="s">
        <v>1299</v>
      </c>
      <c r="B1290" s="46">
        <f>LEN(Table2[[#This Row],[Employee ID]])</f>
        <v>7</v>
      </c>
      <c r="C1290" s="46" t="s">
        <v>2590</v>
      </c>
      <c r="D1290" s="47">
        <v>29186</v>
      </c>
      <c r="E1290" s="47">
        <v>26469</v>
      </c>
      <c r="F1290" s="46" t="s">
        <v>2600</v>
      </c>
      <c r="G1290" s="46">
        <v>26623</v>
      </c>
      <c r="H1290" s="46" t="s">
        <v>2613</v>
      </c>
      <c r="I1290" s="46" t="s">
        <v>2617</v>
      </c>
      <c r="J1290" s="46" t="s">
        <v>3005</v>
      </c>
      <c r="K1290" s="46" t="s">
        <v>3310</v>
      </c>
      <c r="L1290" s="46">
        <v>53</v>
      </c>
    </row>
    <row r="1291" spans="1:12" x14ac:dyDescent="0.3">
      <c r="A1291" s="46" t="s">
        <v>1300</v>
      </c>
      <c r="B1291" s="46">
        <f>LEN(Table2[[#This Row],[Employee ID]])</f>
        <v>7</v>
      </c>
      <c r="C1291" s="46" t="s">
        <v>2591</v>
      </c>
      <c r="D1291" s="47">
        <v>28824</v>
      </c>
      <c r="E1291" s="47">
        <v>43364</v>
      </c>
      <c r="F1291" s="46" t="s">
        <v>2601</v>
      </c>
      <c r="G1291" s="46">
        <v>76099</v>
      </c>
      <c r="H1291" s="46" t="s">
        <v>2608</v>
      </c>
      <c r="I1291" s="46" t="s">
        <v>2617</v>
      </c>
      <c r="J1291" s="46" t="s">
        <v>2698</v>
      </c>
      <c r="K1291" s="46" t="s">
        <v>3307</v>
      </c>
      <c r="L1291" s="46">
        <v>7</v>
      </c>
    </row>
    <row r="1292" spans="1:12" x14ac:dyDescent="0.3">
      <c r="A1292" s="46" t="s">
        <v>1301</v>
      </c>
      <c r="B1292" s="46">
        <f>LEN(Table2[[#This Row],[Employee ID]])</f>
        <v>7</v>
      </c>
      <c r="C1292" s="46" t="s">
        <v>2592</v>
      </c>
      <c r="D1292" s="47">
        <v>35544</v>
      </c>
      <c r="E1292" s="47">
        <v>33932</v>
      </c>
      <c r="F1292" s="46" t="s">
        <v>2599</v>
      </c>
      <c r="G1292" s="46">
        <v>73628</v>
      </c>
      <c r="H1292" s="46" t="s">
        <v>2609</v>
      </c>
      <c r="I1292" s="46" t="s">
        <v>2617</v>
      </c>
      <c r="J1292" s="46" t="s">
        <v>2844</v>
      </c>
      <c r="K1292" s="46" t="s">
        <v>3310</v>
      </c>
      <c r="L1292" s="46">
        <v>33</v>
      </c>
    </row>
    <row r="1293" spans="1:12" x14ac:dyDescent="0.3">
      <c r="A1293" s="46" t="s">
        <v>1302</v>
      </c>
      <c r="B1293" s="46">
        <f>LEN(Table2[[#This Row],[Employee ID]])</f>
        <v>7</v>
      </c>
      <c r="C1293" s="46" t="s">
        <v>2593</v>
      </c>
      <c r="D1293" s="47">
        <v>35710</v>
      </c>
      <c r="E1293" s="47">
        <v>32855</v>
      </c>
      <c r="F1293" s="46" t="s">
        <v>2605</v>
      </c>
      <c r="G1293" s="46">
        <v>167237</v>
      </c>
      <c r="H1293" s="46" t="s">
        <v>2613</v>
      </c>
      <c r="I1293" s="46" t="s">
        <v>2616</v>
      </c>
      <c r="J1293" s="46" t="s">
        <v>3178</v>
      </c>
      <c r="K1293" s="46" t="s">
        <v>3308</v>
      </c>
      <c r="L1293" s="46">
        <v>36</v>
      </c>
    </row>
    <row r="1294" spans="1:12" x14ac:dyDescent="0.3">
      <c r="A1294" s="46" t="s">
        <v>1303</v>
      </c>
      <c r="B1294" s="46">
        <f>LEN(Table2[[#This Row],[Employee ID]])</f>
        <v>7</v>
      </c>
      <c r="C1294" s="46" t="s">
        <v>2594</v>
      </c>
      <c r="D1294" s="47">
        <v>22990</v>
      </c>
      <c r="E1294" s="47">
        <v>42974</v>
      </c>
      <c r="F1294" s="46" t="s">
        <v>2600</v>
      </c>
      <c r="G1294" s="46">
        <v>171091</v>
      </c>
      <c r="H1294" s="46" t="s">
        <v>2614</v>
      </c>
      <c r="I1294" s="46" t="s">
        <v>2616</v>
      </c>
      <c r="J1294" s="46" t="s">
        <v>3006</v>
      </c>
      <c r="K1294" s="46" t="s">
        <v>3309</v>
      </c>
      <c r="L1294" s="46">
        <v>8</v>
      </c>
    </row>
    <row r="1295" spans="1:12" x14ac:dyDescent="0.3">
      <c r="A1295" s="46" t="s">
        <v>1304</v>
      </c>
      <c r="B1295" s="46">
        <f>LEN(Table2[[#This Row],[Employee ID]])</f>
        <v>7</v>
      </c>
      <c r="C1295" s="46" t="s">
        <v>2595</v>
      </c>
      <c r="D1295" s="47">
        <v>25622</v>
      </c>
      <c r="E1295" s="47">
        <v>43392</v>
      </c>
      <c r="F1295" s="46" t="s">
        <v>2605</v>
      </c>
      <c r="G1295" s="46">
        <v>127954</v>
      </c>
      <c r="H1295" s="46" t="s">
        <v>2611</v>
      </c>
      <c r="I1295" s="46" t="s">
        <v>2617</v>
      </c>
      <c r="J1295" s="46" t="s">
        <v>2622</v>
      </c>
      <c r="K1295" s="46" t="s">
        <v>3308</v>
      </c>
      <c r="L1295" s="46">
        <v>7</v>
      </c>
    </row>
    <row r="1296" spans="1:12" x14ac:dyDescent="0.3">
      <c r="A1296" s="46" t="s">
        <v>1305</v>
      </c>
      <c r="B1296" s="46">
        <f>LEN(Table2[[#This Row],[Employee ID]])</f>
        <v>7</v>
      </c>
      <c r="C1296" s="46" t="s">
        <v>2596</v>
      </c>
      <c r="D1296" s="47">
        <v>27133</v>
      </c>
      <c r="E1296" s="47">
        <v>32918</v>
      </c>
      <c r="F1296" s="46" t="s">
        <v>2600</v>
      </c>
      <c r="G1296" s="46">
        <v>140271</v>
      </c>
      <c r="H1296" s="46" t="s">
        <v>2614</v>
      </c>
      <c r="I1296" s="46" t="s">
        <v>2617</v>
      </c>
      <c r="J1296" s="46" t="s">
        <v>2852</v>
      </c>
      <c r="K1296" s="46" t="s">
        <v>3308</v>
      </c>
      <c r="L1296" s="46">
        <v>35</v>
      </c>
    </row>
    <row r="1297" spans="1:12" x14ac:dyDescent="0.3">
      <c r="A1297" s="46" t="s">
        <v>1306</v>
      </c>
      <c r="B1297" s="46">
        <f>LEN(Table2[[#This Row],[Employee ID]])</f>
        <v>7</v>
      </c>
      <c r="C1297" s="46" t="s">
        <v>2597</v>
      </c>
      <c r="D1297" s="47">
        <v>35309</v>
      </c>
      <c r="E1297" s="47">
        <v>27084</v>
      </c>
      <c r="F1297" s="46" t="s">
        <v>2604</v>
      </c>
      <c r="G1297" s="46">
        <v>75700</v>
      </c>
      <c r="H1297" s="46" t="s">
        <v>2610</v>
      </c>
      <c r="I1297" s="46" t="s">
        <v>2616</v>
      </c>
      <c r="J1297" s="46" t="s">
        <v>2991</v>
      </c>
      <c r="K1297" s="46" t="s">
        <v>3305</v>
      </c>
      <c r="L1297" s="46">
        <v>51</v>
      </c>
    </row>
    <row r="1298" spans="1:12" x14ac:dyDescent="0.3">
      <c r="A1298" s="46" t="s">
        <v>1307</v>
      </c>
      <c r="B1298" s="46">
        <f>LEN(Table2[[#This Row],[Employee ID]])</f>
        <v>7</v>
      </c>
      <c r="C1298" s="46" t="s">
        <v>2598</v>
      </c>
      <c r="D1298" s="47">
        <v>35607</v>
      </c>
      <c r="E1298" s="47">
        <v>36415</v>
      </c>
      <c r="F1298" s="46" t="s">
        <v>2601</v>
      </c>
      <c r="G1298" s="46">
        <v>132701</v>
      </c>
      <c r="H1298" s="46" t="s">
        <v>2613</v>
      </c>
      <c r="I1298" s="46" t="s">
        <v>2617</v>
      </c>
      <c r="J1298" s="46" t="s">
        <v>3277</v>
      </c>
      <c r="K1298" s="46" t="s">
        <v>3304</v>
      </c>
      <c r="L1298" s="46">
        <v>26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CBF78-17BF-4364-9465-2AEAD6E185E6}">
  <dimension ref="A5:J18"/>
  <sheetViews>
    <sheetView workbookViewId="0">
      <selection activeCell="D2" sqref="D2"/>
    </sheetView>
  </sheetViews>
  <sheetFormatPr defaultRowHeight="14.4" x14ac:dyDescent="0.3"/>
  <cols>
    <col min="1" max="1" width="14.21875" customWidth="1"/>
    <col min="2" max="2" width="20" customWidth="1"/>
    <col min="3" max="3" width="9.88671875" bestFit="1" customWidth="1"/>
    <col min="7" max="7" width="14.6640625" customWidth="1"/>
    <col min="8" max="8" width="21.6640625" customWidth="1"/>
    <col min="9" max="9" width="14.77734375" customWidth="1"/>
    <col min="10" max="10" width="36.77734375" customWidth="1"/>
  </cols>
  <sheetData>
    <row r="5" spans="1:10" x14ac:dyDescent="0.3">
      <c r="B5" s="3" t="s">
        <v>3313</v>
      </c>
      <c r="H5" s="3" t="s">
        <v>3314</v>
      </c>
    </row>
    <row r="6" spans="1:10" ht="15" thickBot="1" x14ac:dyDescent="0.35">
      <c r="A6" s="6"/>
      <c r="B6" s="6"/>
      <c r="C6" s="6"/>
      <c r="D6" s="6"/>
      <c r="E6" s="6"/>
      <c r="F6" s="6"/>
      <c r="G6" s="6"/>
      <c r="H6" s="6"/>
      <c r="I6" s="6"/>
      <c r="J6" s="6"/>
    </row>
    <row r="7" spans="1:10" x14ac:dyDescent="0.3">
      <c r="A7" s="6"/>
      <c r="B7" s="38" t="s">
        <v>3312</v>
      </c>
      <c r="C7" s="39" t="s">
        <v>3311</v>
      </c>
      <c r="D7" s="6"/>
      <c r="E7" s="6"/>
      <c r="F7" s="6"/>
      <c r="G7" s="38" t="s">
        <v>3312</v>
      </c>
      <c r="H7" s="42" t="s">
        <v>4</v>
      </c>
      <c r="I7" s="42" t="s">
        <v>7</v>
      </c>
      <c r="J7" s="39" t="s">
        <v>3315</v>
      </c>
    </row>
    <row r="8" spans="1:10" x14ac:dyDescent="0.3">
      <c r="A8" s="6"/>
      <c r="B8" s="40" t="s">
        <v>2606</v>
      </c>
      <c r="C8" s="34">
        <f>SUMIFS(Table2[Salary],Table2[Location],'aggregation funcation'!B8)</f>
        <v>15381678</v>
      </c>
      <c r="D8" s="6"/>
      <c r="E8" s="6"/>
      <c r="F8" s="6"/>
      <c r="G8" s="40" t="s">
        <v>2606</v>
      </c>
      <c r="H8" s="10" t="s">
        <v>2599</v>
      </c>
      <c r="I8" s="22" t="s">
        <v>2616</v>
      </c>
      <c r="J8" s="34">
        <f>COUNTIFS(Table2[[#All],[Location]],'aggregation funcation'!G8,Table2[[#All],[Department]],'aggregation funcation'!H8,Table2[[#All],[Gender]],'aggregation funcation'!I8)</f>
        <v>16</v>
      </c>
    </row>
    <row r="9" spans="1:10" x14ac:dyDescent="0.3">
      <c r="A9" s="6"/>
      <c r="B9" s="40" t="s">
        <v>2607</v>
      </c>
      <c r="C9" s="34">
        <f>SUMIFS(Table2[Salary],Table2[Location],'aggregation funcation'!B9)</f>
        <v>16103767</v>
      </c>
      <c r="D9" s="6"/>
      <c r="E9" s="6"/>
      <c r="F9" s="6"/>
      <c r="G9" s="40" t="s">
        <v>2607</v>
      </c>
      <c r="H9" s="10" t="s">
        <v>2602</v>
      </c>
      <c r="I9" s="22" t="s">
        <v>2617</v>
      </c>
      <c r="J9" s="34">
        <f>COUNTIFS(Table2[[#All],[Location]],'aggregation funcation'!G9,Table2[[#All],[Department]],'aggregation funcation'!H9,Table2[[#All],[Gender]],'aggregation funcation'!I9)</f>
        <v>7</v>
      </c>
    </row>
    <row r="10" spans="1:10" x14ac:dyDescent="0.3">
      <c r="A10" s="6"/>
      <c r="B10" s="40" t="s">
        <v>2608</v>
      </c>
      <c r="C10" s="34">
        <f>SUMIFS(Table2[Salary],Table2[Location],'aggregation funcation'!B10)</f>
        <v>14961932</v>
      </c>
      <c r="D10" s="6"/>
      <c r="E10" s="6"/>
      <c r="F10" s="6"/>
      <c r="G10" s="40" t="s">
        <v>2608</v>
      </c>
      <c r="H10" s="10" t="s">
        <v>2603</v>
      </c>
      <c r="I10" s="22" t="s">
        <v>2616</v>
      </c>
      <c r="J10" s="34">
        <f>COUNTIFS(Table2[[#All],[Location]],'aggregation funcation'!G10,Table2[[#All],[Department]],'aggregation funcation'!H10,Table2[[#All],[Gender]],'aggregation funcation'!I10)</f>
        <v>12</v>
      </c>
    </row>
    <row r="11" spans="1:10" x14ac:dyDescent="0.3">
      <c r="A11" s="6"/>
      <c r="B11" s="40" t="s">
        <v>2609</v>
      </c>
      <c r="C11" s="34">
        <f>SUMIFS(Table2[Salary],Table2[Location],'aggregation funcation'!B11)</f>
        <v>13751738</v>
      </c>
      <c r="D11" s="6"/>
      <c r="E11" s="6"/>
      <c r="F11" s="6"/>
      <c r="G11" s="40" t="s">
        <v>2609</v>
      </c>
      <c r="H11" s="10" t="s">
        <v>2600</v>
      </c>
      <c r="I11" s="22" t="s">
        <v>2617</v>
      </c>
      <c r="J11" s="34">
        <f>COUNTIFS(Table2[[#All],[Location]],'aggregation funcation'!G11,Table2[[#All],[Department]],'aggregation funcation'!H11,Table2[[#All],[Gender]],'aggregation funcation'!I11)</f>
        <v>7</v>
      </c>
    </row>
    <row r="12" spans="1:10" x14ac:dyDescent="0.3">
      <c r="A12" s="6"/>
      <c r="B12" s="40" t="s">
        <v>2610</v>
      </c>
      <c r="C12" s="34">
        <f>SUMIFS(Table2[Salary],Table2[Location],'aggregation funcation'!B12)</f>
        <v>16785158</v>
      </c>
      <c r="D12" s="6"/>
      <c r="E12" s="6"/>
      <c r="F12" s="6"/>
      <c r="G12" s="40" t="s">
        <v>2610</v>
      </c>
      <c r="H12" s="10" t="s">
        <v>2605</v>
      </c>
      <c r="I12" s="22" t="s">
        <v>2617</v>
      </c>
      <c r="J12" s="34">
        <f>COUNTIFS(Table2[[#All],[Location]],'aggregation funcation'!G12,Table2[[#All],[Department]],'aggregation funcation'!H12,Table2[[#All],[Gender]],'aggregation funcation'!I12)</f>
        <v>9</v>
      </c>
    </row>
    <row r="13" spans="1:10" x14ac:dyDescent="0.3">
      <c r="A13" s="6"/>
      <c r="B13" s="40" t="s">
        <v>2611</v>
      </c>
      <c r="C13" s="34">
        <f>SUMIFS(Table2[Salary],Table2[Location],'aggregation funcation'!B13)</f>
        <v>13445146</v>
      </c>
      <c r="D13" s="6"/>
      <c r="E13" s="6"/>
      <c r="F13" s="6"/>
      <c r="G13" s="40" t="s">
        <v>2611</v>
      </c>
      <c r="H13" s="10" t="s">
        <v>2600</v>
      </c>
      <c r="I13" s="22" t="s">
        <v>2617</v>
      </c>
      <c r="J13" s="34">
        <f>COUNTIFS(Table2[[#All],[Location]],'aggregation funcation'!G13,Table2[[#All],[Department]],'aggregation funcation'!H13,Table2[[#All],[Gender]],'aggregation funcation'!I13)</f>
        <v>10</v>
      </c>
    </row>
    <row r="14" spans="1:10" x14ac:dyDescent="0.3">
      <c r="A14" s="6"/>
      <c r="B14" s="40" t="s">
        <v>2612</v>
      </c>
      <c r="C14" s="34">
        <f>SUMIFS(Table2[Salary],Table2[Location],'aggregation funcation'!B14)</f>
        <v>14363742</v>
      </c>
      <c r="D14" s="6"/>
      <c r="E14" s="6"/>
      <c r="F14" s="6"/>
      <c r="G14" s="40" t="s">
        <v>2612</v>
      </c>
      <c r="H14" s="10" t="s">
        <v>2604</v>
      </c>
      <c r="I14" s="22" t="s">
        <v>2616</v>
      </c>
      <c r="J14" s="34">
        <f>COUNTIFS(Table2[[#All],[Location]],'aggregation funcation'!G14,Table2[[#All],[Department]],'aggregation funcation'!H14,Table2[[#All],[Gender]],'aggregation funcation'!I14)</f>
        <v>9</v>
      </c>
    </row>
    <row r="15" spans="1:10" x14ac:dyDescent="0.3">
      <c r="A15" s="6"/>
      <c r="B15" s="40" t="s">
        <v>2613</v>
      </c>
      <c r="C15" s="34">
        <f>SUMIFS(Table2[Salary],Table2[Location],'aggregation funcation'!B15)</f>
        <v>15276042</v>
      </c>
      <c r="D15" s="6"/>
      <c r="E15" s="6"/>
      <c r="F15" s="6"/>
      <c r="G15" s="40" t="s">
        <v>2613</v>
      </c>
      <c r="H15" s="10" t="s">
        <v>2602</v>
      </c>
      <c r="I15" s="22" t="s">
        <v>2617</v>
      </c>
      <c r="J15" s="34">
        <f>COUNTIFS(Table2[[#All],[Location]],'aggregation funcation'!G15,Table2[[#All],[Department]],'aggregation funcation'!H15,Table2[[#All],[Gender]],'aggregation funcation'!I15)</f>
        <v>7</v>
      </c>
    </row>
    <row r="16" spans="1:10" x14ac:dyDescent="0.3">
      <c r="A16" s="6"/>
      <c r="B16" s="40" t="s">
        <v>2614</v>
      </c>
      <c r="C16" s="34">
        <f>SUMIFS(Table2[Salary],Table2[Location],'aggregation funcation'!B16)</f>
        <v>12085163</v>
      </c>
      <c r="D16" s="6"/>
      <c r="E16" s="6"/>
      <c r="F16" s="6"/>
      <c r="G16" s="40" t="s">
        <v>2614</v>
      </c>
      <c r="H16" s="10" t="s">
        <v>2601</v>
      </c>
      <c r="I16" s="22" t="s">
        <v>2617</v>
      </c>
      <c r="J16" s="34">
        <f>COUNTIFS(Table2[[#All],[Location]],'aggregation funcation'!G16,Table2[[#All],[Department]],'aggregation funcation'!H16,Table2[[#All],[Gender]],'aggregation funcation'!I16)</f>
        <v>5</v>
      </c>
    </row>
    <row r="17" spans="1:10" ht="15" thickBot="1" x14ac:dyDescent="0.35">
      <c r="A17" s="6"/>
      <c r="B17" s="41" t="s">
        <v>2615</v>
      </c>
      <c r="C17" s="37">
        <f>SUMIFS(Table2[Salary],Table2[Location],'aggregation funcation'!B17)</f>
        <v>15825924</v>
      </c>
      <c r="D17" s="6"/>
      <c r="E17" s="6"/>
      <c r="F17" s="6"/>
      <c r="G17" s="41" t="s">
        <v>2615</v>
      </c>
      <c r="H17" s="36" t="s">
        <v>2605</v>
      </c>
      <c r="I17" s="43" t="s">
        <v>2616</v>
      </c>
      <c r="J17" s="37">
        <f>COUNTIFS(Table2[[#All],[Location]],'aggregation funcation'!G17,Table2[[#All],[Department]],'aggregation funcation'!H17,Table2[[#All],[Gender]],'aggregation funcation'!I17)</f>
        <v>6</v>
      </c>
    </row>
    <row r="18" spans="1:10" x14ac:dyDescent="0.3">
      <c r="A18" s="6"/>
      <c r="B18" s="6"/>
      <c r="C18" s="6"/>
      <c r="D18" s="6"/>
      <c r="E18" s="6"/>
      <c r="F18" s="6"/>
      <c r="G18" s="6"/>
      <c r="H18" s="6"/>
      <c r="I18" s="6"/>
      <c r="J18" s="6"/>
    </row>
  </sheetData>
  <dataValidations count="1">
    <dataValidation type="list" allowBlank="1" showInputMessage="1" showErrorMessage="1" sqref="H8:I17" xr:uid="{1F6113EC-EAF5-4FE8-A577-39596F8D38DD}">
      <formula1>#REF!</formula1>
    </dataValidation>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6E928-D53F-4CD9-A25F-B6F02F1E9F3C}">
  <dimension ref="C6:R21"/>
  <sheetViews>
    <sheetView zoomScale="94" zoomScaleNormal="94" workbookViewId="0">
      <selection activeCell="M4" sqref="M4"/>
    </sheetView>
  </sheetViews>
  <sheetFormatPr defaultRowHeight="14.4" x14ac:dyDescent="0.3"/>
  <cols>
    <col min="2" max="2" width="4.6640625" customWidth="1"/>
    <col min="4" max="4" width="14" customWidth="1"/>
    <col min="5" max="5" width="16.44140625" customWidth="1"/>
    <col min="7" max="7" width="14.109375" customWidth="1"/>
    <col min="8" max="8" width="13.5546875" customWidth="1"/>
    <col min="13" max="13" width="27.44140625" customWidth="1"/>
    <col min="14" max="14" width="19.33203125" customWidth="1"/>
    <col min="15" max="15" width="24.33203125" customWidth="1"/>
    <col min="16" max="16" width="12" customWidth="1"/>
    <col min="17" max="17" width="13.109375" customWidth="1"/>
    <col min="18" max="18" width="12.21875" customWidth="1"/>
  </cols>
  <sheetData>
    <row r="6" spans="3:18" x14ac:dyDescent="0.3">
      <c r="C6" s="6"/>
      <c r="D6" s="6"/>
      <c r="E6" s="9" t="s">
        <v>3319</v>
      </c>
      <c r="F6" s="6"/>
      <c r="G6" s="6"/>
      <c r="H6" s="6"/>
      <c r="I6" s="6"/>
      <c r="J6" s="6"/>
      <c r="K6" s="6"/>
      <c r="L6" s="6"/>
      <c r="M6" s="6"/>
      <c r="N6" s="6"/>
      <c r="O6" s="6"/>
      <c r="P6" s="6"/>
    </row>
    <row r="7" spans="3:18" ht="15" thickBot="1" x14ac:dyDescent="0.35">
      <c r="C7" s="6"/>
      <c r="D7" s="6"/>
      <c r="E7" s="6"/>
      <c r="F7" s="6"/>
      <c r="G7" s="6"/>
      <c r="H7" s="6"/>
      <c r="I7" s="6"/>
      <c r="J7" s="6"/>
      <c r="K7" s="6"/>
      <c r="L7" s="6"/>
      <c r="M7" s="6"/>
      <c r="N7" s="6"/>
      <c r="O7" s="6"/>
      <c r="P7" s="6"/>
    </row>
    <row r="8" spans="3:18" x14ac:dyDescent="0.3">
      <c r="C8" s="6"/>
      <c r="D8" s="29" t="s">
        <v>0</v>
      </c>
      <c r="E8" s="30" t="s">
        <v>3318</v>
      </c>
      <c r="F8" s="31" t="s">
        <v>3317</v>
      </c>
      <c r="G8" s="31" t="s">
        <v>3316</v>
      </c>
      <c r="H8" s="32" t="s">
        <v>3312</v>
      </c>
      <c r="I8" s="6"/>
      <c r="J8" s="6"/>
      <c r="K8" s="6"/>
      <c r="L8" s="6"/>
      <c r="M8" s="6"/>
      <c r="N8" s="9" t="s">
        <v>3320</v>
      </c>
      <c r="O8" s="6"/>
      <c r="P8" s="6"/>
    </row>
    <row r="9" spans="3:18" x14ac:dyDescent="0.3">
      <c r="C9" s="6"/>
      <c r="D9" s="33" t="s">
        <v>773</v>
      </c>
      <c r="E9" s="10" t="str">
        <f>VLOOKUP( 'reference funcation'!D9,'row data'!A1:K1300,2,0)</f>
        <v>Lakshit Bandi</v>
      </c>
      <c r="F9" s="10" t="str">
        <f>VLOOKUP(D9,'row data'!$A$1:$K$1300,8,0)</f>
        <v>Female</v>
      </c>
      <c r="G9" s="10" t="str">
        <f>VLOOKUP( 'reference funcation'!D9,'row data'!A1:K1300,5,0)</f>
        <v>Finance</v>
      </c>
      <c r="H9" s="34" t="str">
        <f>VLOOKUP( 'reference funcation'!D9,'row data'!A1:K1300,7,0)</f>
        <v>Kolkata</v>
      </c>
      <c r="I9" s="6"/>
      <c r="J9" s="6"/>
      <c r="K9" s="6"/>
      <c r="L9" s="6"/>
      <c r="M9" s="6"/>
      <c r="N9" s="11"/>
      <c r="O9" s="12"/>
      <c r="P9" s="6"/>
      <c r="Q9" s="2"/>
      <c r="R9" s="2"/>
    </row>
    <row r="10" spans="3:18" ht="15" thickBot="1" x14ac:dyDescent="0.35">
      <c r="C10" s="6"/>
      <c r="D10" s="33" t="s">
        <v>368</v>
      </c>
      <c r="E10" s="10" t="str">
        <f>VLOOKUP( 'reference funcation'!D10,'row data'!A2:K1301,2,0)</f>
        <v>Yasmin Khatri</v>
      </c>
      <c r="F10" s="10" t="str">
        <f>VLOOKUP(D10,'row data'!$A$1:$K$1300,8,0)</f>
        <v>Male</v>
      </c>
      <c r="G10" s="10" t="str">
        <f>VLOOKUP( 'reference funcation'!D10,'row data'!A2:K1301,5,0)</f>
        <v>Support</v>
      </c>
      <c r="H10" s="34" t="str">
        <f>VLOOKUP( 'reference funcation'!D10,'row data'!A2:K1301,7,0)</f>
        <v>Jaipur</v>
      </c>
      <c r="I10" s="6"/>
      <c r="J10" s="6"/>
      <c r="K10" s="6"/>
      <c r="L10" s="6"/>
      <c r="M10" s="6"/>
      <c r="N10" s="12"/>
      <c r="O10" s="6"/>
      <c r="P10" s="6"/>
    </row>
    <row r="11" spans="3:18" x14ac:dyDescent="0.3">
      <c r="C11" s="6"/>
      <c r="D11" s="33" t="s">
        <v>814</v>
      </c>
      <c r="E11" s="10" t="str">
        <f>VLOOKUP( 'reference funcation'!D11,'row data'!A3:K1302,2,0)</f>
        <v>Riaan Grover</v>
      </c>
      <c r="F11" s="10" t="str">
        <f>VLOOKUP(D11,'row data'!$A$1:$K$1300,8,0)</f>
        <v>Male</v>
      </c>
      <c r="G11" s="10" t="str">
        <f>VLOOKUP( 'reference funcation'!D11,'row data'!A3:K1302,5,0)</f>
        <v>Marketing</v>
      </c>
      <c r="H11" s="34" t="str">
        <f>VLOOKUP( 'reference funcation'!D11,'row data'!A3:K1302,7,0)</f>
        <v>Chennai</v>
      </c>
      <c r="I11" s="6"/>
      <c r="J11" s="6"/>
      <c r="K11" s="6"/>
      <c r="L11" s="6"/>
      <c r="M11" s="23" t="s">
        <v>1</v>
      </c>
      <c r="N11" s="24" t="s">
        <v>1316</v>
      </c>
      <c r="O11" s="25" t="s">
        <v>1666</v>
      </c>
      <c r="P11" s="6"/>
    </row>
    <row r="12" spans="3:18" ht="15" thickBot="1" x14ac:dyDescent="0.35">
      <c r="C12" s="6"/>
      <c r="D12" s="33" t="s">
        <v>377</v>
      </c>
      <c r="E12" s="10" t="str">
        <f>VLOOKUP( 'reference funcation'!D12,'row data'!A4:K1303,2,0)</f>
        <v>Anya Samra</v>
      </c>
      <c r="F12" s="10" t="str">
        <f>VLOOKUP(D12,'row data'!$A$1:$K$1300,8,0)</f>
        <v>Male</v>
      </c>
      <c r="G12" s="10" t="str">
        <f>VLOOKUP( 'reference funcation'!D12,'row data'!A4:K1303,5,0)</f>
        <v>HR</v>
      </c>
      <c r="H12" s="34" t="str">
        <f>VLOOKUP( 'reference funcation'!D12,'row data'!A4:K1303,7,0)</f>
        <v>Chennai</v>
      </c>
      <c r="I12" s="6"/>
      <c r="J12" s="6"/>
      <c r="K12" s="6"/>
      <c r="L12" s="6"/>
      <c r="M12" s="26" t="s">
        <v>4</v>
      </c>
      <c r="N12" s="27" t="str" cm="1">
        <f t="array" ref="N12">_xlfn.XLOOKUP('reference funcation'!N11,Table2[[#All],[Employee Name]],Table2[[#All],[Department]],)</f>
        <v>Finance</v>
      </c>
      <c r="O12" s="28" t="str" cm="1">
        <f t="array" ref="O12">_xlfn.XLOOKUP('reference funcation'!O11,Table2[[#All],[Employee Name]],Table2[[#All],[Department]])</f>
        <v>Sales</v>
      </c>
      <c r="P12" s="6"/>
    </row>
    <row r="13" spans="3:18" x14ac:dyDescent="0.3">
      <c r="C13" s="6"/>
      <c r="D13" s="33" t="s">
        <v>117</v>
      </c>
      <c r="E13" s="10" t="str">
        <f>VLOOKUP( 'reference funcation'!D13,'row data'!A5:K1304,2,0)</f>
        <v>Riya Rajan</v>
      </c>
      <c r="F13" s="10" t="str">
        <f>VLOOKUP(D13,'row data'!$A$1:$K$1300,8,0)</f>
        <v>Female</v>
      </c>
      <c r="G13" s="10" t="str">
        <f>VLOOKUP( 'reference funcation'!D13,'row data'!A5:K1304,5,0)</f>
        <v>IT</v>
      </c>
      <c r="H13" s="34" t="str">
        <f>VLOOKUP( 'reference funcation'!D13,'row data'!A5:K1304,7,0)</f>
        <v>Bangalore</v>
      </c>
      <c r="I13" s="6"/>
      <c r="J13" s="6"/>
      <c r="K13" s="6"/>
      <c r="L13" s="6"/>
      <c r="M13" s="6"/>
      <c r="N13" s="13"/>
      <c r="O13" s="6"/>
      <c r="P13" s="6"/>
    </row>
    <row r="14" spans="3:18" x14ac:dyDescent="0.3">
      <c r="C14" s="6"/>
      <c r="D14" s="33" t="s">
        <v>25</v>
      </c>
      <c r="E14" s="10" t="str">
        <f>VLOOKUP( 'reference funcation'!D14,'row data'!A6:K1305,2,0)</f>
        <v>Hrishita Sachar</v>
      </c>
      <c r="F14" s="10" t="str">
        <f>VLOOKUP(D14,'row data'!$A$1:$K$1300,8,0)</f>
        <v>Male</v>
      </c>
      <c r="G14" s="10" t="str">
        <f>VLOOKUP( 'reference funcation'!D14,'row data'!A6:K1305,5,0)</f>
        <v>Support</v>
      </c>
      <c r="H14" s="34" t="str">
        <f>VLOOKUP( 'reference funcation'!D14,'row data'!A6:K1305,7,0)</f>
        <v>Delhi</v>
      </c>
      <c r="I14" s="6"/>
      <c r="J14" s="6"/>
      <c r="K14" s="6"/>
      <c r="L14" s="6"/>
      <c r="M14" s="6"/>
      <c r="N14" s="12"/>
      <c r="O14" s="6"/>
      <c r="P14" s="6"/>
    </row>
    <row r="15" spans="3:18" x14ac:dyDescent="0.3">
      <c r="C15" s="6"/>
      <c r="D15" s="33" t="s">
        <v>806</v>
      </c>
      <c r="E15" s="10" t="str">
        <f>VLOOKUP( 'reference funcation'!D15,'row data'!A7:K1306,2,0)</f>
        <v>Dharmajan Mander</v>
      </c>
      <c r="F15" s="10" t="str">
        <f>VLOOKUP(D15,'row data'!$A$1:$K$1300,8,0)</f>
        <v>Male</v>
      </c>
      <c r="G15" s="10" t="str">
        <f>VLOOKUP( 'reference funcation'!D15,'row data'!A7:K1306,5,0)</f>
        <v>Support</v>
      </c>
      <c r="H15" s="34" t="str">
        <f>VLOOKUP( 'reference funcation'!D15,'row data'!A7:K1306,7,0)</f>
        <v>Ahmedabad</v>
      </c>
      <c r="I15" s="6"/>
      <c r="J15" s="6"/>
      <c r="K15" s="6"/>
      <c r="L15" s="6"/>
      <c r="M15" s="6"/>
      <c r="N15" s="12"/>
      <c r="O15" s="6"/>
      <c r="P15" s="6"/>
    </row>
    <row r="16" spans="3:18" x14ac:dyDescent="0.3">
      <c r="C16" s="6"/>
      <c r="D16" s="33" t="s">
        <v>666</v>
      </c>
      <c r="E16" s="10" t="str">
        <f>VLOOKUP( 'reference funcation'!D16,'row data'!A8:K1307,2,0)</f>
        <v>Tarini Chaudhry</v>
      </c>
      <c r="F16" s="10" t="str">
        <f>VLOOKUP(D16,'row data'!$A$1:$K$1300,8,0)</f>
        <v>Male</v>
      </c>
      <c r="G16" s="10" t="str">
        <f>VLOOKUP( 'reference funcation'!D16,'row data'!A8:K1307,5,0)</f>
        <v>HR</v>
      </c>
      <c r="H16" s="34" t="str">
        <f>VLOOKUP( 'reference funcation'!D16,'row data'!A8:K1307,7,0)</f>
        <v>Mumbai</v>
      </c>
      <c r="I16" s="6"/>
      <c r="J16" s="6"/>
      <c r="K16" s="6"/>
      <c r="L16" s="6"/>
      <c r="M16" s="6"/>
      <c r="N16" s="14"/>
      <c r="O16" s="6"/>
      <c r="P16" s="6"/>
    </row>
    <row r="17" spans="3:16" ht="15" thickBot="1" x14ac:dyDescent="0.35">
      <c r="C17" s="6"/>
      <c r="D17" s="35" t="s">
        <v>195</v>
      </c>
      <c r="E17" s="36" t="str">
        <f>VLOOKUP( 'reference funcation'!D17,'row data'!A9:K1308,2,0)</f>
        <v>Adira Aggarwal</v>
      </c>
      <c r="F17" s="36" t="str">
        <f>VLOOKUP(D17,'row data'!$A$1:$K$1300,8,0)</f>
        <v>Female</v>
      </c>
      <c r="G17" s="36" t="str">
        <f>VLOOKUP( 'reference funcation'!D17,'row data'!A9:K1308,5,0)</f>
        <v>Finance</v>
      </c>
      <c r="H17" s="37" t="str">
        <f>VLOOKUP( 'reference funcation'!D17,'row data'!A9:K1308,7,0)</f>
        <v>Pune</v>
      </c>
      <c r="I17" s="6"/>
      <c r="J17" s="6"/>
      <c r="K17" s="6"/>
      <c r="L17" s="6"/>
      <c r="M17" s="6"/>
      <c r="N17" s="12"/>
      <c r="O17" s="6"/>
      <c r="P17" s="6"/>
    </row>
    <row r="18" spans="3:16" x14ac:dyDescent="0.3">
      <c r="C18" s="6"/>
      <c r="D18" s="6"/>
      <c r="E18" s="6"/>
      <c r="F18" s="6"/>
      <c r="G18" s="6"/>
      <c r="H18" s="6"/>
      <c r="I18" s="6"/>
      <c r="J18" s="6"/>
      <c r="K18" s="6"/>
      <c r="L18" s="6"/>
      <c r="M18" s="6"/>
      <c r="N18" s="6"/>
      <c r="O18" s="6"/>
      <c r="P18" s="6"/>
    </row>
    <row r="19" spans="3:16" x14ac:dyDescent="0.3">
      <c r="C19" s="6"/>
      <c r="D19" s="6"/>
      <c r="E19" s="6"/>
      <c r="F19" s="6"/>
      <c r="G19" s="6"/>
      <c r="H19" s="6"/>
      <c r="I19" s="6"/>
      <c r="J19" s="6"/>
      <c r="K19" s="6"/>
      <c r="L19" s="6"/>
      <c r="M19" s="6"/>
      <c r="N19" s="6"/>
      <c r="O19" s="6"/>
      <c r="P19" s="6"/>
    </row>
    <row r="20" spans="3:16" x14ac:dyDescent="0.3">
      <c r="C20" s="6"/>
      <c r="D20" s="6"/>
      <c r="E20" s="6"/>
      <c r="F20" s="6"/>
      <c r="G20" s="6"/>
      <c r="H20" s="6"/>
      <c r="I20" s="6"/>
      <c r="J20" s="6"/>
      <c r="K20" s="6"/>
      <c r="L20" s="6"/>
      <c r="M20" s="6"/>
      <c r="N20" s="6"/>
      <c r="O20" s="6"/>
      <c r="P20" s="6"/>
    </row>
    <row r="21" spans="3:16" x14ac:dyDescent="0.3">
      <c r="C21" s="6"/>
      <c r="D21" s="6"/>
      <c r="E21" s="6"/>
      <c r="F21" s="6"/>
      <c r="G21" s="6"/>
      <c r="H21" s="6"/>
      <c r="I21" s="6"/>
      <c r="J21" s="6"/>
      <c r="K21" s="6"/>
      <c r="L21" s="6"/>
      <c r="M21" s="6"/>
      <c r="N21" s="6"/>
      <c r="O21" s="6"/>
      <c r="P21" s="6"/>
    </row>
  </sheetData>
  <sortState xmlns:xlrd2="http://schemas.microsoft.com/office/spreadsheetml/2017/richdata2" ref="N9:R17">
    <sortCondition sortBy="cellColor" ref="N9:N17"/>
  </sortState>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BBA9E-2946-4742-8BA2-88CE0E7955BA}">
  <dimension ref="A4:I69"/>
  <sheetViews>
    <sheetView topLeftCell="A43" zoomScale="102" workbookViewId="0">
      <selection activeCell="G71" sqref="G71"/>
    </sheetView>
  </sheetViews>
  <sheetFormatPr defaultRowHeight="13.8" x14ac:dyDescent="0.25"/>
  <cols>
    <col min="1" max="1" width="29.44140625" style="6" bestFit="1" customWidth="1"/>
    <col min="2" max="2" width="18.44140625" style="6" bestFit="1" customWidth="1"/>
    <col min="3" max="3" width="10.5546875" style="6" bestFit="1" customWidth="1"/>
    <col min="4" max="4" width="13" style="6" bestFit="1" customWidth="1"/>
    <col min="5" max="5" width="11.109375" style="6" bestFit="1" customWidth="1"/>
    <col min="6" max="6" width="12.21875" style="6" bestFit="1" customWidth="1"/>
    <col min="7" max="7" width="10.5546875" style="6" bestFit="1" customWidth="1"/>
    <col min="8" max="8" width="9.109375" style="6" bestFit="1" customWidth="1"/>
    <col min="9" max="9" width="13" style="6" bestFit="1" customWidth="1"/>
    <col min="10" max="10" width="9.6640625" style="6" customWidth="1"/>
    <col min="11" max="11" width="16" style="6" customWidth="1"/>
    <col min="12" max="13" width="9.6640625" style="6" customWidth="1"/>
    <col min="14" max="14" width="11" style="6" bestFit="1" customWidth="1"/>
    <col min="15" max="686" width="15.5546875" style="6" bestFit="1" customWidth="1"/>
    <col min="687" max="687" width="10.77734375" style="6" bestFit="1" customWidth="1"/>
    <col min="688" max="16384" width="8.88671875" style="6"/>
  </cols>
  <sheetData>
    <row r="4" spans="1:6" x14ac:dyDescent="0.25">
      <c r="A4" s="17" t="s">
        <v>3333</v>
      </c>
      <c r="B4" s="17"/>
      <c r="C4" s="17"/>
      <c r="D4" s="17"/>
      <c r="E4" s="17"/>
      <c r="F4" s="17"/>
    </row>
    <row r="5" spans="1:6" x14ac:dyDescent="0.25">
      <c r="A5" s="18" t="s">
        <v>3327</v>
      </c>
      <c r="B5" s="18" t="s">
        <v>3324</v>
      </c>
    </row>
    <row r="6" spans="1:6" x14ac:dyDescent="0.25">
      <c r="A6" s="18" t="s">
        <v>3321</v>
      </c>
      <c r="B6" s="6" t="s">
        <v>2616</v>
      </c>
      <c r="C6" s="6" t="s">
        <v>2617</v>
      </c>
      <c r="D6" s="6" t="s">
        <v>3322</v>
      </c>
    </row>
    <row r="7" spans="1:6" x14ac:dyDescent="0.25">
      <c r="A7" s="19" t="s">
        <v>3308</v>
      </c>
      <c r="B7" s="20">
        <v>6.939090208172706E-2</v>
      </c>
      <c r="C7" s="20">
        <v>7.7101002313030076E-2</v>
      </c>
      <c r="D7" s="20">
        <v>0.14649190439475712</v>
      </c>
    </row>
    <row r="8" spans="1:6" x14ac:dyDescent="0.25">
      <c r="A8" s="19" t="s">
        <v>3305</v>
      </c>
      <c r="B8" s="20">
        <v>8.7124132613723981E-2</v>
      </c>
      <c r="C8" s="20">
        <v>6.3222821896684656E-2</v>
      </c>
      <c r="D8" s="20">
        <v>0.15034695451040864</v>
      </c>
    </row>
    <row r="9" spans="1:6" x14ac:dyDescent="0.25">
      <c r="A9" s="19" t="s">
        <v>3304</v>
      </c>
      <c r="B9" s="20">
        <v>6.3993831919814961E-2</v>
      </c>
      <c r="C9" s="20">
        <v>6.7848882035466462E-2</v>
      </c>
      <c r="D9" s="20">
        <v>0.13184271395528141</v>
      </c>
    </row>
    <row r="10" spans="1:6" x14ac:dyDescent="0.25">
      <c r="A10" s="19" t="s">
        <v>3310</v>
      </c>
      <c r="B10" s="20">
        <v>6.939090208172706E-2</v>
      </c>
      <c r="C10" s="20">
        <v>7.4016962220508867E-2</v>
      </c>
      <c r="D10" s="20">
        <v>0.14340786430223593</v>
      </c>
    </row>
    <row r="11" spans="1:6" x14ac:dyDescent="0.25">
      <c r="A11" s="19" t="s">
        <v>3309</v>
      </c>
      <c r="B11" s="20">
        <v>6.0138781804163453E-2</v>
      </c>
      <c r="C11" s="20">
        <v>7.7872012336160368E-2</v>
      </c>
      <c r="D11" s="20">
        <v>0.13801079414032383</v>
      </c>
    </row>
    <row r="12" spans="1:6" x14ac:dyDescent="0.25">
      <c r="A12" s="19" t="s">
        <v>3306</v>
      </c>
      <c r="B12" s="20">
        <v>8.326908249807248E-2</v>
      </c>
      <c r="C12" s="20">
        <v>6.7077872012336157E-2</v>
      </c>
      <c r="D12" s="20">
        <v>0.15034695451040864</v>
      </c>
    </row>
    <row r="13" spans="1:6" x14ac:dyDescent="0.25">
      <c r="A13" s="19" t="s">
        <v>3307</v>
      </c>
      <c r="B13" s="20">
        <v>6.7848882035466462E-2</v>
      </c>
      <c r="C13" s="20">
        <v>7.1703932151117963E-2</v>
      </c>
      <c r="D13" s="20">
        <v>0.13955281418658441</v>
      </c>
    </row>
    <row r="14" spans="1:6" x14ac:dyDescent="0.25">
      <c r="A14" s="19" t="s">
        <v>3322</v>
      </c>
      <c r="B14" s="20">
        <v>0.50115651503469549</v>
      </c>
      <c r="C14" s="20">
        <v>0.49884348496530456</v>
      </c>
      <c r="D14" s="20">
        <v>1</v>
      </c>
    </row>
    <row r="17" spans="1:9" x14ac:dyDescent="0.25">
      <c r="A17" s="21" t="s">
        <v>3329</v>
      </c>
      <c r="B17" s="17"/>
      <c r="C17" s="17"/>
    </row>
    <row r="18" spans="1:9" x14ac:dyDescent="0.25">
      <c r="A18" s="18" t="s">
        <v>3325</v>
      </c>
      <c r="B18" s="18" t="s">
        <v>3324</v>
      </c>
    </row>
    <row r="19" spans="1:9" x14ac:dyDescent="0.25">
      <c r="A19" s="18" t="s">
        <v>3321</v>
      </c>
      <c r="B19" s="6" t="s">
        <v>3308</v>
      </c>
      <c r="C19" s="6" t="s">
        <v>3305</v>
      </c>
      <c r="D19" s="6" t="s">
        <v>3304</v>
      </c>
      <c r="E19" s="6" t="s">
        <v>3310</v>
      </c>
      <c r="F19" s="6" t="s">
        <v>3309</v>
      </c>
      <c r="G19" s="6" t="s">
        <v>3306</v>
      </c>
      <c r="H19" s="6" t="s">
        <v>3307</v>
      </c>
      <c r="I19" s="6" t="s">
        <v>3322</v>
      </c>
    </row>
    <row r="20" spans="1:9" x14ac:dyDescent="0.25">
      <c r="A20" s="19" t="s">
        <v>2608</v>
      </c>
      <c r="B20" s="6">
        <v>25</v>
      </c>
      <c r="C20" s="6">
        <v>17</v>
      </c>
      <c r="D20" s="6">
        <v>17</v>
      </c>
      <c r="E20" s="6">
        <v>21</v>
      </c>
      <c r="F20" s="6">
        <v>17</v>
      </c>
      <c r="G20" s="6">
        <v>26</v>
      </c>
      <c r="H20" s="6">
        <v>17</v>
      </c>
      <c r="I20" s="6">
        <v>140</v>
      </c>
    </row>
    <row r="21" spans="1:9" x14ac:dyDescent="0.25">
      <c r="A21" s="19" t="s">
        <v>2615</v>
      </c>
      <c r="B21" s="6">
        <v>17</v>
      </c>
      <c r="C21" s="6">
        <v>13</v>
      </c>
      <c r="D21" s="6">
        <v>25</v>
      </c>
      <c r="E21" s="6">
        <v>14</v>
      </c>
      <c r="F21" s="6">
        <v>21</v>
      </c>
      <c r="G21" s="6">
        <v>17</v>
      </c>
      <c r="H21" s="6">
        <v>24</v>
      </c>
      <c r="I21" s="6">
        <v>131</v>
      </c>
    </row>
    <row r="22" spans="1:9" x14ac:dyDescent="0.25">
      <c r="A22" s="19" t="s">
        <v>2609</v>
      </c>
      <c r="B22" s="6">
        <v>16</v>
      </c>
      <c r="C22" s="6">
        <v>16</v>
      </c>
      <c r="D22" s="6">
        <v>12</v>
      </c>
      <c r="E22" s="6">
        <v>18</v>
      </c>
      <c r="F22" s="6">
        <v>19</v>
      </c>
      <c r="G22" s="6">
        <v>17</v>
      </c>
      <c r="H22" s="6">
        <v>24</v>
      </c>
      <c r="I22" s="6">
        <v>122</v>
      </c>
    </row>
    <row r="23" spans="1:9" x14ac:dyDescent="0.25">
      <c r="A23" s="19" t="s">
        <v>2610</v>
      </c>
      <c r="B23" s="6">
        <v>15</v>
      </c>
      <c r="C23" s="6">
        <v>23</v>
      </c>
      <c r="D23" s="6">
        <v>18</v>
      </c>
      <c r="E23" s="6">
        <v>20</v>
      </c>
      <c r="F23" s="6">
        <v>25</v>
      </c>
      <c r="G23" s="6">
        <v>22</v>
      </c>
      <c r="H23" s="6">
        <v>17</v>
      </c>
      <c r="I23" s="6">
        <v>140</v>
      </c>
    </row>
    <row r="24" spans="1:9" x14ac:dyDescent="0.25">
      <c r="A24" s="19" t="s">
        <v>2613</v>
      </c>
      <c r="B24" s="6">
        <v>17</v>
      </c>
      <c r="C24" s="6">
        <v>18</v>
      </c>
      <c r="D24" s="6">
        <v>21</v>
      </c>
      <c r="E24" s="6">
        <v>22</v>
      </c>
      <c r="F24" s="6">
        <v>17</v>
      </c>
      <c r="G24" s="6">
        <v>24</v>
      </c>
      <c r="H24" s="6">
        <v>10</v>
      </c>
      <c r="I24" s="6">
        <v>129</v>
      </c>
    </row>
    <row r="25" spans="1:9" x14ac:dyDescent="0.25">
      <c r="A25" s="19" t="s">
        <v>2612</v>
      </c>
      <c r="B25" s="6">
        <v>19</v>
      </c>
      <c r="C25" s="6">
        <v>17</v>
      </c>
      <c r="D25" s="6">
        <v>12</v>
      </c>
      <c r="E25" s="6">
        <v>17</v>
      </c>
      <c r="F25" s="6">
        <v>20</v>
      </c>
      <c r="G25" s="6">
        <v>17</v>
      </c>
      <c r="H25" s="6">
        <v>22</v>
      </c>
      <c r="I25" s="6">
        <v>124</v>
      </c>
    </row>
    <row r="26" spans="1:9" x14ac:dyDescent="0.25">
      <c r="A26" s="19" t="s">
        <v>2606</v>
      </c>
      <c r="B26" s="6">
        <v>28</v>
      </c>
      <c r="C26" s="6">
        <v>18</v>
      </c>
      <c r="D26" s="6">
        <v>22</v>
      </c>
      <c r="E26" s="6">
        <v>14</v>
      </c>
      <c r="F26" s="6">
        <v>16</v>
      </c>
      <c r="G26" s="6">
        <v>20</v>
      </c>
      <c r="H26" s="6">
        <v>15</v>
      </c>
      <c r="I26" s="6">
        <v>133</v>
      </c>
    </row>
    <row r="27" spans="1:9" x14ac:dyDescent="0.25">
      <c r="A27" s="19" t="s">
        <v>2614</v>
      </c>
      <c r="B27" s="6">
        <v>16</v>
      </c>
      <c r="C27" s="6">
        <v>22</v>
      </c>
      <c r="D27" s="6">
        <v>17</v>
      </c>
      <c r="E27" s="6">
        <v>24</v>
      </c>
      <c r="F27" s="6">
        <v>12</v>
      </c>
      <c r="G27" s="6">
        <v>12</v>
      </c>
      <c r="H27" s="6">
        <v>12</v>
      </c>
      <c r="I27" s="6">
        <v>115</v>
      </c>
    </row>
    <row r="28" spans="1:9" x14ac:dyDescent="0.25">
      <c r="A28" s="19" t="s">
        <v>2607</v>
      </c>
      <c r="B28" s="6">
        <v>21</v>
      </c>
      <c r="C28" s="6">
        <v>28</v>
      </c>
      <c r="D28" s="6">
        <v>17</v>
      </c>
      <c r="E28" s="6">
        <v>19</v>
      </c>
      <c r="F28" s="6">
        <v>16</v>
      </c>
      <c r="G28" s="6">
        <v>20</v>
      </c>
      <c r="H28" s="6">
        <v>18</v>
      </c>
      <c r="I28" s="6">
        <v>139</v>
      </c>
    </row>
    <row r="29" spans="1:9" x14ac:dyDescent="0.25">
      <c r="A29" s="19" t="s">
        <v>2611</v>
      </c>
      <c r="B29" s="6">
        <v>16</v>
      </c>
      <c r="C29" s="6">
        <v>23</v>
      </c>
      <c r="D29" s="6">
        <v>10</v>
      </c>
      <c r="E29" s="6">
        <v>17</v>
      </c>
      <c r="F29" s="6">
        <v>16</v>
      </c>
      <c r="G29" s="6">
        <v>20</v>
      </c>
      <c r="H29" s="6">
        <v>22</v>
      </c>
      <c r="I29" s="6">
        <v>124</v>
      </c>
    </row>
    <row r="30" spans="1:9" x14ac:dyDescent="0.25">
      <c r="A30" s="19" t="s">
        <v>3322</v>
      </c>
      <c r="B30" s="6">
        <v>190</v>
      </c>
      <c r="C30" s="6">
        <v>195</v>
      </c>
      <c r="D30" s="6">
        <v>171</v>
      </c>
      <c r="E30" s="6">
        <v>186</v>
      </c>
      <c r="F30" s="6">
        <v>179</v>
      </c>
      <c r="G30" s="6">
        <v>195</v>
      </c>
      <c r="H30" s="6">
        <v>181</v>
      </c>
      <c r="I30" s="6">
        <v>1297</v>
      </c>
    </row>
    <row r="33" spans="1:9" x14ac:dyDescent="0.25">
      <c r="A33" s="17" t="s">
        <v>3330</v>
      </c>
      <c r="B33" s="17"/>
      <c r="C33" s="17"/>
      <c r="D33" s="17"/>
    </row>
    <row r="34" spans="1:9" x14ac:dyDescent="0.25">
      <c r="A34" s="18" t="s">
        <v>3326</v>
      </c>
      <c r="B34" s="18" t="s">
        <v>3324</v>
      </c>
    </row>
    <row r="35" spans="1:9" x14ac:dyDescent="0.25">
      <c r="A35" s="18" t="s">
        <v>3321</v>
      </c>
      <c r="B35" s="6" t="s">
        <v>2604</v>
      </c>
      <c r="C35" s="6" t="s">
        <v>2600</v>
      </c>
      <c r="D35" s="6" t="s">
        <v>2605</v>
      </c>
      <c r="E35" s="6" t="s">
        <v>2599</v>
      </c>
      <c r="F35" s="6" t="s">
        <v>2603</v>
      </c>
      <c r="G35" s="6" t="s">
        <v>2601</v>
      </c>
      <c r="H35" s="6" t="s">
        <v>2602</v>
      </c>
      <c r="I35" s="6" t="s">
        <v>3322</v>
      </c>
    </row>
    <row r="36" spans="1:9" x14ac:dyDescent="0.25">
      <c r="A36" s="19" t="s">
        <v>2616</v>
      </c>
      <c r="B36" s="6">
        <v>2963</v>
      </c>
      <c r="C36" s="6">
        <v>3062</v>
      </c>
      <c r="D36" s="6">
        <v>2490</v>
      </c>
      <c r="E36" s="6">
        <v>2805</v>
      </c>
      <c r="F36" s="6">
        <v>3025</v>
      </c>
      <c r="G36" s="6">
        <v>2286</v>
      </c>
      <c r="H36" s="6">
        <v>2606</v>
      </c>
      <c r="I36" s="6">
        <v>19237</v>
      </c>
    </row>
    <row r="37" spans="1:9" x14ac:dyDescent="0.25">
      <c r="A37" s="19" t="s">
        <v>2617</v>
      </c>
      <c r="B37" s="6">
        <v>3252</v>
      </c>
      <c r="C37" s="6">
        <v>2310</v>
      </c>
      <c r="D37" s="6">
        <v>2330</v>
      </c>
      <c r="E37" s="6">
        <v>2624</v>
      </c>
      <c r="F37" s="6">
        <v>2668</v>
      </c>
      <c r="G37" s="6">
        <v>2876</v>
      </c>
      <c r="H37" s="6">
        <v>2516</v>
      </c>
      <c r="I37" s="6">
        <v>18576</v>
      </c>
    </row>
    <row r="38" spans="1:9" x14ac:dyDescent="0.25">
      <c r="A38" s="19" t="s">
        <v>3322</v>
      </c>
      <c r="B38" s="6">
        <v>6215</v>
      </c>
      <c r="C38" s="6">
        <v>5372</v>
      </c>
      <c r="D38" s="6">
        <v>4820</v>
      </c>
      <c r="E38" s="6">
        <v>5429</v>
      </c>
      <c r="F38" s="6">
        <v>5693</v>
      </c>
      <c r="G38" s="6">
        <v>5162</v>
      </c>
      <c r="H38" s="6">
        <v>5122</v>
      </c>
      <c r="I38" s="6">
        <v>37813</v>
      </c>
    </row>
    <row r="39" spans="1:9" x14ac:dyDescent="0.25">
      <c r="A39" s="19"/>
    </row>
    <row r="40" spans="1:9" x14ac:dyDescent="0.25">
      <c r="A40" s="19"/>
    </row>
    <row r="41" spans="1:9" x14ac:dyDescent="0.25">
      <c r="A41" s="19"/>
    </row>
    <row r="42" spans="1:9" x14ac:dyDescent="0.25">
      <c r="A42" s="17" t="s">
        <v>3331</v>
      </c>
      <c r="B42" s="17"/>
      <c r="C42" s="17"/>
    </row>
    <row r="43" spans="1:9" x14ac:dyDescent="0.25">
      <c r="A43" s="18" t="s">
        <v>3328</v>
      </c>
      <c r="B43" s="18" t="s">
        <v>3324</v>
      </c>
    </row>
    <row r="44" spans="1:9" x14ac:dyDescent="0.25">
      <c r="A44" s="18" t="s">
        <v>3321</v>
      </c>
      <c r="B44" s="6" t="s">
        <v>2616</v>
      </c>
      <c r="C44" s="6" t="s">
        <v>2617</v>
      </c>
      <c r="D44" s="6" t="s">
        <v>3322</v>
      </c>
    </row>
    <row r="45" spans="1:9" x14ac:dyDescent="0.25">
      <c r="A45" s="19" t="s">
        <v>2608</v>
      </c>
      <c r="B45" s="6">
        <v>69</v>
      </c>
      <c r="C45" s="6">
        <v>71</v>
      </c>
      <c r="D45" s="6">
        <v>140</v>
      </c>
    </row>
    <row r="46" spans="1:9" x14ac:dyDescent="0.25">
      <c r="A46" s="19" t="s">
        <v>2615</v>
      </c>
      <c r="B46" s="6">
        <v>53</v>
      </c>
      <c r="C46" s="6">
        <v>78</v>
      </c>
      <c r="D46" s="6">
        <v>131</v>
      </c>
    </row>
    <row r="47" spans="1:9" x14ac:dyDescent="0.25">
      <c r="A47" s="19" t="s">
        <v>2609</v>
      </c>
      <c r="B47" s="6">
        <v>59</v>
      </c>
      <c r="C47" s="6">
        <v>63</v>
      </c>
      <c r="D47" s="6">
        <v>122</v>
      </c>
    </row>
    <row r="48" spans="1:9" x14ac:dyDescent="0.25">
      <c r="A48" s="19" t="s">
        <v>2610</v>
      </c>
      <c r="B48" s="6">
        <v>78</v>
      </c>
      <c r="C48" s="6">
        <v>62</v>
      </c>
      <c r="D48" s="6">
        <v>140</v>
      </c>
    </row>
    <row r="49" spans="1:9" x14ac:dyDescent="0.25">
      <c r="A49" s="19" t="s">
        <v>2613</v>
      </c>
      <c r="B49" s="6">
        <v>56</v>
      </c>
      <c r="C49" s="6">
        <v>73</v>
      </c>
      <c r="D49" s="6">
        <v>129</v>
      </c>
    </row>
    <row r="50" spans="1:9" x14ac:dyDescent="0.25">
      <c r="A50" s="19" t="s">
        <v>2612</v>
      </c>
      <c r="B50" s="6">
        <v>70</v>
      </c>
      <c r="C50" s="6">
        <v>54</v>
      </c>
      <c r="D50" s="6">
        <v>124</v>
      </c>
    </row>
    <row r="51" spans="1:9" x14ac:dyDescent="0.25">
      <c r="A51" s="19" t="s">
        <v>2606</v>
      </c>
      <c r="B51" s="6">
        <v>73</v>
      </c>
      <c r="C51" s="6">
        <v>60</v>
      </c>
      <c r="D51" s="6">
        <v>133</v>
      </c>
    </row>
    <row r="52" spans="1:9" x14ac:dyDescent="0.25">
      <c r="A52" s="19" t="s">
        <v>2614</v>
      </c>
      <c r="B52" s="6">
        <v>62</v>
      </c>
      <c r="C52" s="6">
        <v>53</v>
      </c>
      <c r="D52" s="6">
        <v>115</v>
      </c>
    </row>
    <row r="53" spans="1:9" x14ac:dyDescent="0.25">
      <c r="A53" s="19" t="s">
        <v>2607</v>
      </c>
      <c r="B53" s="6">
        <v>75</v>
      </c>
      <c r="C53" s="6">
        <v>64</v>
      </c>
      <c r="D53" s="6">
        <v>139</v>
      </c>
    </row>
    <row r="54" spans="1:9" x14ac:dyDescent="0.25">
      <c r="A54" s="19" t="s">
        <v>2611</v>
      </c>
      <c r="B54" s="6">
        <v>55</v>
      </c>
      <c r="C54" s="6">
        <v>69</v>
      </c>
      <c r="D54" s="6">
        <v>124</v>
      </c>
    </row>
    <row r="55" spans="1:9" x14ac:dyDescent="0.25">
      <c r="A55" s="19" t="s">
        <v>3322</v>
      </c>
      <c r="B55" s="6">
        <v>650</v>
      </c>
      <c r="C55" s="6">
        <v>647</v>
      </c>
      <c r="D55" s="6">
        <v>1297</v>
      </c>
    </row>
    <row r="59" spans="1:9" x14ac:dyDescent="0.25">
      <c r="B59" s="17" t="s">
        <v>3332</v>
      </c>
      <c r="C59" s="17"/>
      <c r="D59" s="17"/>
      <c r="E59" s="17"/>
    </row>
    <row r="60" spans="1:9" x14ac:dyDescent="0.25">
      <c r="A60" s="18" t="s">
        <v>3323</v>
      </c>
      <c r="B60" s="18" t="s">
        <v>3324</v>
      </c>
    </row>
    <row r="61" spans="1:9" x14ac:dyDescent="0.25">
      <c r="A61" s="18" t="s">
        <v>3321</v>
      </c>
      <c r="B61" s="6" t="s">
        <v>3308</v>
      </c>
      <c r="C61" s="6" t="s">
        <v>3305</v>
      </c>
      <c r="D61" s="6" t="s">
        <v>3304</v>
      </c>
      <c r="E61" s="6" t="s">
        <v>3310</v>
      </c>
      <c r="F61" s="6" t="s">
        <v>3309</v>
      </c>
      <c r="G61" s="6" t="s">
        <v>3306</v>
      </c>
      <c r="H61" s="6" t="s">
        <v>3307</v>
      </c>
      <c r="I61" s="6" t="s">
        <v>3322</v>
      </c>
    </row>
    <row r="62" spans="1:9" x14ac:dyDescent="0.25">
      <c r="A62" s="19" t="s">
        <v>2604</v>
      </c>
      <c r="B62" s="6">
        <v>2876860</v>
      </c>
      <c r="C62" s="6">
        <v>3205338</v>
      </c>
      <c r="D62" s="6">
        <v>3168175</v>
      </c>
      <c r="E62" s="6">
        <v>3551641</v>
      </c>
      <c r="F62" s="6">
        <v>2536293</v>
      </c>
      <c r="G62" s="6">
        <v>3438828</v>
      </c>
      <c r="H62" s="6">
        <v>2848712</v>
      </c>
      <c r="I62" s="6">
        <v>21625847</v>
      </c>
    </row>
    <row r="63" spans="1:9" x14ac:dyDescent="0.25">
      <c r="A63" s="19" t="s">
        <v>2600</v>
      </c>
      <c r="B63" s="6">
        <v>3524913</v>
      </c>
      <c r="C63" s="6">
        <v>4299419</v>
      </c>
      <c r="D63" s="6">
        <v>2088152</v>
      </c>
      <c r="E63" s="6">
        <v>2166942</v>
      </c>
      <c r="F63" s="6">
        <v>3294382</v>
      </c>
      <c r="G63" s="6">
        <v>2320346</v>
      </c>
      <c r="H63" s="6">
        <v>2986396</v>
      </c>
      <c r="I63" s="6">
        <v>20680550</v>
      </c>
    </row>
    <row r="64" spans="1:9" x14ac:dyDescent="0.25">
      <c r="A64" s="19" t="s">
        <v>2605</v>
      </c>
      <c r="B64" s="6">
        <v>3048227</v>
      </c>
      <c r="C64" s="6">
        <v>3084564</v>
      </c>
      <c r="D64" s="6">
        <v>3324847</v>
      </c>
      <c r="E64" s="6">
        <v>2403653</v>
      </c>
      <c r="F64" s="6">
        <v>4319889</v>
      </c>
      <c r="G64" s="6">
        <v>3142831</v>
      </c>
      <c r="H64" s="6">
        <v>3119400</v>
      </c>
      <c r="I64" s="6">
        <v>22443411</v>
      </c>
    </row>
    <row r="65" spans="1:9" x14ac:dyDescent="0.25">
      <c r="A65" s="19" t="s">
        <v>2599</v>
      </c>
      <c r="B65" s="6">
        <v>2875276</v>
      </c>
      <c r="C65" s="6">
        <v>3361431</v>
      </c>
      <c r="D65" s="6">
        <v>2851551</v>
      </c>
      <c r="E65" s="6">
        <v>2320973</v>
      </c>
      <c r="F65" s="6">
        <v>3267047</v>
      </c>
      <c r="G65" s="6">
        <v>3054790</v>
      </c>
      <c r="H65" s="6">
        <v>3647511</v>
      </c>
      <c r="I65" s="6">
        <v>21378579</v>
      </c>
    </row>
    <row r="66" spans="1:9" x14ac:dyDescent="0.25">
      <c r="A66" s="19" t="s">
        <v>2603</v>
      </c>
      <c r="B66" s="6">
        <v>3339690</v>
      </c>
      <c r="C66" s="6">
        <v>3866494</v>
      </c>
      <c r="D66" s="6">
        <v>3200310</v>
      </c>
      <c r="E66" s="6">
        <v>2586839</v>
      </c>
      <c r="F66" s="6">
        <v>3150865</v>
      </c>
      <c r="G66" s="6">
        <v>3724838</v>
      </c>
      <c r="H66" s="6">
        <v>2102401</v>
      </c>
      <c r="I66" s="6">
        <v>21971437</v>
      </c>
    </row>
    <row r="67" spans="1:9" x14ac:dyDescent="0.25">
      <c r="A67" s="19" t="s">
        <v>2601</v>
      </c>
      <c r="B67" s="6">
        <v>3310209</v>
      </c>
      <c r="C67" s="6">
        <v>2958630</v>
      </c>
      <c r="D67" s="6">
        <v>1884658</v>
      </c>
      <c r="E67" s="6">
        <v>3968927</v>
      </c>
      <c r="F67" s="6">
        <v>1690810</v>
      </c>
      <c r="G67" s="6">
        <v>3266407</v>
      </c>
      <c r="H67" s="6">
        <v>3362829</v>
      </c>
      <c r="I67" s="6">
        <v>20442470</v>
      </c>
    </row>
    <row r="68" spans="1:9" x14ac:dyDescent="0.25">
      <c r="A68" s="19" t="s">
        <v>2602</v>
      </c>
      <c r="B68" s="6">
        <v>2933670</v>
      </c>
      <c r="C68" s="6">
        <v>2354335</v>
      </c>
      <c r="D68" s="6">
        <v>2075580</v>
      </c>
      <c r="E68" s="6">
        <v>4095267</v>
      </c>
      <c r="F68" s="6">
        <v>2507600</v>
      </c>
      <c r="G68" s="6">
        <v>3165519</v>
      </c>
      <c r="H68" s="6">
        <v>2306025</v>
      </c>
      <c r="I68" s="6">
        <v>19437996</v>
      </c>
    </row>
    <row r="69" spans="1:9" x14ac:dyDescent="0.25">
      <c r="A69" s="19" t="s">
        <v>3322</v>
      </c>
      <c r="B69" s="6">
        <v>21908845</v>
      </c>
      <c r="C69" s="6">
        <v>23130211</v>
      </c>
      <c r="D69" s="6">
        <v>18593273</v>
      </c>
      <c r="E69" s="6">
        <v>21094242</v>
      </c>
      <c r="F69" s="6">
        <v>20766886</v>
      </c>
      <c r="G69" s="6">
        <v>22113559</v>
      </c>
      <c r="H69" s="6">
        <v>20373274</v>
      </c>
      <c r="I69" s="6">
        <v>147980290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BB40F-300D-48C1-8CEC-766679A3F5A5}">
  <dimension ref="A1:A5"/>
  <sheetViews>
    <sheetView zoomScale="91" zoomScaleNormal="91" zoomScalePageLayoutView="50" workbookViewId="0">
      <selection activeCell="D2" sqref="D2"/>
    </sheetView>
  </sheetViews>
  <sheetFormatPr defaultRowHeight="14.4" x14ac:dyDescent="0.3"/>
  <cols>
    <col min="1" max="1" width="2.5546875" customWidth="1"/>
  </cols>
  <sheetData>
    <row r="1" customFormat="1" x14ac:dyDescent="0.3"/>
    <row r="2" customFormat="1" x14ac:dyDescent="0.3"/>
    <row r="3" customFormat="1" x14ac:dyDescent="0.3"/>
    <row r="4" customFormat="1" x14ac:dyDescent="0.3"/>
    <row r="5" customFormat="1"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row data</vt:lpstr>
      <vt:lpstr> table formate</vt:lpstr>
      <vt:lpstr>aggregation funcation</vt:lpstr>
      <vt:lpstr>reference funcation</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 TEJA</dc:creator>
  <cp:lastModifiedBy>Sai Teja</cp:lastModifiedBy>
  <dcterms:created xsi:type="dcterms:W3CDTF">2025-11-01T07:01:24Z</dcterms:created>
  <dcterms:modified xsi:type="dcterms:W3CDTF">2025-11-04T10:45:08Z</dcterms:modified>
</cp:coreProperties>
</file>